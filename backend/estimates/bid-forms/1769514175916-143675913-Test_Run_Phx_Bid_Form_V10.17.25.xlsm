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sturd\OneDrive\Desktop\"/>
    </mc:Choice>
  </mc:AlternateContent>
  <xr:revisionPtr revIDLastSave="0" documentId="13_ncr:1_{817EDAE5-859C-4AEB-B9CD-4B2C5060561F}" xr6:coauthVersionLast="47" xr6:coauthVersionMax="47" xr10:uidLastSave="{00000000-0000-0000-0000-000000000000}"/>
  <bookViews>
    <workbookView xWindow="-63480" yWindow="-120" windowWidth="29040" windowHeight="15720" activeTab="1" xr2:uid="{00000000-000D-0000-FFFF-FFFF00000000}"/>
  </bookViews>
  <sheets>
    <sheet name="Rate Inputs" sheetId="2" r:id="rId1"/>
    <sheet name="Base Bid" sheetId="1" r:id="rId2"/>
    <sheet name="Quoted Items" sheetId="5" state="hidden" r:id="rId3"/>
    <sheet name="Checklist" sheetId="4" r:id="rId4"/>
    <sheet name="Phase Codes" sheetId="7" state="hidden" r:id="rId5"/>
    <sheet name="Pipe Insul" sheetId="8" state="hidden" r:id="rId6"/>
    <sheet name="Release Notes" sheetId="11" state="hidden" r:id="rId7"/>
    <sheet name="Proposal Letter" sheetId="12" r:id="rId8"/>
    <sheet name="Proposal Letter (2)" sheetId="14" state="hidden" r:id="rId9"/>
    <sheet name="Cust. Names" sheetId="16" r:id="rId10"/>
    <sheet name="PipeBid" sheetId="10" state="hidden" r:id="rId11"/>
    <sheet name="VP IMP" sheetId="6" r:id="rId12"/>
    <sheet name="Glycol Calc" sheetId="17" state="hidden" r:id="rId13"/>
    <sheet name="PipeData" sheetId="18" state="hidden" r:id="rId14"/>
    <sheet name="HVAC Budget Costs" sheetId="19" state="hidden" r:id="rId15"/>
    <sheet name="Plmg Budgets" sheetId="20" state="hidden" r:id="rId16"/>
  </sheets>
  <definedNames>
    <definedName name="_GoBack" localSheetId="7">'Proposal Letter'!$D$64</definedName>
    <definedName name="_GoBack" localSheetId="8">'Proposal Letter (2)'!$D$63</definedName>
    <definedName name="OLE_LINK1" localSheetId="7">'Proposal Letter'!$A$238</definedName>
    <definedName name="OLE_LINK1" localSheetId="8">'Proposal Letter (2)'!$A$237</definedName>
    <definedName name="_xlnm.Print_Area" localSheetId="1">'Base Bid'!$A$1:$AI$214</definedName>
    <definedName name="_xlnm.Print_Area" localSheetId="2">'Quoted Items'!$A$1:$P$57</definedName>
    <definedName name="_xlnm.Print_Area" localSheetId="0">'Rate Inputs'!$A$1:$AD$23</definedName>
    <definedName name="_xlnm.Print_Titles" localSheetId="1">'Base Bid'!$1:$7</definedName>
    <definedName name="_xlnm.Print_Titles" localSheetId="4">'Phase Codes'!$2:$2</definedName>
    <definedName name="_xlnm.Print_Titles" localSheetId="2">'Quoted Items'!$1:$1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5" i="6" l="1"/>
  <c r="T177" i="1"/>
  <c r="O55" i="2" l="1"/>
  <c r="O56" i="2"/>
  <c r="O57" i="2"/>
  <c r="O58" i="2"/>
  <c r="O54" i="2"/>
  <c r="O59" i="2"/>
  <c r="O60" i="2"/>
  <c r="O61" i="2"/>
  <c r="O62" i="2"/>
  <c r="O63" i="2"/>
  <c r="O64" i="2"/>
  <c r="O40" i="2"/>
  <c r="O45" i="2"/>
  <c r="O46" i="2"/>
  <c r="O47" i="2"/>
  <c r="O48" i="2"/>
  <c r="O49" i="2"/>
  <c r="O39" i="2"/>
  <c r="O41" i="2"/>
  <c r="O42" i="2"/>
  <c r="O43" i="2"/>
  <c r="O44" i="2"/>
  <c r="O26" i="2"/>
  <c r="O27" i="2"/>
  <c r="O28" i="2"/>
  <c r="O29" i="2"/>
  <c r="O30" i="2"/>
  <c r="O32" i="2"/>
  <c r="O25" i="2"/>
  <c r="O31" i="2"/>
  <c r="O33" i="2"/>
  <c r="O34" i="2"/>
  <c r="O35" i="2"/>
  <c r="G23" i="12"/>
  <c r="C4" i="1" l="1"/>
  <c r="J12" i="4"/>
  <c r="J13" i="4"/>
  <c r="J14" i="4"/>
  <c r="J15" i="4"/>
  <c r="J16" i="4"/>
  <c r="J17" i="4"/>
  <c r="J18" i="4"/>
  <c r="J8" i="4"/>
  <c r="U211" i="1" l="1"/>
  <c r="G125" i="1"/>
  <c r="D286" i="6" s="1"/>
  <c r="C286" i="6" s="1"/>
  <c r="G126" i="1"/>
  <c r="D582" i="6" s="1"/>
  <c r="A582" i="6" s="1"/>
  <c r="G127" i="1"/>
  <c r="D237" i="6" s="1"/>
  <c r="G128" i="1"/>
  <c r="D289" i="6" s="1"/>
  <c r="C289" i="6" s="1"/>
  <c r="G129" i="1"/>
  <c r="D290" i="6" s="1"/>
  <c r="E290" i="6" s="1"/>
  <c r="G130" i="1"/>
  <c r="G131" i="1"/>
  <c r="G132" i="1"/>
  <c r="G133" i="1"/>
  <c r="G134" i="1"/>
  <c r="G135" i="1"/>
  <c r="G136" i="1"/>
  <c r="D297" i="6" s="1"/>
  <c r="G137" i="1"/>
  <c r="D298" i="6" s="1"/>
  <c r="G138" i="1"/>
  <c r="G139" i="1"/>
  <c r="G140" i="1"/>
  <c r="D301" i="6" s="1"/>
  <c r="C301" i="6" s="1"/>
  <c r="G141" i="1"/>
  <c r="D302" i="6" s="1"/>
  <c r="E302" i="6" s="1"/>
  <c r="G142" i="1"/>
  <c r="G143" i="1"/>
  <c r="G144" i="1"/>
  <c r="G145" i="1"/>
  <c r="G146" i="1"/>
  <c r="G147" i="1"/>
  <c r="G148" i="1"/>
  <c r="D309" i="6" s="1"/>
  <c r="G149" i="1"/>
  <c r="D310" i="6" s="1"/>
  <c r="E310" i="6" s="1"/>
  <c r="G150" i="1"/>
  <c r="D658" i="6" s="1"/>
  <c r="G151" i="1"/>
  <c r="D659" i="6" s="1"/>
  <c r="G152" i="1"/>
  <c r="D313" i="6" s="1"/>
  <c r="E313" i="6" s="1"/>
  <c r="G153" i="1"/>
  <c r="D314" i="6" s="1"/>
  <c r="E314" i="6" s="1"/>
  <c r="G154" i="1"/>
  <c r="D662" i="6" s="1"/>
  <c r="C662" i="6" s="1"/>
  <c r="G155" i="1"/>
  <c r="G156" i="1"/>
  <c r="G157" i="1"/>
  <c r="D613" i="6" s="1"/>
  <c r="G158" i="1"/>
  <c r="G159" i="1"/>
  <c r="G160" i="1"/>
  <c r="D321" i="6" s="1"/>
  <c r="G321" i="6" s="1"/>
  <c r="G161" i="1"/>
  <c r="D322" i="6" s="1"/>
  <c r="G162" i="1"/>
  <c r="D670" i="6" s="1"/>
  <c r="G163" i="1"/>
  <c r="D273" i="6" s="1"/>
  <c r="G164" i="1"/>
  <c r="D325" i="6" s="1"/>
  <c r="G165" i="1"/>
  <c r="D275" i="6" s="1"/>
  <c r="G166" i="1"/>
  <c r="G167" i="1"/>
  <c r="D328" i="6"/>
  <c r="G168" i="1"/>
  <c r="D624" i="6" s="1"/>
  <c r="G169" i="1"/>
  <c r="G170" i="1"/>
  <c r="D280" i="6" s="1"/>
  <c r="G171" i="1"/>
  <c r="D281" i="6" s="1"/>
  <c r="F281" i="6" s="1"/>
  <c r="D332" i="6"/>
  <c r="G172" i="1"/>
  <c r="D333" i="6" s="1"/>
  <c r="C333" i="6" s="1"/>
  <c r="G173" i="1"/>
  <c r="D334" i="6" s="1"/>
  <c r="G124" i="1"/>
  <c r="D235" i="6"/>
  <c r="C235" i="6" s="1"/>
  <c r="D238" i="6"/>
  <c r="G238" i="6" s="1"/>
  <c r="D246" i="6"/>
  <c r="G246" i="6" s="1"/>
  <c r="D247" i="6"/>
  <c r="F247" i="6" s="1"/>
  <c r="D250" i="6"/>
  <c r="D251" i="6"/>
  <c r="G251" i="6" s="1"/>
  <c r="D259" i="6"/>
  <c r="D270" i="6"/>
  <c r="G270" i="6" s="1"/>
  <c r="F280" i="6"/>
  <c r="G280" i="6"/>
  <c r="G281" i="6"/>
  <c r="G81" i="1"/>
  <c r="D191" i="6" s="1"/>
  <c r="G82" i="1"/>
  <c r="D192" i="6" s="1"/>
  <c r="G83" i="1"/>
  <c r="D193" i="6" s="1"/>
  <c r="G84" i="1"/>
  <c r="D143" i="6" s="1"/>
  <c r="G85" i="1"/>
  <c r="D144" i="6" s="1"/>
  <c r="G144" i="6" s="1"/>
  <c r="G86" i="1"/>
  <c r="D196" i="6"/>
  <c r="C196" i="6" s="1"/>
  <c r="G87" i="1"/>
  <c r="D197" i="6" s="1"/>
  <c r="G88" i="1"/>
  <c r="D198" i="6" s="1"/>
  <c r="G89" i="1"/>
  <c r="D199" i="6" s="1"/>
  <c r="E199" i="6" s="1"/>
  <c r="G90" i="1"/>
  <c r="D495" i="6" s="1"/>
  <c r="G91" i="1"/>
  <c r="D496" i="6" s="1"/>
  <c r="G92" i="1"/>
  <c r="D151" i="6" s="1"/>
  <c r="F151" i="6" s="1"/>
  <c r="G93" i="1"/>
  <c r="G94" i="1"/>
  <c r="D204" i="6" s="1"/>
  <c r="G95" i="1"/>
  <c r="D500" i="6" s="1"/>
  <c r="G96" i="1"/>
  <c r="D501" i="6" s="1"/>
  <c r="A501" i="6" s="1"/>
  <c r="G97" i="1"/>
  <c r="D156" i="6" s="1"/>
  <c r="G156" i="6" s="1"/>
  <c r="G98" i="1"/>
  <c r="D208" i="6" s="1"/>
  <c r="G99" i="1"/>
  <c r="G100" i="1"/>
  <c r="D159" i="6" s="1"/>
  <c r="D210" i="6"/>
  <c r="E210" i="6" s="1"/>
  <c r="G101" i="1"/>
  <c r="D211" i="6" s="1"/>
  <c r="E211" i="6" s="1"/>
  <c r="G102" i="1"/>
  <c r="G103" i="1"/>
  <c r="D162" i="6" s="1"/>
  <c r="G104" i="1"/>
  <c r="D163" i="6" s="1"/>
  <c r="F163" i="6" s="1"/>
  <c r="G105" i="1"/>
  <c r="D215" i="6" s="1"/>
  <c r="E215" i="6" s="1"/>
  <c r="G106" i="1"/>
  <c r="D165" i="6" s="1"/>
  <c r="G107" i="1"/>
  <c r="D166" i="6" s="1"/>
  <c r="A166" i="6" s="1"/>
  <c r="G108" i="1"/>
  <c r="D167" i="6" s="1"/>
  <c r="E167" i="6" s="1"/>
  <c r="G109" i="1"/>
  <c r="D219" i="6" s="1"/>
  <c r="G110" i="1"/>
  <c r="G111" i="1"/>
  <c r="D170" i="6" s="1"/>
  <c r="E170" i="6" s="1"/>
  <c r="G112" i="1"/>
  <c r="D222" i="6" s="1"/>
  <c r="F222" i="6" s="1"/>
  <c r="G113" i="1"/>
  <c r="D223" i="6" s="1"/>
  <c r="E223" i="6" s="1"/>
  <c r="G114" i="1"/>
  <c r="D224" i="6" s="1"/>
  <c r="G115" i="1"/>
  <c r="D174" i="6" s="1"/>
  <c r="G116" i="1"/>
  <c r="D175" i="6" s="1"/>
  <c r="F175" i="6" s="1"/>
  <c r="G117" i="1"/>
  <c r="G118" i="1"/>
  <c r="G119" i="1"/>
  <c r="D178" i="6" s="1"/>
  <c r="A178" i="6" s="1"/>
  <c r="G120" i="1"/>
  <c r="D230" i="6" s="1"/>
  <c r="G72" i="1"/>
  <c r="D182" i="6" s="1"/>
  <c r="C182" i="6" s="1"/>
  <c r="D145" i="6"/>
  <c r="A145" i="6" s="1"/>
  <c r="D147" i="6"/>
  <c r="A147" i="6" s="1"/>
  <c r="D148" i="6"/>
  <c r="G175" i="6"/>
  <c r="G21" i="1"/>
  <c r="D80" i="6" s="1"/>
  <c r="E80" i="6" s="1"/>
  <c r="G22" i="1"/>
  <c r="G23" i="1"/>
  <c r="D82" i="6" s="1"/>
  <c r="E82" i="6" s="1"/>
  <c r="G24" i="1"/>
  <c r="G25" i="1"/>
  <c r="G26" i="1"/>
  <c r="G27" i="1"/>
  <c r="G28" i="1"/>
  <c r="D381" i="6" s="1"/>
  <c r="G29" i="1"/>
  <c r="D88" i="6" s="1"/>
  <c r="G30" i="1"/>
  <c r="D37" i="6" s="1"/>
  <c r="C37" i="6" s="1"/>
  <c r="G31" i="1"/>
  <c r="D436" i="6" s="1"/>
  <c r="G32" i="1"/>
  <c r="D91" i="6" s="1"/>
  <c r="C91" i="6" s="1"/>
  <c r="G33" i="1"/>
  <c r="D40" i="6" s="1"/>
  <c r="G34" i="1"/>
  <c r="G35" i="1"/>
  <c r="D42" i="6" s="1"/>
  <c r="G36" i="1"/>
  <c r="D95" i="6" s="1"/>
  <c r="G37" i="1"/>
  <c r="G38" i="1"/>
  <c r="D45" i="6" s="1"/>
  <c r="G39" i="1"/>
  <c r="D46" i="6" s="1"/>
  <c r="G40" i="1"/>
  <c r="D393" i="6" s="1"/>
  <c r="A393" i="6" s="1"/>
  <c r="G41" i="1"/>
  <c r="G42" i="1"/>
  <c r="D49" i="6" s="1"/>
  <c r="C49" i="6" s="1"/>
  <c r="G43" i="1"/>
  <c r="D102" i="6" s="1"/>
  <c r="G44" i="1"/>
  <c r="D103" i="6" s="1"/>
  <c r="E103" i="6" s="1"/>
  <c r="G45" i="1"/>
  <c r="D104" i="6" s="1"/>
  <c r="G46" i="1"/>
  <c r="D53" i="6" s="1"/>
  <c r="A53" i="6" s="1"/>
  <c r="G47" i="1"/>
  <c r="D400" i="6" s="1"/>
  <c r="A400" i="6" s="1"/>
  <c r="G48" i="1"/>
  <c r="G49" i="1"/>
  <c r="G50" i="1"/>
  <c r="D57" i="6" s="1"/>
  <c r="G51" i="1"/>
  <c r="D404" i="6" s="1"/>
  <c r="G52" i="1"/>
  <c r="D111" i="6" s="1"/>
  <c r="G53" i="1"/>
  <c r="G54" i="1"/>
  <c r="D61" i="6" s="1"/>
  <c r="G55" i="1"/>
  <c r="D408" i="6" s="1"/>
  <c r="A408" i="6" s="1"/>
  <c r="G56" i="1"/>
  <c r="D115" i="6" s="1"/>
  <c r="C115" i="6" s="1"/>
  <c r="G57" i="1"/>
  <c r="D116" i="6" s="1"/>
  <c r="G58" i="1"/>
  <c r="D65" i="6" s="1"/>
  <c r="E65" i="6" s="1"/>
  <c r="G59" i="1"/>
  <c r="G60" i="1"/>
  <c r="G61" i="1"/>
  <c r="D414" i="6" s="1"/>
  <c r="C414" i="6" s="1"/>
  <c r="G62" i="1"/>
  <c r="G63" i="1"/>
  <c r="D122" i="6" s="1"/>
  <c r="G64" i="1"/>
  <c r="D417" i="6" s="1"/>
  <c r="A417" i="6" s="1"/>
  <c r="G65" i="1"/>
  <c r="D418" i="6" s="1"/>
  <c r="C418" i="6" s="1"/>
  <c r="G66" i="1"/>
  <c r="G67" i="1"/>
  <c r="D472" i="6" s="1"/>
  <c r="G68" i="1"/>
  <c r="D127" i="6"/>
  <c r="E127" i="6" s="1"/>
  <c r="G69" i="1"/>
  <c r="D422" i="6" s="1"/>
  <c r="G20" i="1"/>
  <c r="D27" i="6" s="1"/>
  <c r="A27" i="6" s="1"/>
  <c r="D51" i="6"/>
  <c r="G51" i="6" s="1"/>
  <c r="D59" i="6"/>
  <c r="F59" i="6" s="1"/>
  <c r="D75" i="6"/>
  <c r="G75" i="6" s="1"/>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E633" i="6"/>
  <c r="E634" i="6"/>
  <c r="E635" i="6"/>
  <c r="E636" i="6"/>
  <c r="D637" i="6"/>
  <c r="E637" i="6"/>
  <c r="E638" i="6"/>
  <c r="D639" i="6"/>
  <c r="C639" i="6" s="1"/>
  <c r="E639" i="6"/>
  <c r="E640" i="6"/>
  <c r="E641" i="6"/>
  <c r="E642" i="6"/>
  <c r="E643" i="6"/>
  <c r="D644" i="6"/>
  <c r="C644" i="6" s="1"/>
  <c r="E644" i="6"/>
  <c r="D645" i="6"/>
  <c r="C645" i="6" s="1"/>
  <c r="E645" i="6"/>
  <c r="E646" i="6"/>
  <c r="D647" i="6"/>
  <c r="C647" i="6" s="1"/>
  <c r="E647" i="6"/>
  <c r="D648" i="6"/>
  <c r="E648" i="6"/>
  <c r="E649" i="6"/>
  <c r="E650" i="6"/>
  <c r="D651" i="6"/>
  <c r="A651" i="6" s="1"/>
  <c r="E651" i="6"/>
  <c r="E652" i="6"/>
  <c r="E653" i="6"/>
  <c r="E654" i="6"/>
  <c r="E655" i="6"/>
  <c r="D656" i="6"/>
  <c r="C656" i="6" s="1"/>
  <c r="E656" i="6"/>
  <c r="E657" i="6"/>
  <c r="E658" i="6"/>
  <c r="E659" i="6"/>
  <c r="D660" i="6"/>
  <c r="C660" i="6" s="1"/>
  <c r="E660" i="6"/>
  <c r="D661" i="6"/>
  <c r="E661" i="6"/>
  <c r="E662" i="6"/>
  <c r="D663" i="6"/>
  <c r="E663" i="6"/>
  <c r="E664" i="6"/>
  <c r="E665" i="6"/>
  <c r="E666" i="6"/>
  <c r="E667" i="6"/>
  <c r="D668" i="6"/>
  <c r="E668" i="6"/>
  <c r="E669" i="6"/>
  <c r="E670" i="6"/>
  <c r="E671" i="6"/>
  <c r="D672" i="6"/>
  <c r="E672" i="6"/>
  <c r="E673" i="6"/>
  <c r="E674" i="6"/>
  <c r="E675" i="6"/>
  <c r="E676" i="6"/>
  <c r="E677" i="6"/>
  <c r="E678" i="6"/>
  <c r="D679" i="6"/>
  <c r="C679" i="6" s="1"/>
  <c r="E679" i="6"/>
  <c r="D680" i="6"/>
  <c r="C680" i="6" s="1"/>
  <c r="E680" i="6"/>
  <c r="D681" i="6"/>
  <c r="A681" i="6" s="1"/>
  <c r="E681" i="6"/>
  <c r="E632" i="6"/>
  <c r="C668" i="6"/>
  <c r="A668" i="6"/>
  <c r="C661" i="6"/>
  <c r="A661" i="6"/>
  <c r="A645" i="6"/>
  <c r="A639" i="6"/>
  <c r="C637" i="6"/>
  <c r="A637"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285" i="6"/>
  <c r="H234" i="6"/>
  <c r="E333" i="6"/>
  <c r="A333" i="6"/>
  <c r="C332" i="6"/>
  <c r="E325" i="6"/>
  <c r="C325" i="6"/>
  <c r="A325" i="6"/>
  <c r="E322" i="6"/>
  <c r="N9" i="1"/>
  <c r="O13" i="1"/>
  <c r="P13" i="1" s="1"/>
  <c r="I20" i="6" s="1"/>
  <c r="O14" i="1"/>
  <c r="P14" i="1" s="1"/>
  <c r="O15" i="1"/>
  <c r="P15" i="1" s="1"/>
  <c r="O16" i="1"/>
  <c r="P16" i="1" s="1"/>
  <c r="O17" i="1"/>
  <c r="P17" i="1" s="1"/>
  <c r="Q17" i="1" s="1"/>
  <c r="R17" i="1" s="1"/>
  <c r="O176" i="1"/>
  <c r="O180" i="1"/>
  <c r="O181" i="1"/>
  <c r="O182" i="1"/>
  <c r="O183" i="1"/>
  <c r="O184" i="1"/>
  <c r="O185" i="1"/>
  <c r="O193" i="1"/>
  <c r="O194" i="1"/>
  <c r="O195" i="1"/>
  <c r="O196" i="1"/>
  <c r="O201" i="1"/>
  <c r="O202" i="1"/>
  <c r="O203" i="1"/>
  <c r="O204" i="1"/>
  <c r="O205" i="1"/>
  <c r="O206" i="1"/>
  <c r="O207" i="1"/>
  <c r="O208" i="1"/>
  <c r="O10" i="1"/>
  <c r="P10" i="1" s="1"/>
  <c r="AD10" i="1" s="1"/>
  <c r="O11" i="1"/>
  <c r="P11" i="1" s="1"/>
  <c r="O12" i="1"/>
  <c r="P12" i="1" s="1"/>
  <c r="O177" i="1"/>
  <c r="O178" i="1"/>
  <c r="O179" i="1"/>
  <c r="O186" i="1"/>
  <c r="O188" i="1"/>
  <c r="O189" i="1"/>
  <c r="O190" i="1"/>
  <c r="O191" i="1"/>
  <c r="O192" i="1"/>
  <c r="O197" i="1"/>
  <c r="O200" i="1"/>
  <c r="O209" i="1"/>
  <c r="O124" i="1"/>
  <c r="O173" i="1"/>
  <c r="O23" i="1"/>
  <c r="O21"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28" i="1"/>
  <c r="O129" i="1"/>
  <c r="O130" i="1"/>
  <c r="O131" i="1"/>
  <c r="O132" i="1"/>
  <c r="O125" i="1"/>
  <c r="O127" i="1"/>
  <c r="O126" i="1"/>
  <c r="O174" i="1"/>
  <c r="O20" i="1"/>
  <c r="O22" i="1"/>
  <c r="O24" i="1"/>
  <c r="O25" i="1"/>
  <c r="O26" i="1"/>
  <c r="O27" i="1"/>
  <c r="O69" i="1"/>
  <c r="O72" i="1"/>
  <c r="O73" i="1"/>
  <c r="O74" i="1"/>
  <c r="O75" i="1"/>
  <c r="O76" i="1"/>
  <c r="O77" i="1"/>
  <c r="O78" i="1"/>
  <c r="O79" i="1"/>
  <c r="O80" i="1"/>
  <c r="O121" i="1"/>
  <c r="E321" i="6"/>
  <c r="C321" i="6"/>
  <c r="A321" i="6"/>
  <c r="A314" i="6"/>
  <c r="C313" i="6"/>
  <c r="A313" i="6"/>
  <c r="C310" i="6"/>
  <c r="A310" i="6"/>
  <c r="E309" i="6"/>
  <c r="C309" i="6"/>
  <c r="A309" i="6"/>
  <c r="E301" i="6"/>
  <c r="A301" i="6"/>
  <c r="E298" i="6"/>
  <c r="C298" i="6"/>
  <c r="A298" i="6"/>
  <c r="E297" i="6"/>
  <c r="C297" i="6"/>
  <c r="A297" i="6"/>
  <c r="A290" i="6"/>
  <c r="E289" i="6"/>
  <c r="A289" i="6"/>
  <c r="E286" i="6"/>
  <c r="A286" i="6"/>
  <c r="G121" i="1"/>
  <c r="D231" i="6" s="1"/>
  <c r="G80" i="1"/>
  <c r="D190" i="6" s="1"/>
  <c r="G79" i="1"/>
  <c r="D189" i="6" s="1"/>
  <c r="G78" i="1"/>
  <c r="D188" i="6" s="1"/>
  <c r="E188" i="6" s="1"/>
  <c r="G77" i="1"/>
  <c r="D187" i="6" s="1"/>
  <c r="D533" i="6" s="1"/>
  <c r="A533" i="6" s="1"/>
  <c r="G76" i="1"/>
  <c r="D186" i="6" s="1"/>
  <c r="E186" i="6" s="1"/>
  <c r="G75" i="1"/>
  <c r="D185" i="6" s="1"/>
  <c r="A185" i="6" s="1"/>
  <c r="G74" i="1"/>
  <c r="D184" i="6" s="1"/>
  <c r="E184" i="6" s="1"/>
  <c r="G73" i="1"/>
  <c r="D478" i="6" s="1"/>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D530" i="6"/>
  <c r="D534" i="6"/>
  <c r="D535" i="6"/>
  <c r="A535" i="6" s="1"/>
  <c r="D536" i="6"/>
  <c r="A536" i="6" s="1"/>
  <c r="D537" i="6"/>
  <c r="C537" i="6" s="1"/>
  <c r="D538" i="6"/>
  <c r="D539" i="6"/>
  <c r="A539" i="6" s="1"/>
  <c r="D540" i="6"/>
  <c r="D541" i="6"/>
  <c r="A541" i="6" s="1"/>
  <c r="D542" i="6"/>
  <c r="A542" i="6" s="1"/>
  <c r="D543" i="6"/>
  <c r="D544" i="6"/>
  <c r="A544" i="6" s="1"/>
  <c r="D545" i="6"/>
  <c r="C545" i="6" s="1"/>
  <c r="D546" i="6"/>
  <c r="D547" i="6"/>
  <c r="C547" i="6" s="1"/>
  <c r="D548" i="6"/>
  <c r="A548" i="6" s="1"/>
  <c r="D549" i="6"/>
  <c r="A549" i="6" s="1"/>
  <c r="D550" i="6"/>
  <c r="A550" i="6" s="1"/>
  <c r="D551" i="6"/>
  <c r="C551" i="6" s="1"/>
  <c r="D552" i="6"/>
  <c r="D553" i="6"/>
  <c r="C553" i="6" s="1"/>
  <c r="D554" i="6"/>
  <c r="D555" i="6"/>
  <c r="D556" i="6"/>
  <c r="A556" i="6" s="1"/>
  <c r="D557" i="6"/>
  <c r="A557" i="6" s="1"/>
  <c r="D558" i="6"/>
  <c r="A558" i="6" s="1"/>
  <c r="D559" i="6"/>
  <c r="C559" i="6" s="1"/>
  <c r="D560" i="6"/>
  <c r="A560" i="6" s="1"/>
  <c r="D561" i="6"/>
  <c r="D562" i="6"/>
  <c r="D563" i="6"/>
  <c r="C563" i="6" s="1"/>
  <c r="D564" i="6"/>
  <c r="D565" i="6"/>
  <c r="D566" i="6"/>
  <c r="D567" i="6"/>
  <c r="A567" i="6" s="1"/>
  <c r="D568" i="6"/>
  <c r="A568" i="6" s="1"/>
  <c r="D569" i="6"/>
  <c r="C569" i="6" s="1"/>
  <c r="D570" i="6"/>
  <c r="D571" i="6"/>
  <c r="C571" i="6" s="1"/>
  <c r="D572" i="6"/>
  <c r="A572" i="6" s="1"/>
  <c r="D573" i="6"/>
  <c r="D574" i="6"/>
  <c r="D575" i="6"/>
  <c r="C575" i="6" s="1"/>
  <c r="D576" i="6"/>
  <c r="D577" i="6"/>
  <c r="E528" i="6"/>
  <c r="C568" i="6"/>
  <c r="C567" i="6"/>
  <c r="C555" i="6"/>
  <c r="A555" i="6"/>
  <c r="C550" i="6"/>
  <c r="C543" i="6"/>
  <c r="A543" i="6"/>
  <c r="C539" i="6"/>
  <c r="C536"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18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31" i="6"/>
  <c r="E231" i="6"/>
  <c r="A231" i="6"/>
  <c r="C222" i="6"/>
  <c r="A222" i="6"/>
  <c r="C219" i="6"/>
  <c r="A215" i="6"/>
  <c r="A198" i="6"/>
  <c r="C190" i="6"/>
  <c r="A190" i="6"/>
  <c r="E189" i="6"/>
  <c r="A189" i="6"/>
  <c r="N18" i="2"/>
  <c r="H11" i="2"/>
  <c r="F18" i="2"/>
  <c r="E426" i="6"/>
  <c r="E427" i="6"/>
  <c r="E428" i="6"/>
  <c r="E429" i="6"/>
  <c r="D430" i="6"/>
  <c r="E430" i="6"/>
  <c r="E431" i="6"/>
  <c r="E432" i="6"/>
  <c r="D433" i="6"/>
  <c r="C433" i="6" s="1"/>
  <c r="E433" i="6"/>
  <c r="E434" i="6"/>
  <c r="E435" i="6"/>
  <c r="E436" i="6"/>
  <c r="E437" i="6"/>
  <c r="D438" i="6"/>
  <c r="A438" i="6" s="1"/>
  <c r="E438" i="6"/>
  <c r="E439" i="6"/>
  <c r="E440" i="6"/>
  <c r="E441" i="6"/>
  <c r="E442" i="6"/>
  <c r="E443" i="6"/>
  <c r="E444" i="6"/>
  <c r="E445" i="6"/>
  <c r="E446" i="6"/>
  <c r="E447" i="6"/>
  <c r="E448" i="6"/>
  <c r="D449" i="6"/>
  <c r="C449" i="6" s="1"/>
  <c r="E449" i="6"/>
  <c r="E450" i="6"/>
  <c r="E451" i="6"/>
  <c r="E452" i="6"/>
  <c r="D453" i="6"/>
  <c r="C453" i="6" s="1"/>
  <c r="E453" i="6"/>
  <c r="E454" i="6"/>
  <c r="E455" i="6"/>
  <c r="E456" i="6"/>
  <c r="D457" i="6"/>
  <c r="C457" i="6" s="1"/>
  <c r="E457" i="6"/>
  <c r="E458" i="6"/>
  <c r="E459" i="6"/>
  <c r="E460" i="6"/>
  <c r="E461" i="6"/>
  <c r="E462" i="6"/>
  <c r="E463" i="6"/>
  <c r="E464" i="6"/>
  <c r="E465" i="6"/>
  <c r="E466" i="6"/>
  <c r="E467" i="6"/>
  <c r="E468" i="6"/>
  <c r="E469" i="6"/>
  <c r="E470" i="6"/>
  <c r="E471" i="6"/>
  <c r="E472" i="6"/>
  <c r="D473" i="6"/>
  <c r="C473" i="6" s="1"/>
  <c r="E473" i="6"/>
  <c r="E474" i="6"/>
  <c r="E425" i="6"/>
  <c r="H80" i="6"/>
  <c r="X11" i="2"/>
  <c r="V18" i="2"/>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V29" i="2"/>
  <c r="X29" i="2" s="1"/>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9" i="6"/>
  <c r="H27" i="6"/>
  <c r="A80" i="6"/>
  <c r="A78" i="6"/>
  <c r="A77" i="6"/>
  <c r="A276" i="1"/>
  <c r="A277" i="1"/>
  <c r="A278" i="1"/>
  <c r="A279" i="1"/>
  <c r="A280" i="1"/>
  <c r="A281" i="1"/>
  <c r="A282" i="1"/>
  <c r="A283" i="1"/>
  <c r="A284" i="1"/>
  <c r="A285" i="1"/>
  <c r="B285" i="1"/>
  <c r="B278" i="1"/>
  <c r="J9" i="1"/>
  <c r="J8" i="1"/>
  <c r="J11" i="19"/>
  <c r="N11" i="19" s="1"/>
  <c r="J14" i="19"/>
  <c r="N14" i="19" s="1"/>
  <c r="J28" i="19"/>
  <c r="N28" i="19" s="1"/>
  <c r="D34" i="19"/>
  <c r="K11" i="19"/>
  <c r="L11" i="19"/>
  <c r="J12" i="19"/>
  <c r="N12" i="19" s="1"/>
  <c r="K12" i="19"/>
  <c r="K34" i="19" s="1"/>
  <c r="L12" i="19"/>
  <c r="J13" i="19"/>
  <c r="N13" i="19" s="1"/>
  <c r="K13" i="19"/>
  <c r="L13" i="19"/>
  <c r="K14" i="19"/>
  <c r="L14" i="19"/>
  <c r="J15" i="19"/>
  <c r="N15" i="19" s="1"/>
  <c r="K15" i="19"/>
  <c r="L15" i="19"/>
  <c r="J16" i="19"/>
  <c r="N16" i="19" s="1"/>
  <c r="K16" i="19"/>
  <c r="L16" i="19"/>
  <c r="J17" i="19"/>
  <c r="N17" i="19" s="1"/>
  <c r="K17" i="19"/>
  <c r="L17" i="19"/>
  <c r="J18" i="19"/>
  <c r="N18" i="19" s="1"/>
  <c r="K18" i="19"/>
  <c r="L18" i="19"/>
  <c r="J19" i="19"/>
  <c r="N19" i="19" s="1"/>
  <c r="K19" i="19"/>
  <c r="L19" i="19"/>
  <c r="J20" i="19"/>
  <c r="N20" i="19" s="1"/>
  <c r="K20" i="19"/>
  <c r="L20" i="19"/>
  <c r="J21" i="19"/>
  <c r="N21" i="19" s="1"/>
  <c r="K21" i="19"/>
  <c r="L21" i="19"/>
  <c r="J22" i="19"/>
  <c r="N22" i="19" s="1"/>
  <c r="K22" i="19"/>
  <c r="L22" i="19"/>
  <c r="J23" i="19"/>
  <c r="N23" i="19" s="1"/>
  <c r="K23" i="19"/>
  <c r="L23" i="19"/>
  <c r="J24" i="19"/>
  <c r="N24" i="19" s="1"/>
  <c r="K24" i="19"/>
  <c r="L24" i="19"/>
  <c r="J25" i="19"/>
  <c r="N25" i="19" s="1"/>
  <c r="K25" i="19"/>
  <c r="L25" i="19"/>
  <c r="J26" i="19"/>
  <c r="N26" i="19" s="1"/>
  <c r="K26" i="19"/>
  <c r="L26" i="19"/>
  <c r="J27" i="19"/>
  <c r="N27" i="19" s="1"/>
  <c r="K27" i="19"/>
  <c r="L27" i="19"/>
  <c r="K28" i="19"/>
  <c r="L28" i="19"/>
  <c r="J29" i="19"/>
  <c r="K29" i="19"/>
  <c r="L29" i="19"/>
  <c r="J30" i="19"/>
  <c r="N30" i="19" s="1"/>
  <c r="K30" i="19"/>
  <c r="L30" i="19"/>
  <c r="J31" i="19"/>
  <c r="N31" i="19" s="1"/>
  <c r="K31" i="19"/>
  <c r="L31" i="19"/>
  <c r="J32" i="19"/>
  <c r="N32" i="19" s="1"/>
  <c r="K32" i="19"/>
  <c r="L32" i="19"/>
  <c r="J33" i="19"/>
  <c r="N33" i="19" s="1"/>
  <c r="K33" i="19"/>
  <c r="L33" i="19"/>
  <c r="K10" i="19"/>
  <c r="L10" i="19"/>
  <c r="J10" i="19"/>
  <c r="N10" i="19" s="1"/>
  <c r="L57" i="20"/>
  <c r="M57" i="20" s="1"/>
  <c r="J57" i="20"/>
  <c r="K57" i="20" s="1"/>
  <c r="L56" i="20"/>
  <c r="J56" i="20"/>
  <c r="K56" i="20"/>
  <c r="L55" i="20"/>
  <c r="J55" i="20"/>
  <c r="K55" i="20" s="1"/>
  <c r="M55" i="20" s="1"/>
  <c r="L54" i="20"/>
  <c r="J54" i="20"/>
  <c r="K54" i="20"/>
  <c r="L53" i="20"/>
  <c r="J53" i="20"/>
  <c r="K53" i="20" s="1"/>
  <c r="L52" i="20"/>
  <c r="J52" i="20"/>
  <c r="K52" i="20" s="1"/>
  <c r="L51" i="20"/>
  <c r="J51" i="20"/>
  <c r="K51" i="20" s="1"/>
  <c r="L50" i="20"/>
  <c r="J50" i="20"/>
  <c r="K50" i="20"/>
  <c r="L49" i="20"/>
  <c r="J49" i="20"/>
  <c r="K49" i="20" s="1"/>
  <c r="L48" i="20"/>
  <c r="J48" i="20"/>
  <c r="K48" i="20" s="1"/>
  <c r="M48" i="20" s="1"/>
  <c r="L47" i="20"/>
  <c r="J47" i="20"/>
  <c r="K47" i="20" s="1"/>
  <c r="L46" i="20"/>
  <c r="J46" i="20"/>
  <c r="K46" i="20" s="1"/>
  <c r="L45" i="20"/>
  <c r="J45" i="20"/>
  <c r="K45" i="20"/>
  <c r="L44" i="20"/>
  <c r="J44" i="20"/>
  <c r="K44" i="20" s="1"/>
  <c r="L43" i="20"/>
  <c r="J43" i="20"/>
  <c r="K43" i="20" s="1"/>
  <c r="L42" i="20"/>
  <c r="M42" i="20" s="1"/>
  <c r="J42" i="20"/>
  <c r="K42" i="20"/>
  <c r="L41" i="20"/>
  <c r="J41" i="20"/>
  <c r="K41" i="20"/>
  <c r="L40" i="20"/>
  <c r="J40" i="20"/>
  <c r="K40" i="20" s="1"/>
  <c r="M40" i="20" s="1"/>
  <c r="L39" i="20"/>
  <c r="M39" i="20" s="1"/>
  <c r="J39" i="20"/>
  <c r="K39" i="20"/>
  <c r="L38" i="20"/>
  <c r="J38" i="20"/>
  <c r="K38" i="20" s="1"/>
  <c r="M38" i="20" s="1"/>
  <c r="L37" i="20"/>
  <c r="J37" i="20"/>
  <c r="K37" i="20" s="1"/>
  <c r="M37" i="20" s="1"/>
  <c r="L36" i="20"/>
  <c r="J36" i="20"/>
  <c r="K36" i="20" s="1"/>
  <c r="L35" i="20"/>
  <c r="J35" i="20"/>
  <c r="K35" i="20"/>
  <c r="L34" i="20"/>
  <c r="M34" i="20" s="1"/>
  <c r="J34" i="20"/>
  <c r="J7" i="20"/>
  <c r="K7" i="20"/>
  <c r="L7" i="20"/>
  <c r="J8" i="20"/>
  <c r="K8" i="20" s="1"/>
  <c r="L8" i="20"/>
  <c r="J9" i="20"/>
  <c r="K9" i="20" s="1"/>
  <c r="L9" i="20"/>
  <c r="J10" i="20"/>
  <c r="K10" i="20" s="1"/>
  <c r="L10" i="20"/>
  <c r="J11" i="20"/>
  <c r="L11" i="20"/>
  <c r="J12" i="20"/>
  <c r="K12" i="20" s="1"/>
  <c r="L12" i="20"/>
  <c r="J13" i="20"/>
  <c r="K13" i="20" s="1"/>
  <c r="L13" i="20"/>
  <c r="M13" i="20" s="1"/>
  <c r="J14" i="20"/>
  <c r="K14" i="20" s="1"/>
  <c r="L14" i="20"/>
  <c r="J15" i="20"/>
  <c r="K15" i="20"/>
  <c r="L15" i="20"/>
  <c r="M15" i="20" s="1"/>
  <c r="J16" i="20"/>
  <c r="K16" i="20" s="1"/>
  <c r="L16" i="20"/>
  <c r="M16" i="20" s="1"/>
  <c r="J17" i="20"/>
  <c r="K17" i="20" s="1"/>
  <c r="M17" i="20" s="1"/>
  <c r="L17" i="20"/>
  <c r="J18" i="20"/>
  <c r="K18" i="20" s="1"/>
  <c r="L18" i="20"/>
  <c r="M18" i="20" s="1"/>
  <c r="J19" i="20"/>
  <c r="K19" i="20" s="1"/>
  <c r="L19" i="20"/>
  <c r="J20" i="20"/>
  <c r="K20" i="20" s="1"/>
  <c r="L20" i="20"/>
  <c r="J21" i="20"/>
  <c r="K21" i="20"/>
  <c r="L21" i="20"/>
  <c r="M21" i="20" s="1"/>
  <c r="J22" i="20"/>
  <c r="K22" i="20" s="1"/>
  <c r="M22" i="20" s="1"/>
  <c r="L22" i="20"/>
  <c r="J23" i="20"/>
  <c r="K23" i="20"/>
  <c r="M23" i="20" s="1"/>
  <c r="L23" i="20"/>
  <c r="J24" i="20"/>
  <c r="K24" i="20" s="1"/>
  <c r="L24" i="20"/>
  <c r="J25" i="20"/>
  <c r="K25" i="20"/>
  <c r="L25" i="20"/>
  <c r="J26" i="20"/>
  <c r="K26" i="20" s="1"/>
  <c r="L26" i="20"/>
  <c r="M26" i="20" s="1"/>
  <c r="J27" i="20"/>
  <c r="K27" i="20" s="1"/>
  <c r="M27" i="20" s="1"/>
  <c r="L27" i="20"/>
  <c r="J28" i="20"/>
  <c r="K28" i="20" s="1"/>
  <c r="L28" i="20"/>
  <c r="M28" i="20" s="1"/>
  <c r="J29" i="20"/>
  <c r="K29" i="20" s="1"/>
  <c r="M29" i="20" s="1"/>
  <c r="L29" i="20"/>
  <c r="L6" i="20"/>
  <c r="J6" i="20"/>
  <c r="K6" i="20"/>
  <c r="G57" i="20"/>
  <c r="G56" i="20"/>
  <c r="G55" i="20"/>
  <c r="G54" i="20"/>
  <c r="G53" i="20"/>
  <c r="G52" i="20"/>
  <c r="G51" i="20"/>
  <c r="G50" i="20"/>
  <c r="G49" i="20"/>
  <c r="G48" i="20"/>
  <c r="G47" i="20"/>
  <c r="G46" i="20"/>
  <c r="G45" i="20"/>
  <c r="G44" i="20"/>
  <c r="G43" i="20"/>
  <c r="G42" i="20"/>
  <c r="G41" i="20"/>
  <c r="G40" i="20"/>
  <c r="G39" i="20"/>
  <c r="G38" i="20"/>
  <c r="G37" i="20"/>
  <c r="G36" i="20"/>
  <c r="G35" i="20"/>
  <c r="G34" i="20"/>
  <c r="G8" i="20"/>
  <c r="G9" i="20"/>
  <c r="G10" i="20"/>
  <c r="G11" i="20"/>
  <c r="G12" i="20"/>
  <c r="G13" i="20"/>
  <c r="G14" i="20"/>
  <c r="G15" i="20"/>
  <c r="G16" i="20"/>
  <c r="G17" i="20"/>
  <c r="G18" i="20"/>
  <c r="G19" i="20"/>
  <c r="G20" i="20"/>
  <c r="G21" i="20"/>
  <c r="G22" i="20"/>
  <c r="G23" i="20"/>
  <c r="G24" i="20"/>
  <c r="G25" i="20"/>
  <c r="G26" i="20"/>
  <c r="G27" i="20"/>
  <c r="G28" i="20"/>
  <c r="G29" i="20"/>
  <c r="G7" i="20"/>
  <c r="G6" i="20"/>
  <c r="O832" i="10"/>
  <c r="P832" i="10" s="1"/>
  <c r="O833" i="10"/>
  <c r="P833" i="10" s="1"/>
  <c r="O834" i="10"/>
  <c r="O835" i="10"/>
  <c r="O836" i="10"/>
  <c r="P836" i="10" s="1"/>
  <c r="O837" i="10"/>
  <c r="P837" i="10" s="1"/>
  <c r="O838" i="10"/>
  <c r="P838" i="10" s="1"/>
  <c r="O839" i="10"/>
  <c r="P839" i="10" s="1"/>
  <c r="O840" i="10"/>
  <c r="O841" i="10"/>
  <c r="O842" i="10"/>
  <c r="O843" i="10"/>
  <c r="O844" i="10"/>
  <c r="O845" i="10"/>
  <c r="O846" i="10"/>
  <c r="O847" i="10"/>
  <c r="O848" i="10"/>
  <c r="O849" i="10"/>
  <c r="O850" i="10"/>
  <c r="P850" i="10" s="1"/>
  <c r="O851" i="10"/>
  <c r="P851" i="10" s="1"/>
  <c r="P834" i="10"/>
  <c r="P835" i="10"/>
  <c r="P840" i="10"/>
  <c r="P841" i="10"/>
  <c r="P842" i="10"/>
  <c r="P843" i="10"/>
  <c r="P844" i="10"/>
  <c r="P845" i="10"/>
  <c r="P846" i="10"/>
  <c r="P847" i="10"/>
  <c r="P848" i="10"/>
  <c r="P849" i="10"/>
  <c r="R832" i="10"/>
  <c r="R833" i="10"/>
  <c r="R834" i="10"/>
  <c r="R835" i="10"/>
  <c r="R836" i="10"/>
  <c r="R837" i="10"/>
  <c r="R838" i="10"/>
  <c r="R839" i="10"/>
  <c r="R840" i="10"/>
  <c r="R841" i="10"/>
  <c r="R842" i="10"/>
  <c r="R843" i="10"/>
  <c r="R844" i="10"/>
  <c r="R845" i="10"/>
  <c r="R846" i="10"/>
  <c r="R847" i="10"/>
  <c r="R848" i="10"/>
  <c r="R849" i="10"/>
  <c r="R850" i="10"/>
  <c r="R851" i="10"/>
  <c r="T832" i="10"/>
  <c r="T833" i="10"/>
  <c r="T834" i="10"/>
  <c r="T835" i="10"/>
  <c r="T836" i="10"/>
  <c r="T837" i="10"/>
  <c r="T838" i="10"/>
  <c r="T839" i="10"/>
  <c r="T840" i="10"/>
  <c r="T841" i="10"/>
  <c r="T842" i="10"/>
  <c r="T843" i="10"/>
  <c r="T844" i="10"/>
  <c r="T845" i="10"/>
  <c r="T846" i="10"/>
  <c r="T847" i="10"/>
  <c r="T848" i="10"/>
  <c r="T849" i="10"/>
  <c r="T850" i="10"/>
  <c r="T851" i="10"/>
  <c r="U832" i="10"/>
  <c r="U833" i="10"/>
  <c r="U834" i="10"/>
  <c r="U835" i="10"/>
  <c r="U836" i="10"/>
  <c r="U837" i="10"/>
  <c r="U838" i="10"/>
  <c r="U839" i="10"/>
  <c r="U840" i="10"/>
  <c r="U841" i="10"/>
  <c r="U842" i="10"/>
  <c r="U843" i="10"/>
  <c r="U844" i="10"/>
  <c r="U845" i="10"/>
  <c r="U846" i="10"/>
  <c r="U847" i="10"/>
  <c r="U848" i="10"/>
  <c r="U849" i="10"/>
  <c r="U850" i="10"/>
  <c r="U851" i="10"/>
  <c r="O852" i="10"/>
  <c r="P852" i="10" s="1"/>
  <c r="O853" i="10"/>
  <c r="P853" i="10" s="1"/>
  <c r="O854" i="10"/>
  <c r="P854" i="10" s="1"/>
  <c r="O855" i="10"/>
  <c r="P855" i="10"/>
  <c r="O856" i="10"/>
  <c r="P856" i="10" s="1"/>
  <c r="O857" i="10"/>
  <c r="P857" i="10" s="1"/>
  <c r="O858" i="10"/>
  <c r="P858" i="10" s="1"/>
  <c r="O859" i="10"/>
  <c r="P859" i="10" s="1"/>
  <c r="O860" i="10"/>
  <c r="P860" i="10" s="1"/>
  <c r="O861" i="10"/>
  <c r="P861" i="10" s="1"/>
  <c r="R852" i="10"/>
  <c r="R853" i="10"/>
  <c r="R854" i="10"/>
  <c r="R855" i="10"/>
  <c r="R856" i="10"/>
  <c r="R857" i="10"/>
  <c r="R858" i="10"/>
  <c r="R859" i="10"/>
  <c r="R860" i="10"/>
  <c r="R861" i="10"/>
  <c r="T852" i="10"/>
  <c r="T853" i="10"/>
  <c r="T854" i="10"/>
  <c r="T855" i="10"/>
  <c r="T856" i="10"/>
  <c r="T857" i="10"/>
  <c r="T858" i="10"/>
  <c r="T859" i="10"/>
  <c r="T860" i="10"/>
  <c r="T861" i="10"/>
  <c r="U852" i="10"/>
  <c r="U853" i="10"/>
  <c r="U854" i="10"/>
  <c r="U855" i="10"/>
  <c r="U856" i="10"/>
  <c r="U857" i="10"/>
  <c r="U858" i="10"/>
  <c r="U859" i="10"/>
  <c r="U860" i="10"/>
  <c r="U861" i="10"/>
  <c r="O862" i="10"/>
  <c r="P862" i="10" s="1"/>
  <c r="O863" i="10"/>
  <c r="O864" i="10"/>
  <c r="P864" i="10" s="1"/>
  <c r="O865" i="10"/>
  <c r="P865" i="10" s="1"/>
  <c r="O866" i="10"/>
  <c r="P866" i="10" s="1"/>
  <c r="P863" i="10"/>
  <c r="R862" i="10"/>
  <c r="R863" i="10"/>
  <c r="R864" i="10"/>
  <c r="R865" i="10"/>
  <c r="R866" i="10"/>
  <c r="T862" i="10"/>
  <c r="T863" i="10"/>
  <c r="T864" i="10"/>
  <c r="T865" i="10"/>
  <c r="T866" i="10"/>
  <c r="U862" i="10"/>
  <c r="U863" i="10"/>
  <c r="U864" i="10"/>
  <c r="U865" i="10"/>
  <c r="U866" i="10"/>
  <c r="O22" i="10"/>
  <c r="P22" i="10" s="1"/>
  <c r="R22" i="10"/>
  <c r="T22" i="10"/>
  <c r="U22" i="10"/>
  <c r="O23" i="10"/>
  <c r="P23" i="10" s="1"/>
  <c r="R23" i="10"/>
  <c r="T23" i="10"/>
  <c r="U23" i="10"/>
  <c r="O24" i="10"/>
  <c r="P24" i="10" s="1"/>
  <c r="R24" i="10"/>
  <c r="T24" i="10"/>
  <c r="U24" i="10"/>
  <c r="O25" i="10"/>
  <c r="P25" i="10" s="1"/>
  <c r="R25" i="10"/>
  <c r="T25" i="10"/>
  <c r="U25" i="10"/>
  <c r="O26" i="10"/>
  <c r="P26" i="10" s="1"/>
  <c r="R26" i="10"/>
  <c r="T26" i="10"/>
  <c r="U26" i="10"/>
  <c r="O27" i="10"/>
  <c r="P27" i="10" s="1"/>
  <c r="R27" i="10"/>
  <c r="T27" i="10"/>
  <c r="U27" i="10"/>
  <c r="O28" i="10"/>
  <c r="P28" i="10" s="1"/>
  <c r="R28" i="10"/>
  <c r="T28" i="10"/>
  <c r="U28" i="10"/>
  <c r="O29" i="10"/>
  <c r="P29" i="10"/>
  <c r="R29" i="10"/>
  <c r="T29" i="10"/>
  <c r="U29" i="10"/>
  <c r="O30" i="10"/>
  <c r="P30" i="10" s="1"/>
  <c r="R30" i="10"/>
  <c r="T30" i="10"/>
  <c r="U30" i="10"/>
  <c r="O31" i="10"/>
  <c r="P31" i="10" s="1"/>
  <c r="R31" i="10"/>
  <c r="T31" i="10"/>
  <c r="U31" i="10"/>
  <c r="O32" i="10"/>
  <c r="P32" i="10" s="1"/>
  <c r="R32" i="10"/>
  <c r="T32" i="10"/>
  <c r="U32" i="10"/>
  <c r="O33" i="10"/>
  <c r="P33" i="10" s="1"/>
  <c r="R33" i="10"/>
  <c r="T33" i="10"/>
  <c r="U33" i="10"/>
  <c r="O34" i="10"/>
  <c r="P34" i="10" s="1"/>
  <c r="R34" i="10"/>
  <c r="T34" i="10"/>
  <c r="U34" i="10"/>
  <c r="O35" i="10"/>
  <c r="P35" i="10" s="1"/>
  <c r="R35" i="10"/>
  <c r="T35" i="10"/>
  <c r="U35" i="10"/>
  <c r="O36" i="10"/>
  <c r="P36" i="10" s="1"/>
  <c r="R36" i="10"/>
  <c r="T36" i="10"/>
  <c r="U36" i="10"/>
  <c r="O37" i="10"/>
  <c r="P37" i="10" s="1"/>
  <c r="R37" i="10"/>
  <c r="T37" i="10"/>
  <c r="U37" i="10"/>
  <c r="O38" i="10"/>
  <c r="P38" i="10" s="1"/>
  <c r="R38" i="10"/>
  <c r="T38" i="10"/>
  <c r="U38" i="10"/>
  <c r="O39" i="10"/>
  <c r="P39" i="10" s="1"/>
  <c r="R39" i="10"/>
  <c r="T39" i="10"/>
  <c r="U39" i="10"/>
  <c r="O40" i="10"/>
  <c r="P40" i="10" s="1"/>
  <c r="R40" i="10"/>
  <c r="T40" i="10"/>
  <c r="U40" i="10"/>
  <c r="O41" i="10"/>
  <c r="P41" i="10" s="1"/>
  <c r="R41" i="10"/>
  <c r="T41" i="10"/>
  <c r="U41" i="10"/>
  <c r="O42" i="10"/>
  <c r="P42" i="10" s="1"/>
  <c r="R42" i="10"/>
  <c r="T42" i="10"/>
  <c r="U42" i="10"/>
  <c r="O43" i="10"/>
  <c r="P43" i="10" s="1"/>
  <c r="R43" i="10"/>
  <c r="T43" i="10"/>
  <c r="U43" i="10"/>
  <c r="O44" i="10"/>
  <c r="P44" i="10" s="1"/>
  <c r="R44" i="10"/>
  <c r="T44" i="10"/>
  <c r="U44" i="10"/>
  <c r="O45" i="10"/>
  <c r="P45" i="10" s="1"/>
  <c r="R45" i="10"/>
  <c r="T45" i="10"/>
  <c r="U45" i="10"/>
  <c r="O46" i="10"/>
  <c r="P46" i="10" s="1"/>
  <c r="R46" i="10"/>
  <c r="T46" i="10"/>
  <c r="U46" i="10"/>
  <c r="O47" i="10"/>
  <c r="P47" i="10" s="1"/>
  <c r="R47" i="10"/>
  <c r="T47" i="10"/>
  <c r="U47" i="10"/>
  <c r="O48" i="10"/>
  <c r="P48" i="10" s="1"/>
  <c r="R48" i="10"/>
  <c r="T48" i="10"/>
  <c r="U48" i="10"/>
  <c r="O49" i="10"/>
  <c r="P49" i="10" s="1"/>
  <c r="R49" i="10"/>
  <c r="T49" i="10"/>
  <c r="U49" i="10"/>
  <c r="O50" i="10"/>
  <c r="P50" i="10" s="1"/>
  <c r="R50" i="10"/>
  <c r="T50" i="10"/>
  <c r="U50" i="10"/>
  <c r="O51" i="10"/>
  <c r="P51" i="10" s="1"/>
  <c r="R51" i="10"/>
  <c r="T51" i="10"/>
  <c r="U51" i="10"/>
  <c r="O52" i="10"/>
  <c r="P52" i="10" s="1"/>
  <c r="R52" i="10"/>
  <c r="T52" i="10"/>
  <c r="U52" i="10"/>
  <c r="O53" i="10"/>
  <c r="P53" i="10" s="1"/>
  <c r="R53" i="10"/>
  <c r="T53" i="10"/>
  <c r="U53" i="10"/>
  <c r="O54" i="10"/>
  <c r="P54" i="10" s="1"/>
  <c r="R54" i="10"/>
  <c r="T54" i="10"/>
  <c r="U54" i="10"/>
  <c r="O55" i="10"/>
  <c r="P55" i="10" s="1"/>
  <c r="R55" i="10"/>
  <c r="T55" i="10"/>
  <c r="U55" i="10"/>
  <c r="O56" i="10"/>
  <c r="P56" i="10" s="1"/>
  <c r="R56" i="10"/>
  <c r="T56" i="10"/>
  <c r="U56" i="10"/>
  <c r="O57" i="10"/>
  <c r="P57" i="10" s="1"/>
  <c r="R57" i="10"/>
  <c r="T57" i="10"/>
  <c r="U57" i="10"/>
  <c r="O58" i="10"/>
  <c r="P58" i="10" s="1"/>
  <c r="R58" i="10"/>
  <c r="T58" i="10"/>
  <c r="U58" i="10"/>
  <c r="O59" i="10"/>
  <c r="P59" i="10" s="1"/>
  <c r="R59" i="10"/>
  <c r="T59" i="10"/>
  <c r="U59" i="10"/>
  <c r="O60" i="10"/>
  <c r="P60" i="10" s="1"/>
  <c r="R60" i="10"/>
  <c r="T60" i="10"/>
  <c r="U60" i="10"/>
  <c r="O61" i="10"/>
  <c r="P61" i="10" s="1"/>
  <c r="R61" i="10"/>
  <c r="T61" i="10"/>
  <c r="U61" i="10"/>
  <c r="O62" i="10"/>
  <c r="P62" i="10" s="1"/>
  <c r="R62" i="10"/>
  <c r="T62" i="10"/>
  <c r="U62" i="10"/>
  <c r="O63" i="10"/>
  <c r="P63" i="10" s="1"/>
  <c r="R63" i="10"/>
  <c r="T63" i="10"/>
  <c r="U63" i="10"/>
  <c r="O64" i="10"/>
  <c r="P64" i="10" s="1"/>
  <c r="R64" i="10"/>
  <c r="T64" i="10"/>
  <c r="U64" i="10"/>
  <c r="O65" i="10"/>
  <c r="P65" i="10" s="1"/>
  <c r="R65" i="10"/>
  <c r="T65" i="10"/>
  <c r="U65" i="10"/>
  <c r="O66" i="10"/>
  <c r="P66" i="10" s="1"/>
  <c r="R66" i="10"/>
  <c r="T66" i="10"/>
  <c r="U66" i="10"/>
  <c r="O67" i="10"/>
  <c r="P67" i="10" s="1"/>
  <c r="R67" i="10"/>
  <c r="T67" i="10"/>
  <c r="U67" i="10"/>
  <c r="O68" i="10"/>
  <c r="P68" i="10" s="1"/>
  <c r="R68" i="10"/>
  <c r="T68" i="10"/>
  <c r="U68" i="10"/>
  <c r="O69" i="10"/>
  <c r="P69" i="10" s="1"/>
  <c r="R69" i="10"/>
  <c r="T69" i="10"/>
  <c r="U69" i="10"/>
  <c r="O70" i="10"/>
  <c r="P70" i="10" s="1"/>
  <c r="R70" i="10"/>
  <c r="T70" i="10"/>
  <c r="U70" i="10"/>
  <c r="O71" i="10"/>
  <c r="P71" i="10" s="1"/>
  <c r="R71" i="10"/>
  <c r="T71" i="10"/>
  <c r="U71" i="10"/>
  <c r="O72" i="10"/>
  <c r="P72" i="10" s="1"/>
  <c r="R72" i="10"/>
  <c r="T72" i="10"/>
  <c r="U72" i="10"/>
  <c r="O73" i="10"/>
  <c r="P73" i="10" s="1"/>
  <c r="R73" i="10"/>
  <c r="T73" i="10"/>
  <c r="U73" i="10"/>
  <c r="O74" i="10"/>
  <c r="P74" i="10" s="1"/>
  <c r="R74" i="10"/>
  <c r="T74" i="10"/>
  <c r="U74" i="10"/>
  <c r="O75" i="10"/>
  <c r="P75" i="10" s="1"/>
  <c r="R75" i="10"/>
  <c r="T75" i="10"/>
  <c r="U75" i="10"/>
  <c r="O76" i="10"/>
  <c r="P76" i="10" s="1"/>
  <c r="R76" i="10"/>
  <c r="T76" i="10"/>
  <c r="U76" i="10"/>
  <c r="O77" i="10"/>
  <c r="P77" i="10" s="1"/>
  <c r="R77" i="10"/>
  <c r="T77" i="10"/>
  <c r="U77" i="10"/>
  <c r="O78" i="10"/>
  <c r="P78" i="10" s="1"/>
  <c r="R78" i="10"/>
  <c r="T78" i="10"/>
  <c r="U78" i="10"/>
  <c r="O79" i="10"/>
  <c r="P79" i="10" s="1"/>
  <c r="R79" i="10"/>
  <c r="T79" i="10"/>
  <c r="U79" i="10"/>
  <c r="O80" i="10"/>
  <c r="P80" i="10" s="1"/>
  <c r="R80" i="10"/>
  <c r="T80" i="10"/>
  <c r="U80" i="10"/>
  <c r="O81" i="10"/>
  <c r="P81" i="10" s="1"/>
  <c r="R81" i="10"/>
  <c r="T81" i="10"/>
  <c r="U81" i="10"/>
  <c r="O82" i="10"/>
  <c r="P82" i="10" s="1"/>
  <c r="R82" i="10"/>
  <c r="T82" i="10"/>
  <c r="U82" i="10"/>
  <c r="O83" i="10"/>
  <c r="P83" i="10" s="1"/>
  <c r="R83" i="10"/>
  <c r="T83" i="10"/>
  <c r="U83" i="10"/>
  <c r="O84" i="10"/>
  <c r="P84" i="10" s="1"/>
  <c r="R84" i="10"/>
  <c r="T84" i="10"/>
  <c r="U84" i="10"/>
  <c r="O85" i="10"/>
  <c r="P85" i="10" s="1"/>
  <c r="R85" i="10"/>
  <c r="T85" i="10"/>
  <c r="U85" i="10"/>
  <c r="O86" i="10"/>
  <c r="P86" i="10" s="1"/>
  <c r="R86" i="10"/>
  <c r="T86" i="10"/>
  <c r="U86" i="10"/>
  <c r="O87" i="10"/>
  <c r="P87" i="10" s="1"/>
  <c r="R87" i="10"/>
  <c r="T87" i="10"/>
  <c r="U87" i="10"/>
  <c r="O88" i="10"/>
  <c r="P88" i="10" s="1"/>
  <c r="R88" i="10"/>
  <c r="T88" i="10"/>
  <c r="U88" i="10"/>
  <c r="O89" i="10"/>
  <c r="P89" i="10" s="1"/>
  <c r="R89" i="10"/>
  <c r="T89" i="10"/>
  <c r="U89" i="10"/>
  <c r="O90" i="10"/>
  <c r="P90" i="10" s="1"/>
  <c r="R90" i="10"/>
  <c r="T90" i="10"/>
  <c r="U90" i="10"/>
  <c r="O91" i="10"/>
  <c r="P91" i="10" s="1"/>
  <c r="R91" i="10"/>
  <c r="T91" i="10"/>
  <c r="U91" i="10"/>
  <c r="O92" i="10"/>
  <c r="P92" i="10" s="1"/>
  <c r="R92" i="10"/>
  <c r="T92" i="10"/>
  <c r="U92" i="10"/>
  <c r="O93" i="10"/>
  <c r="P93" i="10" s="1"/>
  <c r="R93" i="10"/>
  <c r="T93" i="10"/>
  <c r="U93" i="10"/>
  <c r="O94" i="10"/>
  <c r="P94" i="10" s="1"/>
  <c r="R94" i="10"/>
  <c r="T94" i="10"/>
  <c r="U94" i="10"/>
  <c r="O95" i="10"/>
  <c r="P95" i="10" s="1"/>
  <c r="R95" i="10"/>
  <c r="T95" i="10"/>
  <c r="U95" i="10"/>
  <c r="O96" i="10"/>
  <c r="P96" i="10" s="1"/>
  <c r="R96" i="10"/>
  <c r="T96" i="10"/>
  <c r="U96" i="10"/>
  <c r="O97" i="10"/>
  <c r="P97" i="10" s="1"/>
  <c r="R97" i="10"/>
  <c r="T97" i="10"/>
  <c r="U97" i="10"/>
  <c r="O98" i="10"/>
  <c r="P98" i="10" s="1"/>
  <c r="R98" i="10"/>
  <c r="T98" i="10"/>
  <c r="U98" i="10"/>
  <c r="O99" i="10"/>
  <c r="P99" i="10" s="1"/>
  <c r="R99" i="10"/>
  <c r="T99" i="10"/>
  <c r="U99" i="10"/>
  <c r="O100" i="10"/>
  <c r="P100" i="10" s="1"/>
  <c r="R100" i="10"/>
  <c r="T100" i="10"/>
  <c r="U100" i="10"/>
  <c r="O101" i="10"/>
  <c r="P101" i="10" s="1"/>
  <c r="R101" i="10"/>
  <c r="T101" i="10"/>
  <c r="U101" i="10"/>
  <c r="O102" i="10"/>
  <c r="P102" i="10" s="1"/>
  <c r="R102" i="10"/>
  <c r="T102" i="10"/>
  <c r="U102" i="10"/>
  <c r="O103" i="10"/>
  <c r="P103" i="10" s="1"/>
  <c r="R103" i="10"/>
  <c r="T103" i="10"/>
  <c r="U103" i="10"/>
  <c r="O104" i="10"/>
  <c r="P104" i="10" s="1"/>
  <c r="R104" i="10"/>
  <c r="T104" i="10"/>
  <c r="U104" i="10"/>
  <c r="O105" i="10"/>
  <c r="P105" i="10" s="1"/>
  <c r="R105" i="10"/>
  <c r="T105" i="10"/>
  <c r="U105" i="10"/>
  <c r="O106" i="10"/>
  <c r="P106" i="10" s="1"/>
  <c r="R106" i="10"/>
  <c r="T106" i="10"/>
  <c r="U106" i="10"/>
  <c r="O107" i="10"/>
  <c r="P107" i="10" s="1"/>
  <c r="R107" i="10"/>
  <c r="T107" i="10"/>
  <c r="U107" i="10"/>
  <c r="O108" i="10"/>
  <c r="P108" i="10" s="1"/>
  <c r="R108" i="10"/>
  <c r="T108" i="10"/>
  <c r="U108" i="10"/>
  <c r="O109" i="10"/>
  <c r="P109" i="10" s="1"/>
  <c r="R109" i="10"/>
  <c r="T109" i="10"/>
  <c r="U109" i="10"/>
  <c r="O110" i="10"/>
  <c r="P110" i="10" s="1"/>
  <c r="R110" i="10"/>
  <c r="T110" i="10"/>
  <c r="U110" i="10"/>
  <c r="O111" i="10"/>
  <c r="P111" i="10" s="1"/>
  <c r="R111" i="10"/>
  <c r="T111" i="10"/>
  <c r="U111" i="10"/>
  <c r="O112" i="10"/>
  <c r="P112" i="10" s="1"/>
  <c r="R112" i="10"/>
  <c r="T112" i="10"/>
  <c r="U112" i="10"/>
  <c r="O113" i="10"/>
  <c r="P113" i="10" s="1"/>
  <c r="R113" i="10"/>
  <c r="T113" i="10"/>
  <c r="U113" i="10"/>
  <c r="O114" i="10"/>
  <c r="P114" i="10" s="1"/>
  <c r="R114" i="10"/>
  <c r="T114" i="10"/>
  <c r="U114" i="10"/>
  <c r="O115" i="10"/>
  <c r="P115" i="10" s="1"/>
  <c r="R115" i="10"/>
  <c r="T115" i="10"/>
  <c r="U115" i="10"/>
  <c r="O116" i="10"/>
  <c r="P116" i="10" s="1"/>
  <c r="R116" i="10"/>
  <c r="T116" i="10"/>
  <c r="U116" i="10"/>
  <c r="O117" i="10"/>
  <c r="P117" i="10" s="1"/>
  <c r="R117" i="10"/>
  <c r="T117" i="10"/>
  <c r="U117" i="10"/>
  <c r="O118" i="10"/>
  <c r="P118" i="10" s="1"/>
  <c r="R118" i="10"/>
  <c r="T118" i="10"/>
  <c r="U118" i="10"/>
  <c r="O119" i="10"/>
  <c r="P119" i="10" s="1"/>
  <c r="R119" i="10"/>
  <c r="T119" i="10"/>
  <c r="U119" i="10"/>
  <c r="O120" i="10"/>
  <c r="P120" i="10" s="1"/>
  <c r="R120" i="10"/>
  <c r="T120" i="10"/>
  <c r="U120" i="10"/>
  <c r="O121" i="10"/>
  <c r="P121" i="10" s="1"/>
  <c r="R121" i="10"/>
  <c r="T121" i="10"/>
  <c r="U121" i="10"/>
  <c r="O122" i="10"/>
  <c r="P122" i="10" s="1"/>
  <c r="R122" i="10"/>
  <c r="T122" i="10"/>
  <c r="U122" i="10"/>
  <c r="O123" i="10"/>
  <c r="P123" i="10" s="1"/>
  <c r="R123" i="10"/>
  <c r="T123" i="10"/>
  <c r="U123" i="10"/>
  <c r="O124" i="10"/>
  <c r="P124" i="10" s="1"/>
  <c r="R124" i="10"/>
  <c r="T124" i="10"/>
  <c r="U124" i="10"/>
  <c r="O125" i="10"/>
  <c r="P125" i="10" s="1"/>
  <c r="R125" i="10"/>
  <c r="T125" i="10"/>
  <c r="U125" i="10"/>
  <c r="O126" i="10"/>
  <c r="P126" i="10" s="1"/>
  <c r="R126" i="10"/>
  <c r="T126" i="10"/>
  <c r="U126" i="10"/>
  <c r="O127" i="10"/>
  <c r="P127" i="10" s="1"/>
  <c r="R127" i="10"/>
  <c r="T127" i="10"/>
  <c r="U127" i="10"/>
  <c r="O128" i="10"/>
  <c r="P128" i="10" s="1"/>
  <c r="R128" i="10"/>
  <c r="T128" i="10"/>
  <c r="U128" i="10"/>
  <c r="O129" i="10"/>
  <c r="P129" i="10" s="1"/>
  <c r="R129" i="10"/>
  <c r="T129" i="10"/>
  <c r="U129" i="10"/>
  <c r="O130" i="10"/>
  <c r="P130" i="10" s="1"/>
  <c r="R130" i="10"/>
  <c r="U130" i="10"/>
  <c r="O131" i="10"/>
  <c r="P131" i="10" s="1"/>
  <c r="R131" i="10"/>
  <c r="T131" i="10"/>
  <c r="U131" i="10"/>
  <c r="O132" i="10"/>
  <c r="P132" i="10" s="1"/>
  <c r="R132" i="10"/>
  <c r="T132" i="10"/>
  <c r="U132" i="10"/>
  <c r="O133" i="10"/>
  <c r="P133" i="10" s="1"/>
  <c r="R133" i="10"/>
  <c r="T133" i="10"/>
  <c r="U133" i="10"/>
  <c r="O134" i="10"/>
  <c r="P134" i="10" s="1"/>
  <c r="R134" i="10"/>
  <c r="T134" i="10"/>
  <c r="U134" i="10"/>
  <c r="O135" i="10"/>
  <c r="P135" i="10" s="1"/>
  <c r="R135" i="10"/>
  <c r="T135" i="10"/>
  <c r="U135" i="10"/>
  <c r="O136" i="10"/>
  <c r="P136" i="10" s="1"/>
  <c r="R136" i="10"/>
  <c r="T136" i="10"/>
  <c r="U136" i="10"/>
  <c r="O137" i="10"/>
  <c r="P137" i="10" s="1"/>
  <c r="R137" i="10"/>
  <c r="T137" i="10"/>
  <c r="U137" i="10"/>
  <c r="O138" i="10"/>
  <c r="P138" i="10" s="1"/>
  <c r="R138" i="10"/>
  <c r="T138" i="10"/>
  <c r="U138" i="10"/>
  <c r="O139" i="10"/>
  <c r="P139" i="10" s="1"/>
  <c r="R139" i="10"/>
  <c r="T139" i="10"/>
  <c r="U139" i="10"/>
  <c r="O140" i="10"/>
  <c r="P140" i="10" s="1"/>
  <c r="R140" i="10"/>
  <c r="T140" i="10"/>
  <c r="U140" i="10"/>
  <c r="O141" i="10"/>
  <c r="P141" i="10" s="1"/>
  <c r="R141" i="10"/>
  <c r="T141" i="10"/>
  <c r="U141" i="10"/>
  <c r="O142" i="10"/>
  <c r="P142" i="10" s="1"/>
  <c r="R142" i="10"/>
  <c r="T142" i="10"/>
  <c r="U142" i="10"/>
  <c r="O143" i="10"/>
  <c r="P143" i="10" s="1"/>
  <c r="R143" i="10"/>
  <c r="T143" i="10"/>
  <c r="U143" i="10"/>
  <c r="O144" i="10"/>
  <c r="P144" i="10" s="1"/>
  <c r="R144" i="10"/>
  <c r="T144" i="10"/>
  <c r="U144" i="10"/>
  <c r="O145" i="10"/>
  <c r="P145" i="10" s="1"/>
  <c r="R145" i="10"/>
  <c r="T145" i="10"/>
  <c r="U145" i="10"/>
  <c r="O146" i="10"/>
  <c r="P146" i="10" s="1"/>
  <c r="R146" i="10"/>
  <c r="T146" i="10"/>
  <c r="U146" i="10"/>
  <c r="O147" i="10"/>
  <c r="P147" i="10" s="1"/>
  <c r="R147" i="10"/>
  <c r="T147" i="10"/>
  <c r="U147" i="10"/>
  <c r="O148" i="10"/>
  <c r="P148" i="10" s="1"/>
  <c r="R148" i="10"/>
  <c r="T148" i="10"/>
  <c r="U148" i="10"/>
  <c r="O149" i="10"/>
  <c r="P149" i="10" s="1"/>
  <c r="R149" i="10"/>
  <c r="T149" i="10"/>
  <c r="U149" i="10"/>
  <c r="O150" i="10"/>
  <c r="P150" i="10" s="1"/>
  <c r="R150" i="10"/>
  <c r="T150" i="10"/>
  <c r="U150" i="10"/>
  <c r="O151" i="10"/>
  <c r="P151" i="10" s="1"/>
  <c r="R151" i="10"/>
  <c r="T151" i="10"/>
  <c r="U151" i="10"/>
  <c r="O152" i="10"/>
  <c r="P152" i="10" s="1"/>
  <c r="R152" i="10"/>
  <c r="T152" i="10"/>
  <c r="U152" i="10"/>
  <c r="O153" i="10"/>
  <c r="P153" i="10" s="1"/>
  <c r="R153" i="10"/>
  <c r="T153" i="10"/>
  <c r="U153" i="10"/>
  <c r="O154" i="10"/>
  <c r="P154" i="10" s="1"/>
  <c r="R154" i="10"/>
  <c r="T154" i="10"/>
  <c r="U154" i="10"/>
  <c r="O155" i="10"/>
  <c r="P155" i="10" s="1"/>
  <c r="R155" i="10"/>
  <c r="T155" i="10"/>
  <c r="U155" i="10"/>
  <c r="O156" i="10"/>
  <c r="P156" i="10" s="1"/>
  <c r="R156" i="10"/>
  <c r="T156" i="10"/>
  <c r="U156" i="10"/>
  <c r="O157" i="10"/>
  <c r="P157" i="10" s="1"/>
  <c r="R157" i="10"/>
  <c r="T157" i="10"/>
  <c r="U157" i="10"/>
  <c r="O158" i="10"/>
  <c r="P158" i="10" s="1"/>
  <c r="R158" i="10"/>
  <c r="T158" i="10"/>
  <c r="U158" i="10"/>
  <c r="O159" i="10"/>
  <c r="P159" i="10" s="1"/>
  <c r="R159" i="10"/>
  <c r="T159" i="10"/>
  <c r="U159" i="10"/>
  <c r="O160" i="10"/>
  <c r="P160" i="10" s="1"/>
  <c r="R160" i="10"/>
  <c r="T160" i="10"/>
  <c r="U160" i="10"/>
  <c r="O161" i="10"/>
  <c r="P161" i="10" s="1"/>
  <c r="R161" i="10"/>
  <c r="T161" i="10"/>
  <c r="U161" i="10"/>
  <c r="O162" i="10"/>
  <c r="P162" i="10" s="1"/>
  <c r="R162" i="10"/>
  <c r="T162" i="10"/>
  <c r="U162" i="10"/>
  <c r="O163" i="10"/>
  <c r="P163" i="10" s="1"/>
  <c r="R163" i="10"/>
  <c r="T163" i="10"/>
  <c r="U163" i="10"/>
  <c r="O164" i="10"/>
  <c r="P164" i="10" s="1"/>
  <c r="R164" i="10"/>
  <c r="T164" i="10"/>
  <c r="U164" i="10"/>
  <c r="O165" i="10"/>
  <c r="P165" i="10" s="1"/>
  <c r="R165" i="10"/>
  <c r="T165" i="10"/>
  <c r="U165" i="10"/>
  <c r="O166" i="10"/>
  <c r="P166" i="10" s="1"/>
  <c r="R166" i="10"/>
  <c r="T166" i="10"/>
  <c r="U166" i="10"/>
  <c r="O167" i="10"/>
  <c r="P167" i="10" s="1"/>
  <c r="R167" i="10"/>
  <c r="T167" i="10"/>
  <c r="U167" i="10"/>
  <c r="O168" i="10"/>
  <c r="P168" i="10" s="1"/>
  <c r="R168" i="10"/>
  <c r="T168" i="10"/>
  <c r="U168" i="10"/>
  <c r="O169" i="10"/>
  <c r="P169" i="10" s="1"/>
  <c r="R169" i="10"/>
  <c r="T169" i="10"/>
  <c r="U169" i="10"/>
  <c r="O170" i="10"/>
  <c r="P170" i="10" s="1"/>
  <c r="R170" i="10"/>
  <c r="T170" i="10"/>
  <c r="U170" i="10"/>
  <c r="O171" i="10"/>
  <c r="P171" i="10" s="1"/>
  <c r="R171" i="10"/>
  <c r="T171" i="10"/>
  <c r="U171" i="10"/>
  <c r="O172" i="10"/>
  <c r="P172" i="10" s="1"/>
  <c r="R172" i="10"/>
  <c r="T172" i="10"/>
  <c r="U172" i="10"/>
  <c r="O173" i="10"/>
  <c r="P173" i="10" s="1"/>
  <c r="R173" i="10"/>
  <c r="T173" i="10"/>
  <c r="U173" i="10"/>
  <c r="O174" i="10"/>
  <c r="P174" i="10" s="1"/>
  <c r="R174" i="10"/>
  <c r="T174" i="10"/>
  <c r="U174" i="10"/>
  <c r="O175" i="10"/>
  <c r="P175" i="10" s="1"/>
  <c r="R175" i="10"/>
  <c r="T175" i="10"/>
  <c r="U175" i="10"/>
  <c r="O176" i="10"/>
  <c r="P176" i="10" s="1"/>
  <c r="R176" i="10"/>
  <c r="T176" i="10"/>
  <c r="U176" i="10"/>
  <c r="O177" i="10"/>
  <c r="P177" i="10" s="1"/>
  <c r="R177" i="10"/>
  <c r="T177" i="10"/>
  <c r="U177" i="10"/>
  <c r="O178" i="10"/>
  <c r="P178" i="10" s="1"/>
  <c r="R178" i="10"/>
  <c r="T178" i="10"/>
  <c r="U178" i="10"/>
  <c r="O179" i="10"/>
  <c r="P179" i="10" s="1"/>
  <c r="R179" i="10"/>
  <c r="T179" i="10"/>
  <c r="U179" i="10"/>
  <c r="O180" i="10"/>
  <c r="P180" i="10" s="1"/>
  <c r="R180" i="10"/>
  <c r="T180" i="10"/>
  <c r="U180" i="10"/>
  <c r="O181" i="10"/>
  <c r="P181" i="10" s="1"/>
  <c r="R181" i="10"/>
  <c r="T181" i="10"/>
  <c r="U181" i="10"/>
  <c r="O182" i="10"/>
  <c r="P182" i="10" s="1"/>
  <c r="R182" i="10"/>
  <c r="T182" i="10"/>
  <c r="U182" i="10"/>
  <c r="O183" i="10"/>
  <c r="P183" i="10" s="1"/>
  <c r="R183" i="10"/>
  <c r="T183" i="10"/>
  <c r="U183" i="10"/>
  <c r="O184" i="10"/>
  <c r="P184" i="10" s="1"/>
  <c r="R184" i="10"/>
  <c r="T184" i="10"/>
  <c r="U184" i="10"/>
  <c r="O185" i="10"/>
  <c r="P185" i="10" s="1"/>
  <c r="R185" i="10"/>
  <c r="T185" i="10"/>
  <c r="U185" i="10"/>
  <c r="O186" i="10"/>
  <c r="P186" i="10" s="1"/>
  <c r="R186" i="10"/>
  <c r="T186" i="10"/>
  <c r="U186" i="10"/>
  <c r="O187" i="10"/>
  <c r="P187" i="10" s="1"/>
  <c r="R187" i="10"/>
  <c r="T187" i="10"/>
  <c r="U187" i="10"/>
  <c r="O188" i="10"/>
  <c r="P188" i="10" s="1"/>
  <c r="R188" i="10"/>
  <c r="T188" i="10"/>
  <c r="U188" i="10"/>
  <c r="O189" i="10"/>
  <c r="P189" i="10" s="1"/>
  <c r="R189" i="10"/>
  <c r="T189" i="10"/>
  <c r="U189" i="10"/>
  <c r="O190" i="10"/>
  <c r="P190" i="10" s="1"/>
  <c r="R190" i="10"/>
  <c r="T190" i="10"/>
  <c r="U190" i="10"/>
  <c r="O191" i="10"/>
  <c r="P191" i="10" s="1"/>
  <c r="R191" i="10"/>
  <c r="T191" i="10"/>
  <c r="U191" i="10"/>
  <c r="O192" i="10"/>
  <c r="P192" i="10" s="1"/>
  <c r="R192" i="10"/>
  <c r="T192" i="10"/>
  <c r="U192" i="10"/>
  <c r="O193" i="10"/>
  <c r="P193" i="10" s="1"/>
  <c r="R193" i="10"/>
  <c r="T193" i="10"/>
  <c r="U193" i="10"/>
  <c r="O194" i="10"/>
  <c r="P194" i="10" s="1"/>
  <c r="R194" i="10"/>
  <c r="T194" i="10"/>
  <c r="U194" i="10"/>
  <c r="O195" i="10"/>
  <c r="P195" i="10" s="1"/>
  <c r="R195" i="10"/>
  <c r="T195" i="10"/>
  <c r="U195" i="10"/>
  <c r="O196" i="10"/>
  <c r="P196" i="10" s="1"/>
  <c r="R196" i="10"/>
  <c r="T196" i="10"/>
  <c r="U196" i="10"/>
  <c r="O197" i="10"/>
  <c r="P197" i="10" s="1"/>
  <c r="R197" i="10"/>
  <c r="T197" i="10"/>
  <c r="U197" i="10"/>
  <c r="O198" i="10"/>
  <c r="P198" i="10" s="1"/>
  <c r="R198" i="10"/>
  <c r="T198" i="10"/>
  <c r="U198" i="10"/>
  <c r="O199" i="10"/>
  <c r="P199" i="10" s="1"/>
  <c r="R199" i="10"/>
  <c r="T199" i="10"/>
  <c r="U199" i="10"/>
  <c r="O200" i="10"/>
  <c r="P200" i="10" s="1"/>
  <c r="R200" i="10"/>
  <c r="T200" i="10"/>
  <c r="U200" i="10"/>
  <c r="O201" i="10"/>
  <c r="P201" i="10" s="1"/>
  <c r="R201" i="10"/>
  <c r="T201" i="10"/>
  <c r="U201" i="10"/>
  <c r="O202" i="10"/>
  <c r="P202" i="10" s="1"/>
  <c r="R202" i="10"/>
  <c r="T202" i="10"/>
  <c r="U202" i="10"/>
  <c r="O203" i="10"/>
  <c r="P203" i="10" s="1"/>
  <c r="R203" i="10"/>
  <c r="T203" i="10"/>
  <c r="U203" i="10"/>
  <c r="O204" i="10"/>
  <c r="P204" i="10" s="1"/>
  <c r="R204" i="10"/>
  <c r="T204" i="10"/>
  <c r="U204" i="10"/>
  <c r="O205" i="10"/>
  <c r="P205" i="10" s="1"/>
  <c r="R205" i="10"/>
  <c r="T205" i="10"/>
  <c r="U205" i="10"/>
  <c r="O206" i="10"/>
  <c r="P206" i="10" s="1"/>
  <c r="R206" i="10"/>
  <c r="T206" i="10"/>
  <c r="U206" i="10"/>
  <c r="O207" i="10"/>
  <c r="P207" i="10" s="1"/>
  <c r="R207" i="10"/>
  <c r="T207" i="10"/>
  <c r="U207" i="10"/>
  <c r="O208" i="10"/>
  <c r="P208" i="10" s="1"/>
  <c r="R208" i="10"/>
  <c r="T208" i="10"/>
  <c r="U208" i="10"/>
  <c r="O209" i="10"/>
  <c r="P209" i="10" s="1"/>
  <c r="R209" i="10"/>
  <c r="T209" i="10"/>
  <c r="U209" i="10"/>
  <c r="O210" i="10"/>
  <c r="P210" i="10" s="1"/>
  <c r="R210" i="10"/>
  <c r="T210" i="10"/>
  <c r="U210" i="10"/>
  <c r="O211" i="10"/>
  <c r="P211" i="10" s="1"/>
  <c r="R211" i="10"/>
  <c r="T211" i="10"/>
  <c r="U211" i="10"/>
  <c r="O212" i="10"/>
  <c r="P212" i="10" s="1"/>
  <c r="R212" i="10"/>
  <c r="T212" i="10"/>
  <c r="U212" i="10"/>
  <c r="O213" i="10"/>
  <c r="P213" i="10" s="1"/>
  <c r="R213" i="10"/>
  <c r="T213" i="10"/>
  <c r="U213" i="10"/>
  <c r="O214" i="10"/>
  <c r="P214" i="10" s="1"/>
  <c r="R214" i="10"/>
  <c r="T214" i="10"/>
  <c r="U214" i="10"/>
  <c r="O215" i="10"/>
  <c r="P215" i="10" s="1"/>
  <c r="R215" i="10"/>
  <c r="T215" i="10"/>
  <c r="U215" i="10"/>
  <c r="O216" i="10"/>
  <c r="P216" i="10" s="1"/>
  <c r="R216" i="10"/>
  <c r="T216" i="10"/>
  <c r="U216" i="10"/>
  <c r="O217" i="10"/>
  <c r="P217" i="10" s="1"/>
  <c r="R217" i="10"/>
  <c r="T217" i="10"/>
  <c r="U217" i="10"/>
  <c r="O218" i="10"/>
  <c r="P218" i="10" s="1"/>
  <c r="R218" i="10"/>
  <c r="T218" i="10"/>
  <c r="U218" i="10"/>
  <c r="O219" i="10"/>
  <c r="P219" i="10" s="1"/>
  <c r="R219" i="10"/>
  <c r="T219" i="10"/>
  <c r="U219" i="10"/>
  <c r="O220" i="10"/>
  <c r="P220" i="10" s="1"/>
  <c r="R220" i="10"/>
  <c r="T220" i="10"/>
  <c r="U220" i="10"/>
  <c r="O221" i="10"/>
  <c r="P221" i="10" s="1"/>
  <c r="R221" i="10"/>
  <c r="T221" i="10"/>
  <c r="U221" i="10"/>
  <c r="O222" i="10"/>
  <c r="P222" i="10" s="1"/>
  <c r="R222" i="10"/>
  <c r="T222" i="10"/>
  <c r="U222" i="10"/>
  <c r="O223" i="10"/>
  <c r="P223" i="10" s="1"/>
  <c r="R223" i="10"/>
  <c r="T223" i="10"/>
  <c r="U223" i="10"/>
  <c r="O224" i="10"/>
  <c r="P224" i="10" s="1"/>
  <c r="R224" i="10"/>
  <c r="T224" i="10"/>
  <c r="U224" i="10"/>
  <c r="O225" i="10"/>
  <c r="P225" i="10" s="1"/>
  <c r="R225" i="10"/>
  <c r="T225" i="10"/>
  <c r="U225" i="10"/>
  <c r="O226" i="10"/>
  <c r="P226" i="10" s="1"/>
  <c r="R226" i="10"/>
  <c r="T226" i="10"/>
  <c r="U226" i="10"/>
  <c r="O227" i="10"/>
  <c r="P227" i="10" s="1"/>
  <c r="R227" i="10"/>
  <c r="T227" i="10"/>
  <c r="U227" i="10"/>
  <c r="O228" i="10"/>
  <c r="P228" i="10" s="1"/>
  <c r="R228" i="10"/>
  <c r="T228" i="10"/>
  <c r="U228" i="10"/>
  <c r="O229" i="10"/>
  <c r="P229" i="10" s="1"/>
  <c r="R229" i="10"/>
  <c r="T229" i="10"/>
  <c r="U229" i="10"/>
  <c r="O230" i="10"/>
  <c r="P230" i="10" s="1"/>
  <c r="R230" i="10"/>
  <c r="T230" i="10"/>
  <c r="U230" i="10"/>
  <c r="O231" i="10"/>
  <c r="P231" i="10" s="1"/>
  <c r="R231" i="10"/>
  <c r="T231" i="10"/>
  <c r="U231" i="10"/>
  <c r="O232" i="10"/>
  <c r="P232" i="10" s="1"/>
  <c r="R232" i="10"/>
  <c r="T232" i="10"/>
  <c r="U232" i="10"/>
  <c r="O233" i="10"/>
  <c r="P233" i="10" s="1"/>
  <c r="R233" i="10"/>
  <c r="T233" i="10"/>
  <c r="U233" i="10"/>
  <c r="O234" i="10"/>
  <c r="P234" i="10" s="1"/>
  <c r="R234" i="10"/>
  <c r="T234" i="10"/>
  <c r="U234" i="10"/>
  <c r="O235" i="10"/>
  <c r="P235" i="10" s="1"/>
  <c r="R235" i="10"/>
  <c r="T235" i="10"/>
  <c r="U235" i="10"/>
  <c r="O236" i="10"/>
  <c r="P236" i="10" s="1"/>
  <c r="R236" i="10"/>
  <c r="T236" i="10"/>
  <c r="U236" i="10"/>
  <c r="O237" i="10"/>
  <c r="P237" i="10" s="1"/>
  <c r="R237" i="10"/>
  <c r="T237" i="10"/>
  <c r="U237" i="10"/>
  <c r="O238" i="10"/>
  <c r="P238" i="10" s="1"/>
  <c r="R238" i="10"/>
  <c r="T238" i="10"/>
  <c r="U238" i="10"/>
  <c r="O239" i="10"/>
  <c r="P239" i="10" s="1"/>
  <c r="R239" i="10"/>
  <c r="T239" i="10"/>
  <c r="U239" i="10"/>
  <c r="O240" i="10"/>
  <c r="P240" i="10" s="1"/>
  <c r="R240" i="10"/>
  <c r="T240" i="10"/>
  <c r="U240" i="10"/>
  <c r="O241" i="10"/>
  <c r="P241" i="10"/>
  <c r="R241" i="10"/>
  <c r="T241" i="10"/>
  <c r="U241" i="10"/>
  <c r="O242" i="10"/>
  <c r="P242" i="10" s="1"/>
  <c r="R242" i="10"/>
  <c r="T242" i="10"/>
  <c r="U242" i="10"/>
  <c r="O243" i="10"/>
  <c r="P243" i="10" s="1"/>
  <c r="R243" i="10"/>
  <c r="T243" i="10"/>
  <c r="U243" i="10"/>
  <c r="O244" i="10"/>
  <c r="P244" i="10" s="1"/>
  <c r="R244" i="10"/>
  <c r="T244" i="10"/>
  <c r="U244" i="10"/>
  <c r="O245" i="10"/>
  <c r="P245" i="10" s="1"/>
  <c r="R245" i="10"/>
  <c r="T245" i="10"/>
  <c r="U245" i="10"/>
  <c r="O246" i="10"/>
  <c r="P246" i="10" s="1"/>
  <c r="R246" i="10"/>
  <c r="T246" i="10"/>
  <c r="U246" i="10"/>
  <c r="O247" i="10"/>
  <c r="P247" i="10" s="1"/>
  <c r="R247" i="10"/>
  <c r="T247" i="10"/>
  <c r="U247" i="10"/>
  <c r="O248" i="10"/>
  <c r="P248" i="10" s="1"/>
  <c r="R248" i="10"/>
  <c r="T248" i="10"/>
  <c r="U248" i="10"/>
  <c r="O249" i="10"/>
  <c r="P249" i="10" s="1"/>
  <c r="R249" i="10"/>
  <c r="T249" i="10"/>
  <c r="U249" i="10"/>
  <c r="O250" i="10"/>
  <c r="P250" i="10" s="1"/>
  <c r="R250" i="10"/>
  <c r="T250" i="10"/>
  <c r="U250" i="10"/>
  <c r="O251" i="10"/>
  <c r="P251" i="10" s="1"/>
  <c r="R251" i="10"/>
  <c r="T251" i="10"/>
  <c r="U251" i="10"/>
  <c r="O252" i="10"/>
  <c r="P252" i="10" s="1"/>
  <c r="R252" i="10"/>
  <c r="T252" i="10"/>
  <c r="U252" i="10"/>
  <c r="O253" i="10"/>
  <c r="P253" i="10" s="1"/>
  <c r="R253" i="10"/>
  <c r="T253" i="10"/>
  <c r="U253" i="10"/>
  <c r="O254" i="10"/>
  <c r="P254" i="10" s="1"/>
  <c r="R254" i="10"/>
  <c r="T254" i="10"/>
  <c r="U254" i="10"/>
  <c r="O255" i="10"/>
  <c r="P255" i="10" s="1"/>
  <c r="R255" i="10"/>
  <c r="T255" i="10"/>
  <c r="U255" i="10"/>
  <c r="O256" i="10"/>
  <c r="P256" i="10" s="1"/>
  <c r="R256" i="10"/>
  <c r="T256" i="10"/>
  <c r="U256" i="10"/>
  <c r="O257" i="10"/>
  <c r="P257" i="10" s="1"/>
  <c r="R257" i="10"/>
  <c r="T257" i="10"/>
  <c r="U257" i="10"/>
  <c r="O258" i="10"/>
  <c r="P258" i="10" s="1"/>
  <c r="R258" i="10"/>
  <c r="T258" i="10"/>
  <c r="U258" i="10"/>
  <c r="O259" i="10"/>
  <c r="P259" i="10" s="1"/>
  <c r="R259" i="10"/>
  <c r="T259" i="10"/>
  <c r="U259" i="10"/>
  <c r="O260" i="10"/>
  <c r="P260" i="10" s="1"/>
  <c r="R260" i="10"/>
  <c r="T260" i="10"/>
  <c r="U260" i="10"/>
  <c r="O261" i="10"/>
  <c r="P261" i="10" s="1"/>
  <c r="R261" i="10"/>
  <c r="T261" i="10"/>
  <c r="U261" i="10"/>
  <c r="O262" i="10"/>
  <c r="P262" i="10" s="1"/>
  <c r="R262" i="10"/>
  <c r="T262" i="10"/>
  <c r="U262" i="10"/>
  <c r="O263" i="10"/>
  <c r="P263" i="10" s="1"/>
  <c r="R263" i="10"/>
  <c r="T263" i="10"/>
  <c r="U263" i="10"/>
  <c r="O264" i="10"/>
  <c r="P264" i="10" s="1"/>
  <c r="R264" i="10"/>
  <c r="T264" i="10"/>
  <c r="U264" i="10"/>
  <c r="O265" i="10"/>
  <c r="P265" i="10" s="1"/>
  <c r="R265" i="10"/>
  <c r="T265" i="10"/>
  <c r="U265" i="10"/>
  <c r="O266" i="10"/>
  <c r="P266" i="10" s="1"/>
  <c r="R266" i="10"/>
  <c r="T266" i="10"/>
  <c r="U266" i="10"/>
  <c r="O267" i="10"/>
  <c r="P267" i="10" s="1"/>
  <c r="R267" i="10"/>
  <c r="T267" i="10"/>
  <c r="U267" i="10"/>
  <c r="O268" i="10"/>
  <c r="P268" i="10" s="1"/>
  <c r="R268" i="10"/>
  <c r="T268" i="10"/>
  <c r="U268" i="10"/>
  <c r="O269" i="10"/>
  <c r="P269" i="10" s="1"/>
  <c r="R269" i="10"/>
  <c r="T269" i="10"/>
  <c r="U269" i="10"/>
  <c r="O270" i="10"/>
  <c r="P270" i="10" s="1"/>
  <c r="R270" i="10"/>
  <c r="T270" i="10"/>
  <c r="U270" i="10"/>
  <c r="O271" i="10"/>
  <c r="P271" i="10" s="1"/>
  <c r="R271" i="10"/>
  <c r="T271" i="10"/>
  <c r="U271" i="10"/>
  <c r="O272" i="10"/>
  <c r="P272" i="10" s="1"/>
  <c r="R272" i="10"/>
  <c r="T272" i="10"/>
  <c r="U272" i="10"/>
  <c r="O273" i="10"/>
  <c r="P273" i="10" s="1"/>
  <c r="R273" i="10"/>
  <c r="T273" i="10"/>
  <c r="U273" i="10"/>
  <c r="O274" i="10"/>
  <c r="P274" i="10" s="1"/>
  <c r="R274" i="10"/>
  <c r="T274" i="10"/>
  <c r="U274" i="10"/>
  <c r="O275" i="10"/>
  <c r="P275" i="10" s="1"/>
  <c r="R275" i="10"/>
  <c r="T275" i="10"/>
  <c r="U275" i="10"/>
  <c r="O276" i="10"/>
  <c r="P276" i="10" s="1"/>
  <c r="R276" i="10"/>
  <c r="T276" i="10"/>
  <c r="U276" i="10"/>
  <c r="O277" i="10"/>
  <c r="P277" i="10" s="1"/>
  <c r="R277" i="10"/>
  <c r="T277" i="10"/>
  <c r="U277" i="10"/>
  <c r="O278" i="10"/>
  <c r="P278" i="10" s="1"/>
  <c r="R278" i="10"/>
  <c r="T278" i="10"/>
  <c r="U278" i="10"/>
  <c r="O279" i="10"/>
  <c r="P279" i="10" s="1"/>
  <c r="R279" i="10"/>
  <c r="T279" i="10"/>
  <c r="U279" i="10"/>
  <c r="O280" i="10"/>
  <c r="P280" i="10" s="1"/>
  <c r="R280" i="10"/>
  <c r="T280" i="10"/>
  <c r="U280" i="10"/>
  <c r="O281" i="10"/>
  <c r="P281" i="10" s="1"/>
  <c r="R281" i="10"/>
  <c r="T281" i="10"/>
  <c r="U281" i="10"/>
  <c r="O282" i="10"/>
  <c r="P282" i="10" s="1"/>
  <c r="R282" i="10"/>
  <c r="T282" i="10"/>
  <c r="U282" i="10"/>
  <c r="O283" i="10"/>
  <c r="P283" i="10" s="1"/>
  <c r="R283" i="10"/>
  <c r="T283" i="10"/>
  <c r="U283" i="10"/>
  <c r="O284" i="10"/>
  <c r="P284" i="10" s="1"/>
  <c r="R284" i="10"/>
  <c r="T284" i="10"/>
  <c r="U284" i="10"/>
  <c r="O285" i="10"/>
  <c r="P285" i="10" s="1"/>
  <c r="R285" i="10"/>
  <c r="T285" i="10"/>
  <c r="U285" i="10"/>
  <c r="O286" i="10"/>
  <c r="P286" i="10" s="1"/>
  <c r="R286" i="10"/>
  <c r="T286" i="10"/>
  <c r="U286" i="10"/>
  <c r="O287" i="10"/>
  <c r="P287" i="10" s="1"/>
  <c r="R287" i="10"/>
  <c r="T287" i="10"/>
  <c r="U287" i="10"/>
  <c r="O288" i="10"/>
  <c r="P288" i="10" s="1"/>
  <c r="R288" i="10"/>
  <c r="T288" i="10"/>
  <c r="U288" i="10"/>
  <c r="O289" i="10"/>
  <c r="P289" i="10" s="1"/>
  <c r="R289" i="10"/>
  <c r="T289" i="10"/>
  <c r="U289" i="10"/>
  <c r="O290" i="10"/>
  <c r="P290" i="10" s="1"/>
  <c r="R290" i="10"/>
  <c r="T290" i="10"/>
  <c r="U290" i="10"/>
  <c r="O291" i="10"/>
  <c r="P291" i="10" s="1"/>
  <c r="R291" i="10"/>
  <c r="T291" i="10"/>
  <c r="U291" i="10"/>
  <c r="O292" i="10"/>
  <c r="P292" i="10" s="1"/>
  <c r="R292" i="10"/>
  <c r="T292" i="10"/>
  <c r="U292" i="10"/>
  <c r="O293" i="10"/>
  <c r="P293" i="10" s="1"/>
  <c r="R293" i="10"/>
  <c r="T293" i="10"/>
  <c r="U293" i="10"/>
  <c r="O294" i="10"/>
  <c r="P294" i="10" s="1"/>
  <c r="R294" i="10"/>
  <c r="T294" i="10"/>
  <c r="U294" i="10"/>
  <c r="O295" i="10"/>
  <c r="P295" i="10" s="1"/>
  <c r="R295" i="10"/>
  <c r="T295" i="10"/>
  <c r="U295" i="10"/>
  <c r="O296" i="10"/>
  <c r="P296" i="10" s="1"/>
  <c r="R296" i="10"/>
  <c r="T296" i="10"/>
  <c r="U296" i="10"/>
  <c r="O297" i="10"/>
  <c r="P297" i="10" s="1"/>
  <c r="R297" i="10"/>
  <c r="T297" i="10"/>
  <c r="U297" i="10"/>
  <c r="O298" i="10"/>
  <c r="P298" i="10" s="1"/>
  <c r="R298" i="10"/>
  <c r="T298" i="10"/>
  <c r="U298" i="10"/>
  <c r="O299" i="10"/>
  <c r="P299" i="10" s="1"/>
  <c r="R299" i="10"/>
  <c r="T299" i="10"/>
  <c r="U299" i="10"/>
  <c r="O300" i="10"/>
  <c r="P300" i="10" s="1"/>
  <c r="R300" i="10"/>
  <c r="T300" i="10"/>
  <c r="U300" i="10"/>
  <c r="O301" i="10"/>
  <c r="P301" i="10" s="1"/>
  <c r="R301" i="10"/>
  <c r="T301" i="10"/>
  <c r="U301" i="10"/>
  <c r="O302" i="10"/>
  <c r="P302" i="10" s="1"/>
  <c r="R302" i="10"/>
  <c r="T302" i="10"/>
  <c r="U302" i="10"/>
  <c r="O303" i="10"/>
  <c r="P303" i="10" s="1"/>
  <c r="R303" i="10"/>
  <c r="T303" i="10"/>
  <c r="U303" i="10"/>
  <c r="O304" i="10"/>
  <c r="P304" i="10" s="1"/>
  <c r="R304" i="10"/>
  <c r="T304" i="10"/>
  <c r="U304" i="10"/>
  <c r="O305" i="10"/>
  <c r="P305" i="10" s="1"/>
  <c r="R305" i="10"/>
  <c r="T305" i="10"/>
  <c r="U305" i="10"/>
  <c r="O306" i="10"/>
  <c r="P306" i="10" s="1"/>
  <c r="R306" i="10"/>
  <c r="T306" i="10"/>
  <c r="U306" i="10"/>
  <c r="O307" i="10"/>
  <c r="P307" i="10" s="1"/>
  <c r="R307" i="10"/>
  <c r="T307" i="10"/>
  <c r="U307" i="10"/>
  <c r="O308" i="10"/>
  <c r="P308" i="10" s="1"/>
  <c r="R308" i="10"/>
  <c r="T308" i="10"/>
  <c r="U308" i="10"/>
  <c r="O309" i="10"/>
  <c r="P309" i="10" s="1"/>
  <c r="R309" i="10"/>
  <c r="T309" i="10"/>
  <c r="U309" i="10"/>
  <c r="O310" i="10"/>
  <c r="P310" i="10" s="1"/>
  <c r="R310" i="10"/>
  <c r="T310" i="10"/>
  <c r="U310" i="10"/>
  <c r="O311" i="10"/>
  <c r="P311" i="10" s="1"/>
  <c r="R311" i="10"/>
  <c r="T311" i="10"/>
  <c r="U311" i="10"/>
  <c r="O312" i="10"/>
  <c r="P312" i="10" s="1"/>
  <c r="R312" i="10"/>
  <c r="T312" i="10"/>
  <c r="U312" i="10"/>
  <c r="O313" i="10"/>
  <c r="P313" i="10" s="1"/>
  <c r="R313" i="10"/>
  <c r="T313" i="10"/>
  <c r="U313" i="10"/>
  <c r="O314" i="10"/>
  <c r="P314" i="10" s="1"/>
  <c r="R314" i="10"/>
  <c r="T314" i="10"/>
  <c r="U314" i="10"/>
  <c r="O315" i="10"/>
  <c r="P315" i="10" s="1"/>
  <c r="R315" i="10"/>
  <c r="T315" i="10"/>
  <c r="U315" i="10"/>
  <c r="O316" i="10"/>
  <c r="P316" i="10" s="1"/>
  <c r="R316" i="10"/>
  <c r="T316" i="10"/>
  <c r="U316" i="10"/>
  <c r="O317" i="10"/>
  <c r="P317" i="10" s="1"/>
  <c r="R317" i="10"/>
  <c r="T317" i="10"/>
  <c r="U317" i="10"/>
  <c r="O318" i="10"/>
  <c r="P318" i="10" s="1"/>
  <c r="R318" i="10"/>
  <c r="T318" i="10"/>
  <c r="U318" i="10"/>
  <c r="O319" i="10"/>
  <c r="P319" i="10" s="1"/>
  <c r="R319" i="10"/>
  <c r="T319" i="10"/>
  <c r="U319" i="10"/>
  <c r="O320" i="10"/>
  <c r="P320" i="10" s="1"/>
  <c r="R320" i="10"/>
  <c r="T320" i="10"/>
  <c r="U320" i="10"/>
  <c r="O321" i="10"/>
  <c r="P321" i="10" s="1"/>
  <c r="R321" i="10"/>
  <c r="T321" i="10"/>
  <c r="U321" i="10"/>
  <c r="O322" i="10"/>
  <c r="P322" i="10" s="1"/>
  <c r="R322" i="10"/>
  <c r="T322" i="10"/>
  <c r="U322" i="10"/>
  <c r="O323" i="10"/>
  <c r="P323" i="10" s="1"/>
  <c r="R323" i="10"/>
  <c r="T323" i="10"/>
  <c r="U323" i="10"/>
  <c r="O324" i="10"/>
  <c r="P324" i="10" s="1"/>
  <c r="R324" i="10"/>
  <c r="T324" i="10"/>
  <c r="U324" i="10"/>
  <c r="O325" i="10"/>
  <c r="P325" i="10" s="1"/>
  <c r="R325" i="10"/>
  <c r="T325" i="10"/>
  <c r="U325" i="10"/>
  <c r="O326" i="10"/>
  <c r="P326" i="10" s="1"/>
  <c r="R326" i="10"/>
  <c r="T326" i="10"/>
  <c r="U326" i="10"/>
  <c r="O327" i="10"/>
  <c r="P327" i="10" s="1"/>
  <c r="R327" i="10"/>
  <c r="T327" i="10"/>
  <c r="U327" i="10"/>
  <c r="O328" i="10"/>
  <c r="P328" i="10" s="1"/>
  <c r="R328" i="10"/>
  <c r="T328" i="10"/>
  <c r="U328" i="10"/>
  <c r="O329" i="10"/>
  <c r="P329" i="10" s="1"/>
  <c r="R329" i="10"/>
  <c r="T329" i="10"/>
  <c r="U329" i="10"/>
  <c r="O330" i="10"/>
  <c r="P330" i="10" s="1"/>
  <c r="R330" i="10"/>
  <c r="T330" i="10"/>
  <c r="U330" i="10"/>
  <c r="O331" i="10"/>
  <c r="P331" i="10" s="1"/>
  <c r="R331" i="10"/>
  <c r="T331" i="10"/>
  <c r="U331" i="10"/>
  <c r="O332" i="10"/>
  <c r="P332" i="10" s="1"/>
  <c r="R332" i="10"/>
  <c r="T332" i="10"/>
  <c r="U332" i="10"/>
  <c r="O333" i="10"/>
  <c r="P333" i="10" s="1"/>
  <c r="R333" i="10"/>
  <c r="T333" i="10"/>
  <c r="U333" i="10"/>
  <c r="O334" i="10"/>
  <c r="P334" i="10" s="1"/>
  <c r="R334" i="10"/>
  <c r="T334" i="10"/>
  <c r="U334" i="10"/>
  <c r="O335" i="10"/>
  <c r="P335" i="10" s="1"/>
  <c r="R335" i="10"/>
  <c r="T335" i="10"/>
  <c r="U335" i="10"/>
  <c r="O336" i="10"/>
  <c r="P336" i="10" s="1"/>
  <c r="R336" i="10"/>
  <c r="T336" i="10"/>
  <c r="U336" i="10"/>
  <c r="O337" i="10"/>
  <c r="P337" i="10" s="1"/>
  <c r="R337" i="10"/>
  <c r="T337" i="10"/>
  <c r="U337" i="10"/>
  <c r="O338" i="10"/>
  <c r="P338" i="10" s="1"/>
  <c r="R338" i="10"/>
  <c r="T338" i="10"/>
  <c r="U338" i="10"/>
  <c r="O339" i="10"/>
  <c r="P339" i="10" s="1"/>
  <c r="R339" i="10"/>
  <c r="T339" i="10"/>
  <c r="U339" i="10"/>
  <c r="O340" i="10"/>
  <c r="P340" i="10" s="1"/>
  <c r="R340" i="10"/>
  <c r="T340" i="10"/>
  <c r="U340" i="10"/>
  <c r="O341" i="10"/>
  <c r="P341" i="10" s="1"/>
  <c r="R341" i="10"/>
  <c r="T341" i="10"/>
  <c r="U341" i="10"/>
  <c r="O342" i="10"/>
  <c r="P342" i="10" s="1"/>
  <c r="R342" i="10"/>
  <c r="T342" i="10"/>
  <c r="U342" i="10"/>
  <c r="O343" i="10"/>
  <c r="P343" i="10" s="1"/>
  <c r="R343" i="10"/>
  <c r="T343" i="10"/>
  <c r="U343" i="10"/>
  <c r="O344" i="10"/>
  <c r="P344" i="10" s="1"/>
  <c r="R344" i="10"/>
  <c r="T344" i="10"/>
  <c r="U344" i="10"/>
  <c r="O345" i="10"/>
  <c r="P345" i="10" s="1"/>
  <c r="R345" i="10"/>
  <c r="T345" i="10"/>
  <c r="U345" i="10"/>
  <c r="O346" i="10"/>
  <c r="P346" i="10" s="1"/>
  <c r="R346" i="10"/>
  <c r="T346" i="10"/>
  <c r="U346" i="10"/>
  <c r="O347" i="10"/>
  <c r="P347" i="10" s="1"/>
  <c r="R347" i="10"/>
  <c r="T347" i="10"/>
  <c r="U347" i="10"/>
  <c r="O348" i="10"/>
  <c r="P348" i="10" s="1"/>
  <c r="R348" i="10"/>
  <c r="T348" i="10"/>
  <c r="U348" i="10"/>
  <c r="O349" i="10"/>
  <c r="P349" i="10" s="1"/>
  <c r="R349" i="10"/>
  <c r="T349" i="10"/>
  <c r="U349" i="10"/>
  <c r="O350" i="10"/>
  <c r="P350" i="10" s="1"/>
  <c r="R350" i="10"/>
  <c r="T350" i="10"/>
  <c r="U350" i="10"/>
  <c r="O351" i="10"/>
  <c r="P351" i="10" s="1"/>
  <c r="R351" i="10"/>
  <c r="T351" i="10"/>
  <c r="U351" i="10"/>
  <c r="O352" i="10"/>
  <c r="P352" i="10" s="1"/>
  <c r="R352" i="10"/>
  <c r="T352" i="10"/>
  <c r="U352" i="10"/>
  <c r="O353" i="10"/>
  <c r="P353" i="10" s="1"/>
  <c r="R353" i="10"/>
  <c r="T353" i="10"/>
  <c r="U353" i="10"/>
  <c r="O354" i="10"/>
  <c r="P354" i="10" s="1"/>
  <c r="R354" i="10"/>
  <c r="T354" i="10"/>
  <c r="U354" i="10"/>
  <c r="O355" i="10"/>
  <c r="P355" i="10" s="1"/>
  <c r="R355" i="10"/>
  <c r="T355" i="10"/>
  <c r="U355" i="10"/>
  <c r="O356" i="10"/>
  <c r="P356" i="10" s="1"/>
  <c r="R356" i="10"/>
  <c r="T356" i="10"/>
  <c r="U356" i="10"/>
  <c r="O357" i="10"/>
  <c r="P357" i="10" s="1"/>
  <c r="R357" i="10"/>
  <c r="T357" i="10"/>
  <c r="U357" i="10"/>
  <c r="O358" i="10"/>
  <c r="P358" i="10" s="1"/>
  <c r="R358" i="10"/>
  <c r="T358" i="10"/>
  <c r="U358" i="10"/>
  <c r="O359" i="10"/>
  <c r="P359" i="10" s="1"/>
  <c r="R359" i="10"/>
  <c r="T359" i="10"/>
  <c r="U359" i="10"/>
  <c r="O360" i="10"/>
  <c r="P360" i="10" s="1"/>
  <c r="R360" i="10"/>
  <c r="T360" i="10"/>
  <c r="U360" i="10"/>
  <c r="O361" i="10"/>
  <c r="P361" i="10" s="1"/>
  <c r="R361" i="10"/>
  <c r="T361" i="10"/>
  <c r="U361" i="10"/>
  <c r="O362" i="10"/>
  <c r="P362" i="10" s="1"/>
  <c r="R362" i="10"/>
  <c r="T362" i="10"/>
  <c r="U362" i="10"/>
  <c r="O363" i="10"/>
  <c r="P363" i="10" s="1"/>
  <c r="R363" i="10"/>
  <c r="T363" i="10"/>
  <c r="U363" i="10"/>
  <c r="O364" i="10"/>
  <c r="P364" i="10" s="1"/>
  <c r="R364" i="10"/>
  <c r="T364" i="10"/>
  <c r="U364" i="10"/>
  <c r="O365" i="10"/>
  <c r="P365" i="10" s="1"/>
  <c r="R365" i="10"/>
  <c r="T365" i="10"/>
  <c r="U365" i="10"/>
  <c r="O366" i="10"/>
  <c r="P366" i="10" s="1"/>
  <c r="R366" i="10"/>
  <c r="T366" i="10"/>
  <c r="U366" i="10"/>
  <c r="O367" i="10"/>
  <c r="P367" i="10" s="1"/>
  <c r="R367" i="10"/>
  <c r="T367" i="10"/>
  <c r="U367" i="10"/>
  <c r="O368" i="10"/>
  <c r="P368" i="10" s="1"/>
  <c r="R368" i="10"/>
  <c r="T368" i="10"/>
  <c r="U368" i="10"/>
  <c r="O369" i="10"/>
  <c r="P369" i="10" s="1"/>
  <c r="R369" i="10"/>
  <c r="T369" i="10"/>
  <c r="U369" i="10"/>
  <c r="O370" i="10"/>
  <c r="P370" i="10" s="1"/>
  <c r="R370" i="10"/>
  <c r="T370" i="10"/>
  <c r="U370" i="10"/>
  <c r="O371" i="10"/>
  <c r="P371" i="10" s="1"/>
  <c r="R371" i="10"/>
  <c r="T371" i="10"/>
  <c r="U371" i="10"/>
  <c r="O372" i="10"/>
  <c r="P372" i="10" s="1"/>
  <c r="R372" i="10"/>
  <c r="T372" i="10"/>
  <c r="U372" i="10"/>
  <c r="O373" i="10"/>
  <c r="P373" i="10"/>
  <c r="R373" i="10"/>
  <c r="T373" i="10"/>
  <c r="U373" i="10"/>
  <c r="O374" i="10"/>
  <c r="P374" i="10" s="1"/>
  <c r="R374" i="10"/>
  <c r="T374" i="10"/>
  <c r="U374" i="10"/>
  <c r="O375" i="10"/>
  <c r="P375" i="10" s="1"/>
  <c r="R375" i="10"/>
  <c r="T375" i="10"/>
  <c r="U375" i="10"/>
  <c r="O376" i="10"/>
  <c r="P376" i="10" s="1"/>
  <c r="R376" i="10"/>
  <c r="T376" i="10"/>
  <c r="U376" i="10"/>
  <c r="O377" i="10"/>
  <c r="P377" i="10" s="1"/>
  <c r="R377" i="10"/>
  <c r="T377" i="10"/>
  <c r="U377" i="10"/>
  <c r="O378" i="10"/>
  <c r="P378" i="10" s="1"/>
  <c r="R378" i="10"/>
  <c r="T378" i="10"/>
  <c r="U378" i="10"/>
  <c r="O379" i="10"/>
  <c r="P379" i="10" s="1"/>
  <c r="R379" i="10"/>
  <c r="T379" i="10"/>
  <c r="U379" i="10"/>
  <c r="O380" i="10"/>
  <c r="P380" i="10" s="1"/>
  <c r="R380" i="10"/>
  <c r="T380" i="10"/>
  <c r="U380" i="10"/>
  <c r="O381" i="10"/>
  <c r="P381" i="10" s="1"/>
  <c r="R381" i="10"/>
  <c r="T381" i="10"/>
  <c r="U381" i="10"/>
  <c r="O382" i="10"/>
  <c r="P382" i="10" s="1"/>
  <c r="R382" i="10"/>
  <c r="T382" i="10"/>
  <c r="U382" i="10"/>
  <c r="O383" i="10"/>
  <c r="P383" i="10" s="1"/>
  <c r="R383" i="10"/>
  <c r="T383" i="10"/>
  <c r="U383" i="10"/>
  <c r="O384" i="10"/>
  <c r="P384" i="10" s="1"/>
  <c r="R384" i="10"/>
  <c r="T384" i="10"/>
  <c r="U384" i="10"/>
  <c r="O385" i="10"/>
  <c r="P385" i="10" s="1"/>
  <c r="R385" i="10"/>
  <c r="T385" i="10"/>
  <c r="U385" i="10"/>
  <c r="O386" i="10"/>
  <c r="P386" i="10" s="1"/>
  <c r="R386" i="10"/>
  <c r="T386" i="10"/>
  <c r="U386" i="10"/>
  <c r="O387" i="10"/>
  <c r="P387" i="10" s="1"/>
  <c r="R387" i="10"/>
  <c r="T387" i="10"/>
  <c r="U387" i="10"/>
  <c r="O388" i="10"/>
  <c r="P388" i="10" s="1"/>
  <c r="R388" i="10"/>
  <c r="T388" i="10"/>
  <c r="U388" i="10"/>
  <c r="O389" i="10"/>
  <c r="P389" i="10" s="1"/>
  <c r="R389" i="10"/>
  <c r="T389" i="10"/>
  <c r="U389" i="10"/>
  <c r="O390" i="10"/>
  <c r="P390" i="10" s="1"/>
  <c r="R390" i="10"/>
  <c r="T390" i="10"/>
  <c r="U390" i="10"/>
  <c r="O391" i="10"/>
  <c r="P391" i="10" s="1"/>
  <c r="R391" i="10"/>
  <c r="T391" i="10"/>
  <c r="U391" i="10"/>
  <c r="O392" i="10"/>
  <c r="P392" i="10" s="1"/>
  <c r="R392" i="10"/>
  <c r="T392" i="10"/>
  <c r="U392" i="10"/>
  <c r="O393" i="10"/>
  <c r="P393" i="10" s="1"/>
  <c r="R393" i="10"/>
  <c r="T393" i="10"/>
  <c r="U393" i="10"/>
  <c r="O394" i="10"/>
  <c r="P394" i="10" s="1"/>
  <c r="R394" i="10"/>
  <c r="U394" i="10"/>
  <c r="O395" i="10"/>
  <c r="P395" i="10" s="1"/>
  <c r="R395" i="10"/>
  <c r="T395" i="10"/>
  <c r="U395" i="10"/>
  <c r="O396" i="10"/>
  <c r="P396" i="10" s="1"/>
  <c r="R396" i="10"/>
  <c r="T396" i="10"/>
  <c r="U396" i="10"/>
  <c r="O397" i="10"/>
  <c r="P397" i="10" s="1"/>
  <c r="R397" i="10"/>
  <c r="T397" i="10"/>
  <c r="U397" i="10"/>
  <c r="O398" i="10"/>
  <c r="P398" i="10" s="1"/>
  <c r="R398" i="10"/>
  <c r="T398" i="10"/>
  <c r="U398" i="10"/>
  <c r="O399" i="10"/>
  <c r="P399" i="10" s="1"/>
  <c r="R399" i="10"/>
  <c r="T399" i="10"/>
  <c r="U399" i="10"/>
  <c r="O400" i="10"/>
  <c r="P400" i="10" s="1"/>
  <c r="R400" i="10"/>
  <c r="T400" i="10"/>
  <c r="U400" i="10"/>
  <c r="O401" i="10"/>
  <c r="P401" i="10" s="1"/>
  <c r="R401" i="10"/>
  <c r="T401" i="10"/>
  <c r="U401" i="10"/>
  <c r="O402" i="10"/>
  <c r="P402" i="10" s="1"/>
  <c r="R402" i="10"/>
  <c r="T402" i="10"/>
  <c r="U402" i="10"/>
  <c r="O403" i="10"/>
  <c r="P403" i="10" s="1"/>
  <c r="R403" i="10"/>
  <c r="T403" i="10"/>
  <c r="U403" i="10"/>
  <c r="O404" i="10"/>
  <c r="P404" i="10" s="1"/>
  <c r="R404" i="10"/>
  <c r="T404" i="10"/>
  <c r="U404" i="10"/>
  <c r="O405" i="10"/>
  <c r="P405" i="10" s="1"/>
  <c r="R405" i="10"/>
  <c r="T405" i="10"/>
  <c r="U405" i="10"/>
  <c r="O406" i="10"/>
  <c r="P406" i="10" s="1"/>
  <c r="R406" i="10"/>
  <c r="T406" i="10"/>
  <c r="U406" i="10"/>
  <c r="O407" i="10"/>
  <c r="P407" i="10" s="1"/>
  <c r="R407" i="10"/>
  <c r="T407" i="10"/>
  <c r="U407" i="10"/>
  <c r="O408" i="10"/>
  <c r="P408" i="10" s="1"/>
  <c r="R408" i="10"/>
  <c r="T408" i="10"/>
  <c r="U408" i="10"/>
  <c r="O409" i="10"/>
  <c r="P409" i="10" s="1"/>
  <c r="R409" i="10"/>
  <c r="T409" i="10"/>
  <c r="U409" i="10"/>
  <c r="O410" i="10"/>
  <c r="P410" i="10" s="1"/>
  <c r="R410" i="10"/>
  <c r="T410" i="10"/>
  <c r="U410" i="10"/>
  <c r="O411" i="10"/>
  <c r="P411" i="10" s="1"/>
  <c r="R411" i="10"/>
  <c r="T411" i="10"/>
  <c r="U411" i="10"/>
  <c r="O412" i="10"/>
  <c r="P412" i="10" s="1"/>
  <c r="R412" i="10"/>
  <c r="T412" i="10"/>
  <c r="U412" i="10"/>
  <c r="O413" i="10"/>
  <c r="P413" i="10" s="1"/>
  <c r="R413" i="10"/>
  <c r="T413" i="10"/>
  <c r="U413" i="10"/>
  <c r="O414" i="10"/>
  <c r="P414" i="10" s="1"/>
  <c r="R414" i="10"/>
  <c r="T414" i="10"/>
  <c r="U414" i="10"/>
  <c r="O415" i="10"/>
  <c r="P415" i="10" s="1"/>
  <c r="R415" i="10"/>
  <c r="T415" i="10"/>
  <c r="U415" i="10"/>
  <c r="O416" i="10"/>
  <c r="P416" i="10" s="1"/>
  <c r="R416" i="10"/>
  <c r="T416" i="10"/>
  <c r="U416" i="10"/>
  <c r="O417" i="10"/>
  <c r="P417" i="10" s="1"/>
  <c r="R417" i="10"/>
  <c r="T417" i="10"/>
  <c r="U417" i="10"/>
  <c r="O418" i="10"/>
  <c r="P418" i="10" s="1"/>
  <c r="R418" i="10"/>
  <c r="T418" i="10"/>
  <c r="U418" i="10"/>
  <c r="O419" i="10"/>
  <c r="P419" i="10" s="1"/>
  <c r="R419" i="10"/>
  <c r="T419" i="10"/>
  <c r="U419" i="10"/>
  <c r="O420" i="10"/>
  <c r="P420" i="10"/>
  <c r="R420" i="10"/>
  <c r="T420" i="10"/>
  <c r="U420" i="10"/>
  <c r="O421" i="10"/>
  <c r="P421" i="10" s="1"/>
  <c r="R421" i="10"/>
  <c r="T421" i="10"/>
  <c r="U421" i="10"/>
  <c r="O422" i="10"/>
  <c r="P422" i="10" s="1"/>
  <c r="R422" i="10"/>
  <c r="T422" i="10"/>
  <c r="U422" i="10"/>
  <c r="O423" i="10"/>
  <c r="P423" i="10" s="1"/>
  <c r="R423" i="10"/>
  <c r="T423" i="10"/>
  <c r="U423" i="10"/>
  <c r="O424" i="10"/>
  <c r="P424" i="10" s="1"/>
  <c r="R424" i="10"/>
  <c r="T424" i="10"/>
  <c r="U424" i="10"/>
  <c r="O425" i="10"/>
  <c r="P425" i="10" s="1"/>
  <c r="R425" i="10"/>
  <c r="T425" i="10"/>
  <c r="U425" i="10"/>
  <c r="O426" i="10"/>
  <c r="P426" i="10" s="1"/>
  <c r="R426" i="10"/>
  <c r="T426" i="10"/>
  <c r="U426" i="10"/>
  <c r="O427" i="10"/>
  <c r="P427" i="10" s="1"/>
  <c r="R427" i="10"/>
  <c r="T427" i="10"/>
  <c r="U427" i="10"/>
  <c r="O428" i="10"/>
  <c r="P428" i="10" s="1"/>
  <c r="R428" i="10"/>
  <c r="T428" i="10"/>
  <c r="U428" i="10"/>
  <c r="O429" i="10"/>
  <c r="P429" i="10" s="1"/>
  <c r="R429" i="10"/>
  <c r="T429" i="10"/>
  <c r="U429" i="10"/>
  <c r="O430" i="10"/>
  <c r="P430" i="10" s="1"/>
  <c r="R430" i="10"/>
  <c r="T430" i="10"/>
  <c r="U430" i="10"/>
  <c r="O431" i="10"/>
  <c r="P431" i="10" s="1"/>
  <c r="R431" i="10"/>
  <c r="T431" i="10"/>
  <c r="U431" i="10"/>
  <c r="O432" i="10"/>
  <c r="P432" i="10" s="1"/>
  <c r="R432" i="10"/>
  <c r="T432" i="10"/>
  <c r="U432" i="10"/>
  <c r="O433" i="10"/>
  <c r="P433" i="10" s="1"/>
  <c r="R433" i="10"/>
  <c r="T433" i="10"/>
  <c r="U433" i="10"/>
  <c r="O434" i="10"/>
  <c r="P434" i="10" s="1"/>
  <c r="R434" i="10"/>
  <c r="T434" i="10"/>
  <c r="U434" i="10"/>
  <c r="O435" i="10"/>
  <c r="P435" i="10" s="1"/>
  <c r="R435" i="10"/>
  <c r="T435" i="10"/>
  <c r="U435" i="10"/>
  <c r="O436" i="10"/>
  <c r="P436" i="10" s="1"/>
  <c r="R436" i="10"/>
  <c r="T436" i="10"/>
  <c r="U436" i="10"/>
  <c r="O437" i="10"/>
  <c r="P437" i="10" s="1"/>
  <c r="R437" i="10"/>
  <c r="T437" i="10"/>
  <c r="U437" i="10"/>
  <c r="O438" i="10"/>
  <c r="P438" i="10" s="1"/>
  <c r="R438" i="10"/>
  <c r="T438" i="10"/>
  <c r="U438" i="10"/>
  <c r="O439" i="10"/>
  <c r="P439" i="10" s="1"/>
  <c r="R439" i="10"/>
  <c r="U439" i="10"/>
  <c r="O440" i="10"/>
  <c r="P440" i="10" s="1"/>
  <c r="R440" i="10"/>
  <c r="T440" i="10"/>
  <c r="U440" i="10"/>
  <c r="O441" i="10"/>
  <c r="P441" i="10" s="1"/>
  <c r="R441" i="10"/>
  <c r="T441" i="10"/>
  <c r="U441" i="10"/>
  <c r="O442" i="10"/>
  <c r="P442" i="10" s="1"/>
  <c r="R442" i="10"/>
  <c r="T442" i="10"/>
  <c r="U442" i="10"/>
  <c r="O443" i="10"/>
  <c r="P443" i="10" s="1"/>
  <c r="R443" i="10"/>
  <c r="T443" i="10"/>
  <c r="U443" i="10"/>
  <c r="O444" i="10"/>
  <c r="P444" i="10" s="1"/>
  <c r="R444" i="10"/>
  <c r="T444" i="10"/>
  <c r="U444" i="10"/>
  <c r="O445" i="10"/>
  <c r="P445" i="10" s="1"/>
  <c r="R445" i="10"/>
  <c r="T445" i="10"/>
  <c r="U445" i="10"/>
  <c r="O446" i="10"/>
  <c r="P446" i="10" s="1"/>
  <c r="R446" i="10"/>
  <c r="T446" i="10"/>
  <c r="U446" i="10"/>
  <c r="O447" i="10"/>
  <c r="P447" i="10" s="1"/>
  <c r="R447" i="10"/>
  <c r="T447" i="10"/>
  <c r="U447" i="10"/>
  <c r="O448" i="10"/>
  <c r="P448" i="10" s="1"/>
  <c r="R448" i="10"/>
  <c r="T448" i="10"/>
  <c r="U448" i="10"/>
  <c r="O449" i="10"/>
  <c r="P449" i="10" s="1"/>
  <c r="R449" i="10"/>
  <c r="T449" i="10"/>
  <c r="U449" i="10"/>
  <c r="O450" i="10"/>
  <c r="P450" i="10" s="1"/>
  <c r="R450" i="10"/>
  <c r="T450" i="10"/>
  <c r="U450" i="10"/>
  <c r="O451" i="10"/>
  <c r="P451" i="10" s="1"/>
  <c r="R451" i="10"/>
  <c r="T451" i="10"/>
  <c r="U451" i="10"/>
  <c r="O452" i="10"/>
  <c r="P452" i="10" s="1"/>
  <c r="R452" i="10"/>
  <c r="T452" i="10"/>
  <c r="U452" i="10"/>
  <c r="O453" i="10"/>
  <c r="P453" i="10" s="1"/>
  <c r="R453" i="10"/>
  <c r="T453" i="10"/>
  <c r="U453" i="10"/>
  <c r="O454" i="10"/>
  <c r="P454" i="10" s="1"/>
  <c r="R454" i="10"/>
  <c r="T454" i="10"/>
  <c r="U454" i="10"/>
  <c r="O455" i="10"/>
  <c r="P455" i="10" s="1"/>
  <c r="R455" i="10"/>
  <c r="T455" i="10"/>
  <c r="U455" i="10"/>
  <c r="O456" i="10"/>
  <c r="P456" i="10" s="1"/>
  <c r="R456" i="10"/>
  <c r="T456" i="10"/>
  <c r="U456" i="10"/>
  <c r="O457" i="10"/>
  <c r="P457" i="10" s="1"/>
  <c r="R457" i="10"/>
  <c r="T457" i="10"/>
  <c r="U457" i="10"/>
  <c r="O458" i="10"/>
  <c r="P458" i="10" s="1"/>
  <c r="R458" i="10"/>
  <c r="T458" i="10"/>
  <c r="U458" i="10"/>
  <c r="O459" i="10"/>
  <c r="P459" i="10" s="1"/>
  <c r="R459" i="10"/>
  <c r="T459" i="10"/>
  <c r="U459" i="10"/>
  <c r="O460" i="10"/>
  <c r="P460" i="10" s="1"/>
  <c r="R460" i="10"/>
  <c r="T460" i="10"/>
  <c r="U460" i="10"/>
  <c r="O461" i="10"/>
  <c r="P461" i="10" s="1"/>
  <c r="R461" i="10"/>
  <c r="T461" i="10"/>
  <c r="U461" i="10"/>
  <c r="O462" i="10"/>
  <c r="P462" i="10" s="1"/>
  <c r="R462" i="10"/>
  <c r="T462" i="10"/>
  <c r="U462" i="10"/>
  <c r="O463" i="10"/>
  <c r="P463" i="10" s="1"/>
  <c r="R463" i="10"/>
  <c r="T463" i="10"/>
  <c r="U463" i="10"/>
  <c r="O464" i="10"/>
  <c r="P464" i="10" s="1"/>
  <c r="R464" i="10"/>
  <c r="T464" i="10"/>
  <c r="U464" i="10"/>
  <c r="O465" i="10"/>
  <c r="P465" i="10" s="1"/>
  <c r="R465" i="10"/>
  <c r="T465" i="10"/>
  <c r="U465" i="10"/>
  <c r="O466" i="10"/>
  <c r="P466" i="10" s="1"/>
  <c r="R466" i="10"/>
  <c r="T466" i="10"/>
  <c r="U466" i="10"/>
  <c r="O467" i="10"/>
  <c r="P467" i="10" s="1"/>
  <c r="R467" i="10"/>
  <c r="T467" i="10"/>
  <c r="U467" i="10"/>
  <c r="O468" i="10"/>
  <c r="P468" i="10" s="1"/>
  <c r="R468" i="10"/>
  <c r="T468" i="10"/>
  <c r="U468" i="10"/>
  <c r="O469" i="10"/>
  <c r="P469" i="10" s="1"/>
  <c r="R469" i="10"/>
  <c r="T469" i="10"/>
  <c r="U469" i="10"/>
  <c r="O470" i="10"/>
  <c r="P470" i="10" s="1"/>
  <c r="R470" i="10"/>
  <c r="T470" i="10"/>
  <c r="U470" i="10"/>
  <c r="O471" i="10"/>
  <c r="P471" i="10" s="1"/>
  <c r="R471" i="10"/>
  <c r="T471" i="10"/>
  <c r="U471" i="10"/>
  <c r="O472" i="10"/>
  <c r="P472" i="10"/>
  <c r="R472" i="10"/>
  <c r="T472" i="10"/>
  <c r="U472" i="10"/>
  <c r="O473" i="10"/>
  <c r="P473" i="10" s="1"/>
  <c r="R473" i="10"/>
  <c r="T473" i="10"/>
  <c r="U473" i="10"/>
  <c r="O474" i="10"/>
  <c r="P474" i="10" s="1"/>
  <c r="R474" i="10"/>
  <c r="T474" i="10"/>
  <c r="U474" i="10"/>
  <c r="O475" i="10"/>
  <c r="P475" i="10" s="1"/>
  <c r="R475" i="10"/>
  <c r="T475" i="10"/>
  <c r="U475" i="10"/>
  <c r="O476" i="10"/>
  <c r="P476" i="10" s="1"/>
  <c r="R476" i="10"/>
  <c r="T476" i="10"/>
  <c r="U476" i="10"/>
  <c r="O477" i="10"/>
  <c r="P477" i="10" s="1"/>
  <c r="R477" i="10"/>
  <c r="T477" i="10"/>
  <c r="U477" i="10"/>
  <c r="O478" i="10"/>
  <c r="P478" i="10" s="1"/>
  <c r="R478" i="10"/>
  <c r="T478" i="10"/>
  <c r="U478" i="10"/>
  <c r="O479" i="10"/>
  <c r="P479" i="10" s="1"/>
  <c r="R479" i="10"/>
  <c r="T479" i="10"/>
  <c r="U479" i="10"/>
  <c r="O480" i="10"/>
  <c r="P480" i="10" s="1"/>
  <c r="R480" i="10"/>
  <c r="T480" i="10"/>
  <c r="U480" i="10"/>
  <c r="O481" i="10"/>
  <c r="P481" i="10" s="1"/>
  <c r="R481" i="10"/>
  <c r="T481" i="10"/>
  <c r="U481" i="10"/>
  <c r="O482" i="10"/>
  <c r="P482" i="10" s="1"/>
  <c r="R482" i="10"/>
  <c r="T482" i="10"/>
  <c r="U482" i="10"/>
  <c r="O483" i="10"/>
  <c r="P483" i="10" s="1"/>
  <c r="R483" i="10"/>
  <c r="T483" i="10"/>
  <c r="U483" i="10"/>
  <c r="O484" i="10"/>
  <c r="P484" i="10" s="1"/>
  <c r="R484" i="10"/>
  <c r="T484" i="10"/>
  <c r="U484" i="10"/>
  <c r="O485" i="10"/>
  <c r="P485" i="10" s="1"/>
  <c r="R485" i="10"/>
  <c r="T485" i="10"/>
  <c r="U485" i="10"/>
  <c r="O486" i="10"/>
  <c r="P486" i="10" s="1"/>
  <c r="R486" i="10"/>
  <c r="T486" i="10"/>
  <c r="U486" i="10"/>
  <c r="O487" i="10"/>
  <c r="P487" i="10" s="1"/>
  <c r="R487" i="10"/>
  <c r="T487" i="10"/>
  <c r="U487" i="10"/>
  <c r="O488" i="10"/>
  <c r="P488" i="10"/>
  <c r="R488" i="10"/>
  <c r="T488" i="10"/>
  <c r="U488" i="10"/>
  <c r="O489" i="10"/>
  <c r="P489" i="10" s="1"/>
  <c r="R489" i="10"/>
  <c r="T489" i="10"/>
  <c r="U489" i="10"/>
  <c r="O490" i="10"/>
  <c r="P490" i="10" s="1"/>
  <c r="R490" i="10"/>
  <c r="T490" i="10"/>
  <c r="U490" i="10"/>
  <c r="O491" i="10"/>
  <c r="P491" i="10" s="1"/>
  <c r="R491" i="10"/>
  <c r="T491" i="10"/>
  <c r="U491" i="10"/>
  <c r="O492" i="10"/>
  <c r="P492" i="10" s="1"/>
  <c r="R492" i="10"/>
  <c r="T492" i="10"/>
  <c r="U492" i="10"/>
  <c r="O493" i="10"/>
  <c r="P493" i="10" s="1"/>
  <c r="R493" i="10"/>
  <c r="T493" i="10"/>
  <c r="U493" i="10"/>
  <c r="O494" i="10"/>
  <c r="P494" i="10" s="1"/>
  <c r="R494" i="10"/>
  <c r="T494" i="10"/>
  <c r="U494" i="10"/>
  <c r="O495" i="10"/>
  <c r="P495" i="10" s="1"/>
  <c r="R495" i="10"/>
  <c r="T495" i="10"/>
  <c r="U495" i="10"/>
  <c r="O496" i="10"/>
  <c r="P496" i="10" s="1"/>
  <c r="R496" i="10"/>
  <c r="T496" i="10"/>
  <c r="U496" i="10"/>
  <c r="O497" i="10"/>
  <c r="P497" i="10" s="1"/>
  <c r="R497" i="10"/>
  <c r="T497" i="10"/>
  <c r="U497" i="10"/>
  <c r="O498" i="10"/>
  <c r="P498" i="10" s="1"/>
  <c r="R498" i="10"/>
  <c r="T498" i="10"/>
  <c r="U498" i="10"/>
  <c r="O499" i="10"/>
  <c r="P499" i="10" s="1"/>
  <c r="R499" i="10"/>
  <c r="T499" i="10"/>
  <c r="U499" i="10"/>
  <c r="O500" i="10"/>
  <c r="P500" i="10" s="1"/>
  <c r="R500" i="10"/>
  <c r="T500" i="10"/>
  <c r="U500" i="10"/>
  <c r="O501" i="10"/>
  <c r="P501" i="10" s="1"/>
  <c r="R501" i="10"/>
  <c r="T501" i="10"/>
  <c r="U501" i="10"/>
  <c r="O502" i="10"/>
  <c r="P502" i="10" s="1"/>
  <c r="R502" i="10"/>
  <c r="T502" i="10"/>
  <c r="U502" i="10"/>
  <c r="O503" i="10"/>
  <c r="P503" i="10" s="1"/>
  <c r="R503" i="10"/>
  <c r="T503" i="10"/>
  <c r="U503" i="10"/>
  <c r="O504" i="10"/>
  <c r="P504" i="10" s="1"/>
  <c r="R504" i="10"/>
  <c r="T504" i="10"/>
  <c r="U504" i="10"/>
  <c r="O505" i="10"/>
  <c r="P505" i="10" s="1"/>
  <c r="R505" i="10"/>
  <c r="T505" i="10"/>
  <c r="U505" i="10"/>
  <c r="O506" i="10"/>
  <c r="P506" i="10" s="1"/>
  <c r="R506" i="10"/>
  <c r="T506" i="10"/>
  <c r="U506" i="10"/>
  <c r="O507" i="10"/>
  <c r="P507" i="10" s="1"/>
  <c r="R507" i="10"/>
  <c r="T507" i="10"/>
  <c r="U507" i="10"/>
  <c r="O508" i="10"/>
  <c r="P508" i="10" s="1"/>
  <c r="R508" i="10"/>
  <c r="T508" i="10"/>
  <c r="U508" i="10"/>
  <c r="O509" i="10"/>
  <c r="P509" i="10" s="1"/>
  <c r="R509" i="10"/>
  <c r="T509" i="10"/>
  <c r="U509" i="10"/>
  <c r="O510" i="10"/>
  <c r="P510" i="10" s="1"/>
  <c r="R510" i="10"/>
  <c r="T510" i="10"/>
  <c r="U510" i="10"/>
  <c r="O511" i="10"/>
  <c r="P511" i="10" s="1"/>
  <c r="R511" i="10"/>
  <c r="T511" i="10"/>
  <c r="U511" i="10"/>
  <c r="O512" i="10"/>
  <c r="P512" i="10" s="1"/>
  <c r="R512" i="10"/>
  <c r="T512" i="10"/>
  <c r="U512" i="10"/>
  <c r="O513" i="10"/>
  <c r="P513" i="10" s="1"/>
  <c r="R513" i="10"/>
  <c r="T513" i="10"/>
  <c r="U513" i="10"/>
  <c r="O514" i="10"/>
  <c r="P514" i="10" s="1"/>
  <c r="R514" i="10"/>
  <c r="T514" i="10"/>
  <c r="U514" i="10"/>
  <c r="O515" i="10"/>
  <c r="P515" i="10" s="1"/>
  <c r="R515" i="10"/>
  <c r="T515" i="10"/>
  <c r="U515" i="10"/>
  <c r="O516" i="10"/>
  <c r="P516" i="10" s="1"/>
  <c r="R516" i="10"/>
  <c r="T516" i="10"/>
  <c r="U516" i="10"/>
  <c r="O517" i="10"/>
  <c r="P517" i="10" s="1"/>
  <c r="R517" i="10"/>
  <c r="T517" i="10"/>
  <c r="U517" i="10"/>
  <c r="O518" i="10"/>
  <c r="P518" i="10" s="1"/>
  <c r="R518" i="10"/>
  <c r="T518" i="10"/>
  <c r="U518" i="10"/>
  <c r="O519" i="10"/>
  <c r="P519" i="10" s="1"/>
  <c r="R519" i="10"/>
  <c r="T519" i="10"/>
  <c r="U519" i="10"/>
  <c r="O520" i="10"/>
  <c r="P520" i="10" s="1"/>
  <c r="R520" i="10"/>
  <c r="T520" i="10"/>
  <c r="U520" i="10"/>
  <c r="O521" i="10"/>
  <c r="P521" i="10"/>
  <c r="R521" i="10"/>
  <c r="T521" i="10"/>
  <c r="U521" i="10"/>
  <c r="O522" i="10"/>
  <c r="P522" i="10" s="1"/>
  <c r="R522" i="10"/>
  <c r="T522" i="10"/>
  <c r="U522" i="10"/>
  <c r="O523" i="10"/>
  <c r="P523" i="10" s="1"/>
  <c r="R523" i="10"/>
  <c r="T523" i="10"/>
  <c r="U523" i="10"/>
  <c r="O524" i="10"/>
  <c r="P524" i="10" s="1"/>
  <c r="R524" i="10"/>
  <c r="T524" i="10"/>
  <c r="U524" i="10"/>
  <c r="O525" i="10"/>
  <c r="P525" i="10" s="1"/>
  <c r="R525" i="10"/>
  <c r="T525" i="10"/>
  <c r="U525" i="10"/>
  <c r="O526" i="10"/>
  <c r="P526" i="10" s="1"/>
  <c r="R526" i="10"/>
  <c r="T526" i="10"/>
  <c r="U526" i="10"/>
  <c r="O527" i="10"/>
  <c r="P527" i="10" s="1"/>
  <c r="R527" i="10"/>
  <c r="T527" i="10"/>
  <c r="U527" i="10"/>
  <c r="O528" i="10"/>
  <c r="P528" i="10" s="1"/>
  <c r="R528" i="10"/>
  <c r="T528" i="10"/>
  <c r="U528" i="10"/>
  <c r="O529" i="10"/>
  <c r="P529" i="10" s="1"/>
  <c r="R529" i="10"/>
  <c r="T529" i="10"/>
  <c r="U529" i="10"/>
  <c r="O530" i="10"/>
  <c r="P530" i="10" s="1"/>
  <c r="R530" i="10"/>
  <c r="T530" i="10"/>
  <c r="U530" i="10"/>
  <c r="O531" i="10"/>
  <c r="P531" i="10" s="1"/>
  <c r="R531" i="10"/>
  <c r="T531" i="10"/>
  <c r="U531" i="10"/>
  <c r="O532" i="10"/>
  <c r="P532" i="10" s="1"/>
  <c r="R532" i="10"/>
  <c r="T532" i="10"/>
  <c r="U532" i="10"/>
  <c r="O533" i="10"/>
  <c r="P533" i="10" s="1"/>
  <c r="R533" i="10"/>
  <c r="T533" i="10"/>
  <c r="U533" i="10"/>
  <c r="O534" i="10"/>
  <c r="P534" i="10" s="1"/>
  <c r="R534" i="10"/>
  <c r="T534" i="10"/>
  <c r="U534" i="10"/>
  <c r="O535" i="10"/>
  <c r="P535" i="10" s="1"/>
  <c r="R535" i="10"/>
  <c r="T535" i="10"/>
  <c r="U535" i="10"/>
  <c r="O536" i="10"/>
  <c r="P536" i="10" s="1"/>
  <c r="R536" i="10"/>
  <c r="T536" i="10"/>
  <c r="U536" i="10"/>
  <c r="O537" i="10"/>
  <c r="P537" i="10"/>
  <c r="R537" i="10"/>
  <c r="T537" i="10"/>
  <c r="U537" i="10"/>
  <c r="O538" i="10"/>
  <c r="P538" i="10" s="1"/>
  <c r="R538" i="10"/>
  <c r="T538" i="10"/>
  <c r="U538" i="10"/>
  <c r="O539" i="10"/>
  <c r="P539" i="10" s="1"/>
  <c r="R539" i="10"/>
  <c r="T539" i="10"/>
  <c r="U539" i="10"/>
  <c r="O540" i="10"/>
  <c r="P540" i="10" s="1"/>
  <c r="R540" i="10"/>
  <c r="T540" i="10"/>
  <c r="U540" i="10"/>
  <c r="O541" i="10"/>
  <c r="P541" i="10" s="1"/>
  <c r="R541" i="10"/>
  <c r="T541" i="10"/>
  <c r="U541" i="10"/>
  <c r="O542" i="10"/>
  <c r="P542" i="10" s="1"/>
  <c r="R542" i="10"/>
  <c r="T542" i="10"/>
  <c r="U542" i="10"/>
  <c r="O543" i="10"/>
  <c r="P543" i="10" s="1"/>
  <c r="R543" i="10"/>
  <c r="T543" i="10"/>
  <c r="U543" i="10"/>
  <c r="O544" i="10"/>
  <c r="P544" i="10" s="1"/>
  <c r="R544" i="10"/>
  <c r="T544" i="10"/>
  <c r="U544" i="10"/>
  <c r="O545" i="10"/>
  <c r="P545" i="10" s="1"/>
  <c r="R545" i="10"/>
  <c r="T545" i="10"/>
  <c r="U545" i="10"/>
  <c r="O546" i="10"/>
  <c r="P546" i="10" s="1"/>
  <c r="R546" i="10"/>
  <c r="T546" i="10"/>
  <c r="U546" i="10"/>
  <c r="O547" i="10"/>
  <c r="P547" i="10" s="1"/>
  <c r="R547" i="10"/>
  <c r="T547" i="10"/>
  <c r="U547" i="10"/>
  <c r="O548" i="10"/>
  <c r="P548" i="10" s="1"/>
  <c r="R548" i="10"/>
  <c r="T548" i="10"/>
  <c r="U548" i="10"/>
  <c r="O549" i="10"/>
  <c r="P549" i="10" s="1"/>
  <c r="R549" i="10"/>
  <c r="T549" i="10"/>
  <c r="U549" i="10"/>
  <c r="O550" i="10"/>
  <c r="P550" i="10" s="1"/>
  <c r="R550" i="10"/>
  <c r="T550" i="10"/>
  <c r="U550" i="10"/>
  <c r="O551" i="10"/>
  <c r="P551" i="10" s="1"/>
  <c r="R551" i="10"/>
  <c r="T551" i="10"/>
  <c r="U551" i="10"/>
  <c r="O552" i="10"/>
  <c r="P552" i="10" s="1"/>
  <c r="R552" i="10"/>
  <c r="T552" i="10"/>
  <c r="U552" i="10"/>
  <c r="O553" i="10"/>
  <c r="P553" i="10"/>
  <c r="R553" i="10"/>
  <c r="T553" i="10"/>
  <c r="U553" i="10"/>
  <c r="O554" i="10"/>
  <c r="P554" i="10" s="1"/>
  <c r="R554" i="10"/>
  <c r="T554" i="10"/>
  <c r="U554" i="10"/>
  <c r="O555" i="10"/>
  <c r="P555" i="10" s="1"/>
  <c r="R555" i="10"/>
  <c r="T555" i="10"/>
  <c r="U555" i="10"/>
  <c r="O556" i="10"/>
  <c r="P556" i="10" s="1"/>
  <c r="R556" i="10"/>
  <c r="T556" i="10"/>
  <c r="U556" i="10"/>
  <c r="O557" i="10"/>
  <c r="P557" i="10" s="1"/>
  <c r="R557" i="10"/>
  <c r="T557" i="10"/>
  <c r="U557" i="10"/>
  <c r="O558" i="10"/>
  <c r="P558" i="10" s="1"/>
  <c r="R558" i="10"/>
  <c r="T558" i="10"/>
  <c r="U558" i="10"/>
  <c r="O559" i="10"/>
  <c r="P559" i="10" s="1"/>
  <c r="R559" i="10"/>
  <c r="T559" i="10"/>
  <c r="U559" i="10"/>
  <c r="O560" i="10"/>
  <c r="P560" i="10" s="1"/>
  <c r="R560" i="10"/>
  <c r="T560" i="10"/>
  <c r="U560" i="10"/>
  <c r="O561" i="10"/>
  <c r="P561" i="10" s="1"/>
  <c r="R561" i="10"/>
  <c r="T561" i="10"/>
  <c r="U561" i="10"/>
  <c r="O562" i="10"/>
  <c r="P562" i="10" s="1"/>
  <c r="R562" i="10"/>
  <c r="T562" i="10"/>
  <c r="U562" i="10"/>
  <c r="O563" i="10"/>
  <c r="P563" i="10" s="1"/>
  <c r="R563" i="10"/>
  <c r="T563" i="10"/>
  <c r="U563" i="10"/>
  <c r="O564" i="10"/>
  <c r="P564" i="10" s="1"/>
  <c r="R564" i="10"/>
  <c r="T564" i="10"/>
  <c r="U564" i="10"/>
  <c r="O565" i="10"/>
  <c r="P565" i="10" s="1"/>
  <c r="R565" i="10"/>
  <c r="T565" i="10"/>
  <c r="U565" i="10"/>
  <c r="O566" i="10"/>
  <c r="P566" i="10" s="1"/>
  <c r="R566" i="10"/>
  <c r="T566" i="10"/>
  <c r="U566" i="10"/>
  <c r="O567" i="10"/>
  <c r="P567" i="10" s="1"/>
  <c r="R567" i="10"/>
  <c r="T567" i="10"/>
  <c r="U567" i="10"/>
  <c r="O568" i="10"/>
  <c r="P568" i="10" s="1"/>
  <c r="R568" i="10"/>
  <c r="T568" i="10"/>
  <c r="U568" i="10"/>
  <c r="O569" i="10"/>
  <c r="P569" i="10" s="1"/>
  <c r="R569" i="10"/>
  <c r="T569" i="10"/>
  <c r="U569" i="10"/>
  <c r="O570" i="10"/>
  <c r="P570" i="10" s="1"/>
  <c r="R570" i="10"/>
  <c r="T570" i="10"/>
  <c r="U570" i="10"/>
  <c r="O571" i="10"/>
  <c r="P571" i="10" s="1"/>
  <c r="R571" i="10"/>
  <c r="T571" i="10"/>
  <c r="U571" i="10"/>
  <c r="O572" i="10"/>
  <c r="P572" i="10" s="1"/>
  <c r="R572" i="10"/>
  <c r="T572" i="10"/>
  <c r="U572" i="10"/>
  <c r="O573" i="10"/>
  <c r="P573" i="10" s="1"/>
  <c r="R573" i="10"/>
  <c r="T573" i="10"/>
  <c r="U573" i="10"/>
  <c r="O574" i="10"/>
  <c r="P574" i="10" s="1"/>
  <c r="R574" i="10"/>
  <c r="T574" i="10"/>
  <c r="U574" i="10"/>
  <c r="O575" i="10"/>
  <c r="P575" i="10" s="1"/>
  <c r="R575" i="10"/>
  <c r="T575" i="10"/>
  <c r="U575" i="10"/>
  <c r="O576" i="10"/>
  <c r="P576" i="10" s="1"/>
  <c r="R576" i="10"/>
  <c r="T576" i="10"/>
  <c r="U576" i="10"/>
  <c r="O577" i="10"/>
  <c r="P577" i="10" s="1"/>
  <c r="R577" i="10"/>
  <c r="T577" i="10"/>
  <c r="U577" i="10"/>
  <c r="O578" i="10"/>
  <c r="P578" i="10" s="1"/>
  <c r="R578" i="10"/>
  <c r="T578" i="10"/>
  <c r="U578" i="10"/>
  <c r="O579" i="10"/>
  <c r="P579" i="10" s="1"/>
  <c r="R579" i="10"/>
  <c r="T579" i="10"/>
  <c r="U579" i="10"/>
  <c r="O580" i="10"/>
  <c r="P580" i="10" s="1"/>
  <c r="R580" i="10"/>
  <c r="T580" i="10"/>
  <c r="U580" i="10"/>
  <c r="O581" i="10"/>
  <c r="P581" i="10" s="1"/>
  <c r="R581" i="10"/>
  <c r="T581" i="10"/>
  <c r="U581" i="10"/>
  <c r="O582" i="10"/>
  <c r="P582" i="10" s="1"/>
  <c r="R582" i="10"/>
  <c r="T582" i="10"/>
  <c r="U582" i="10"/>
  <c r="O583" i="10"/>
  <c r="P583" i="10" s="1"/>
  <c r="R583" i="10"/>
  <c r="T583" i="10"/>
  <c r="U583" i="10"/>
  <c r="O584" i="10"/>
  <c r="P584" i="10" s="1"/>
  <c r="R584" i="10"/>
  <c r="T584" i="10"/>
  <c r="U584" i="10"/>
  <c r="O585" i="10"/>
  <c r="P585" i="10" s="1"/>
  <c r="R585" i="10"/>
  <c r="T585" i="10"/>
  <c r="U585" i="10"/>
  <c r="O586" i="10"/>
  <c r="P586" i="10" s="1"/>
  <c r="R586" i="10"/>
  <c r="T586" i="10"/>
  <c r="U586" i="10"/>
  <c r="O587" i="10"/>
  <c r="P587" i="10" s="1"/>
  <c r="R587" i="10"/>
  <c r="T587" i="10"/>
  <c r="U587" i="10"/>
  <c r="O588" i="10"/>
  <c r="P588" i="10" s="1"/>
  <c r="R588" i="10"/>
  <c r="T588" i="10"/>
  <c r="U588" i="10"/>
  <c r="O589" i="10"/>
  <c r="P589" i="10" s="1"/>
  <c r="R589" i="10"/>
  <c r="T589" i="10"/>
  <c r="U589" i="10"/>
  <c r="O590" i="10"/>
  <c r="P590" i="10" s="1"/>
  <c r="R590" i="10"/>
  <c r="T590" i="10"/>
  <c r="U590" i="10"/>
  <c r="O591" i="10"/>
  <c r="P591" i="10" s="1"/>
  <c r="R591" i="10"/>
  <c r="T591" i="10"/>
  <c r="U591" i="10"/>
  <c r="O592" i="10"/>
  <c r="P592" i="10" s="1"/>
  <c r="R592" i="10"/>
  <c r="T592" i="10"/>
  <c r="U592" i="10"/>
  <c r="O593" i="10"/>
  <c r="P593" i="10" s="1"/>
  <c r="R593" i="10"/>
  <c r="T593" i="10"/>
  <c r="U593" i="10"/>
  <c r="O594" i="10"/>
  <c r="P594" i="10" s="1"/>
  <c r="R594" i="10"/>
  <c r="T594" i="10"/>
  <c r="U594" i="10"/>
  <c r="O595" i="10"/>
  <c r="P595" i="10" s="1"/>
  <c r="R595" i="10"/>
  <c r="T595" i="10"/>
  <c r="U595" i="10"/>
  <c r="O596" i="10"/>
  <c r="P596" i="10" s="1"/>
  <c r="R596" i="10"/>
  <c r="T596" i="10"/>
  <c r="U596" i="10"/>
  <c r="O597" i="10"/>
  <c r="P597" i="10" s="1"/>
  <c r="R597" i="10"/>
  <c r="T597" i="10"/>
  <c r="U597" i="10"/>
  <c r="O598" i="10"/>
  <c r="P598" i="10" s="1"/>
  <c r="R598" i="10"/>
  <c r="T598" i="10"/>
  <c r="U598" i="10"/>
  <c r="O599" i="10"/>
  <c r="P599" i="10" s="1"/>
  <c r="R599" i="10"/>
  <c r="T599" i="10"/>
  <c r="U599" i="10"/>
  <c r="O600" i="10"/>
  <c r="P600" i="10" s="1"/>
  <c r="R600" i="10"/>
  <c r="T600" i="10"/>
  <c r="U600" i="10"/>
  <c r="O601" i="10"/>
  <c r="P601" i="10"/>
  <c r="R601" i="10"/>
  <c r="T601" i="10"/>
  <c r="U601" i="10"/>
  <c r="O602" i="10"/>
  <c r="P602" i="10" s="1"/>
  <c r="R602" i="10"/>
  <c r="T602" i="10"/>
  <c r="U602" i="10"/>
  <c r="O603" i="10"/>
  <c r="P603" i="10" s="1"/>
  <c r="R603" i="10"/>
  <c r="T603" i="10"/>
  <c r="U603" i="10"/>
  <c r="O604" i="10"/>
  <c r="P604" i="10" s="1"/>
  <c r="R604" i="10"/>
  <c r="T604" i="10"/>
  <c r="U604" i="10"/>
  <c r="O605" i="10"/>
  <c r="P605" i="10" s="1"/>
  <c r="R605" i="10"/>
  <c r="T605" i="10"/>
  <c r="U605" i="10"/>
  <c r="O606" i="10"/>
  <c r="P606" i="10" s="1"/>
  <c r="R606" i="10"/>
  <c r="T606" i="10"/>
  <c r="U606" i="10"/>
  <c r="O607" i="10"/>
  <c r="P607" i="10" s="1"/>
  <c r="R607" i="10"/>
  <c r="T607" i="10"/>
  <c r="U607" i="10"/>
  <c r="O608" i="10"/>
  <c r="P608" i="10" s="1"/>
  <c r="R608" i="10"/>
  <c r="T608" i="10"/>
  <c r="U608" i="10"/>
  <c r="O609" i="10"/>
  <c r="P609" i="10" s="1"/>
  <c r="R609" i="10"/>
  <c r="T609" i="10"/>
  <c r="U609" i="10"/>
  <c r="O610" i="10"/>
  <c r="P610" i="10" s="1"/>
  <c r="R610" i="10"/>
  <c r="T610" i="10"/>
  <c r="U610" i="10"/>
  <c r="O611" i="10"/>
  <c r="P611" i="10" s="1"/>
  <c r="R611" i="10"/>
  <c r="T611" i="10"/>
  <c r="U611" i="10"/>
  <c r="O612" i="10"/>
  <c r="P612" i="10" s="1"/>
  <c r="R612" i="10"/>
  <c r="T612" i="10"/>
  <c r="U612" i="10"/>
  <c r="O613" i="10"/>
  <c r="P613" i="10" s="1"/>
  <c r="R613" i="10"/>
  <c r="T613" i="10"/>
  <c r="U613" i="10"/>
  <c r="O614" i="10"/>
  <c r="P614" i="10" s="1"/>
  <c r="R614" i="10"/>
  <c r="T614" i="10"/>
  <c r="U614" i="10"/>
  <c r="O615" i="10"/>
  <c r="P615" i="10" s="1"/>
  <c r="R615" i="10"/>
  <c r="T615" i="10"/>
  <c r="U615" i="10"/>
  <c r="O616" i="10"/>
  <c r="P616" i="10" s="1"/>
  <c r="R616" i="10"/>
  <c r="T616" i="10"/>
  <c r="U616" i="10"/>
  <c r="O617" i="10"/>
  <c r="P617" i="10"/>
  <c r="R617" i="10"/>
  <c r="T617" i="10"/>
  <c r="U617" i="10"/>
  <c r="O618" i="10"/>
  <c r="P618" i="10" s="1"/>
  <c r="R618" i="10"/>
  <c r="T618" i="10"/>
  <c r="U618" i="10"/>
  <c r="O619" i="10"/>
  <c r="P619" i="10" s="1"/>
  <c r="R619" i="10"/>
  <c r="T619" i="10"/>
  <c r="U619" i="10"/>
  <c r="O620" i="10"/>
  <c r="P620" i="10" s="1"/>
  <c r="R620" i="10"/>
  <c r="T620" i="10"/>
  <c r="U620" i="10"/>
  <c r="O621" i="10"/>
  <c r="P621" i="10" s="1"/>
  <c r="R621" i="10"/>
  <c r="T621" i="10"/>
  <c r="U621" i="10"/>
  <c r="O622" i="10"/>
  <c r="P622" i="10" s="1"/>
  <c r="R622" i="10"/>
  <c r="T622" i="10"/>
  <c r="U622" i="10"/>
  <c r="O623" i="10"/>
  <c r="P623" i="10" s="1"/>
  <c r="R623" i="10"/>
  <c r="T623" i="10"/>
  <c r="U623" i="10"/>
  <c r="O624" i="10"/>
  <c r="P624" i="10" s="1"/>
  <c r="R624" i="10"/>
  <c r="T624" i="10"/>
  <c r="U624" i="10"/>
  <c r="O625" i="10"/>
  <c r="P625" i="10" s="1"/>
  <c r="R625" i="10"/>
  <c r="T625" i="10"/>
  <c r="U625" i="10"/>
  <c r="O626" i="10"/>
  <c r="P626" i="10" s="1"/>
  <c r="R626" i="10"/>
  <c r="T626" i="10"/>
  <c r="U626" i="10"/>
  <c r="O627" i="10"/>
  <c r="P627" i="10" s="1"/>
  <c r="R627" i="10"/>
  <c r="T627" i="10"/>
  <c r="U627" i="10"/>
  <c r="O628" i="10"/>
  <c r="P628" i="10" s="1"/>
  <c r="R628" i="10"/>
  <c r="T628" i="10"/>
  <c r="U628" i="10"/>
  <c r="O629" i="10"/>
  <c r="P629" i="10" s="1"/>
  <c r="R629" i="10"/>
  <c r="T629" i="10"/>
  <c r="U629" i="10"/>
  <c r="O630" i="10"/>
  <c r="P630" i="10" s="1"/>
  <c r="R630" i="10"/>
  <c r="T630" i="10"/>
  <c r="U630" i="10"/>
  <c r="O631" i="10"/>
  <c r="P631" i="10" s="1"/>
  <c r="R631" i="10"/>
  <c r="T631" i="10"/>
  <c r="U631" i="10"/>
  <c r="O632" i="10"/>
  <c r="P632" i="10" s="1"/>
  <c r="R632" i="10"/>
  <c r="T632" i="10"/>
  <c r="U632" i="10"/>
  <c r="O633" i="10"/>
  <c r="P633" i="10" s="1"/>
  <c r="R633" i="10"/>
  <c r="T633" i="10"/>
  <c r="U633" i="10"/>
  <c r="O634" i="10"/>
  <c r="P634" i="10" s="1"/>
  <c r="R634" i="10"/>
  <c r="T634" i="10"/>
  <c r="U634" i="10"/>
  <c r="O635" i="10"/>
  <c r="P635" i="10" s="1"/>
  <c r="R635" i="10"/>
  <c r="T635" i="10"/>
  <c r="U635" i="10"/>
  <c r="O636" i="10"/>
  <c r="P636" i="10" s="1"/>
  <c r="R636" i="10"/>
  <c r="T636" i="10"/>
  <c r="U636" i="10"/>
  <c r="O637" i="10"/>
  <c r="P637" i="10" s="1"/>
  <c r="R637" i="10"/>
  <c r="T637" i="10"/>
  <c r="U637" i="10"/>
  <c r="O638" i="10"/>
  <c r="P638" i="10" s="1"/>
  <c r="R638" i="10"/>
  <c r="T638" i="10"/>
  <c r="U638" i="10"/>
  <c r="O639" i="10"/>
  <c r="P639" i="10" s="1"/>
  <c r="R639" i="10"/>
  <c r="T639" i="10"/>
  <c r="U639" i="10"/>
  <c r="O640" i="10"/>
  <c r="P640" i="10" s="1"/>
  <c r="R640" i="10"/>
  <c r="T640" i="10"/>
  <c r="U640" i="10"/>
  <c r="O641" i="10"/>
  <c r="P641" i="10" s="1"/>
  <c r="R641" i="10"/>
  <c r="T641" i="10"/>
  <c r="U641" i="10"/>
  <c r="O642" i="10"/>
  <c r="P642" i="10" s="1"/>
  <c r="R642" i="10"/>
  <c r="T642" i="10"/>
  <c r="U642" i="10"/>
  <c r="O643" i="10"/>
  <c r="P643" i="10" s="1"/>
  <c r="R643" i="10"/>
  <c r="T643" i="10"/>
  <c r="U643" i="10"/>
  <c r="O644" i="10"/>
  <c r="P644" i="10" s="1"/>
  <c r="R644" i="10"/>
  <c r="T644" i="10"/>
  <c r="U644" i="10"/>
  <c r="O645" i="10"/>
  <c r="P645" i="10" s="1"/>
  <c r="R645" i="10"/>
  <c r="T645" i="10"/>
  <c r="U645" i="10"/>
  <c r="O646" i="10"/>
  <c r="P646" i="10" s="1"/>
  <c r="R646" i="10"/>
  <c r="T646" i="10"/>
  <c r="U646" i="10"/>
  <c r="O647" i="10"/>
  <c r="P647" i="10" s="1"/>
  <c r="R647" i="10"/>
  <c r="T647" i="10"/>
  <c r="U647" i="10"/>
  <c r="O648" i="10"/>
  <c r="P648" i="10" s="1"/>
  <c r="R648" i="10"/>
  <c r="T648" i="10"/>
  <c r="U648" i="10"/>
  <c r="O649" i="10"/>
  <c r="P649" i="10" s="1"/>
  <c r="R649" i="10"/>
  <c r="T649" i="10"/>
  <c r="U649" i="10"/>
  <c r="O650" i="10"/>
  <c r="P650" i="10" s="1"/>
  <c r="R650" i="10"/>
  <c r="T650" i="10"/>
  <c r="U650" i="10"/>
  <c r="O651" i="10"/>
  <c r="P651" i="10" s="1"/>
  <c r="R651" i="10"/>
  <c r="T651" i="10"/>
  <c r="U651" i="10"/>
  <c r="O652" i="10"/>
  <c r="P652" i="10" s="1"/>
  <c r="R652" i="10"/>
  <c r="T652" i="10"/>
  <c r="U652" i="10"/>
  <c r="O653" i="10"/>
  <c r="P653" i="10" s="1"/>
  <c r="R653" i="10"/>
  <c r="T653" i="10"/>
  <c r="U653" i="10"/>
  <c r="O654" i="10"/>
  <c r="P654" i="10" s="1"/>
  <c r="R654" i="10"/>
  <c r="T654" i="10"/>
  <c r="U654" i="10"/>
  <c r="O655" i="10"/>
  <c r="P655" i="10" s="1"/>
  <c r="R655" i="10"/>
  <c r="T655" i="10"/>
  <c r="U655" i="10"/>
  <c r="O656" i="10"/>
  <c r="P656" i="10" s="1"/>
  <c r="R656" i="10"/>
  <c r="T656" i="10"/>
  <c r="U656" i="10"/>
  <c r="O657" i="10"/>
  <c r="P657" i="10" s="1"/>
  <c r="R657" i="10"/>
  <c r="T657" i="10"/>
  <c r="U657" i="10"/>
  <c r="O658" i="10"/>
  <c r="P658" i="10" s="1"/>
  <c r="R658" i="10"/>
  <c r="T658" i="10"/>
  <c r="U658" i="10"/>
  <c r="O659" i="10"/>
  <c r="P659" i="10" s="1"/>
  <c r="R659" i="10"/>
  <c r="T659" i="10"/>
  <c r="U659" i="10"/>
  <c r="O660" i="10"/>
  <c r="P660" i="10" s="1"/>
  <c r="R660" i="10"/>
  <c r="T660" i="10"/>
  <c r="U660" i="10"/>
  <c r="O661" i="10"/>
  <c r="P661" i="10" s="1"/>
  <c r="R661" i="10"/>
  <c r="T661" i="10"/>
  <c r="U661" i="10"/>
  <c r="O662" i="10"/>
  <c r="P662" i="10" s="1"/>
  <c r="R662" i="10"/>
  <c r="T662" i="10"/>
  <c r="U662" i="10"/>
  <c r="O663" i="10"/>
  <c r="P663" i="10" s="1"/>
  <c r="R663" i="10"/>
  <c r="T663" i="10"/>
  <c r="U663" i="10"/>
  <c r="O664" i="10"/>
  <c r="P664" i="10" s="1"/>
  <c r="R664" i="10"/>
  <c r="T664" i="10"/>
  <c r="U664" i="10"/>
  <c r="O665" i="10"/>
  <c r="P665" i="10" s="1"/>
  <c r="R665" i="10"/>
  <c r="T665" i="10"/>
  <c r="U665" i="10"/>
  <c r="O666" i="10"/>
  <c r="P666" i="10" s="1"/>
  <c r="R666" i="10"/>
  <c r="T666" i="10"/>
  <c r="U666" i="10"/>
  <c r="O667" i="10"/>
  <c r="P667" i="10" s="1"/>
  <c r="R667" i="10"/>
  <c r="T667" i="10"/>
  <c r="U667" i="10"/>
  <c r="O668" i="10"/>
  <c r="P668" i="10" s="1"/>
  <c r="R668" i="10"/>
  <c r="T668" i="10"/>
  <c r="U668" i="10"/>
  <c r="O669" i="10"/>
  <c r="P669" i="10" s="1"/>
  <c r="R669" i="10"/>
  <c r="T669" i="10"/>
  <c r="U669" i="10"/>
  <c r="O670" i="10"/>
  <c r="P670" i="10" s="1"/>
  <c r="R670" i="10"/>
  <c r="T670" i="10"/>
  <c r="U670" i="10"/>
  <c r="O671" i="10"/>
  <c r="P671" i="10" s="1"/>
  <c r="R671" i="10"/>
  <c r="T671" i="10"/>
  <c r="U671" i="10"/>
  <c r="O672" i="10"/>
  <c r="P672" i="10" s="1"/>
  <c r="R672" i="10"/>
  <c r="T672" i="10"/>
  <c r="U672" i="10"/>
  <c r="O673" i="10"/>
  <c r="P673" i="10" s="1"/>
  <c r="R673" i="10"/>
  <c r="T673" i="10"/>
  <c r="U673" i="10"/>
  <c r="O674" i="10"/>
  <c r="P674" i="10" s="1"/>
  <c r="R674" i="10"/>
  <c r="T674" i="10"/>
  <c r="U674" i="10"/>
  <c r="O675" i="10"/>
  <c r="P675" i="10" s="1"/>
  <c r="R675" i="10"/>
  <c r="T675" i="10"/>
  <c r="U675" i="10"/>
  <c r="O676" i="10"/>
  <c r="P676" i="10" s="1"/>
  <c r="R676" i="10"/>
  <c r="T676" i="10"/>
  <c r="U676" i="10"/>
  <c r="O677" i="10"/>
  <c r="P677" i="10" s="1"/>
  <c r="R677" i="10"/>
  <c r="T677" i="10"/>
  <c r="U677" i="10"/>
  <c r="O678" i="10"/>
  <c r="P678" i="10" s="1"/>
  <c r="R678" i="10"/>
  <c r="T678" i="10"/>
  <c r="U678" i="10"/>
  <c r="O679" i="10"/>
  <c r="P679" i="10" s="1"/>
  <c r="R679" i="10"/>
  <c r="T679" i="10"/>
  <c r="U679" i="10"/>
  <c r="O680" i="10"/>
  <c r="P680" i="10" s="1"/>
  <c r="R680" i="10"/>
  <c r="T680" i="10"/>
  <c r="U680" i="10"/>
  <c r="O681" i="10"/>
  <c r="P681" i="10" s="1"/>
  <c r="R681" i="10"/>
  <c r="T681" i="10"/>
  <c r="U681" i="10"/>
  <c r="O682" i="10"/>
  <c r="P682" i="10" s="1"/>
  <c r="R682" i="10"/>
  <c r="T682" i="10"/>
  <c r="U682" i="10"/>
  <c r="O683" i="10"/>
  <c r="P683" i="10" s="1"/>
  <c r="R683" i="10"/>
  <c r="T683" i="10"/>
  <c r="U683" i="10"/>
  <c r="O684" i="10"/>
  <c r="P684" i="10" s="1"/>
  <c r="R684" i="10"/>
  <c r="T684" i="10"/>
  <c r="U684" i="10"/>
  <c r="O685" i="10"/>
  <c r="P685" i="10" s="1"/>
  <c r="R685" i="10"/>
  <c r="T685" i="10"/>
  <c r="U685" i="10"/>
  <c r="O686" i="10"/>
  <c r="P686" i="10" s="1"/>
  <c r="R686" i="10"/>
  <c r="T686" i="10"/>
  <c r="U686" i="10"/>
  <c r="O687" i="10"/>
  <c r="P687" i="10" s="1"/>
  <c r="R687" i="10"/>
  <c r="T687" i="10"/>
  <c r="U687" i="10"/>
  <c r="O688" i="10"/>
  <c r="P688" i="10" s="1"/>
  <c r="R688" i="10"/>
  <c r="T688" i="10"/>
  <c r="U688" i="10"/>
  <c r="O689" i="10"/>
  <c r="P689" i="10" s="1"/>
  <c r="R689" i="10"/>
  <c r="T689" i="10"/>
  <c r="U689" i="10"/>
  <c r="O690" i="10"/>
  <c r="P690" i="10" s="1"/>
  <c r="R690" i="10"/>
  <c r="T690" i="10"/>
  <c r="U690" i="10"/>
  <c r="O691" i="10"/>
  <c r="P691" i="10" s="1"/>
  <c r="R691" i="10"/>
  <c r="T691" i="10"/>
  <c r="U691" i="10"/>
  <c r="O692" i="10"/>
  <c r="P692" i="10" s="1"/>
  <c r="R692" i="10"/>
  <c r="T692" i="10"/>
  <c r="U692" i="10"/>
  <c r="O693" i="10"/>
  <c r="P693" i="10" s="1"/>
  <c r="R693" i="10"/>
  <c r="T693" i="10"/>
  <c r="U693" i="10"/>
  <c r="O694" i="10"/>
  <c r="P694" i="10" s="1"/>
  <c r="R694" i="10"/>
  <c r="T694" i="10"/>
  <c r="U694" i="10"/>
  <c r="O695" i="10"/>
  <c r="P695" i="10" s="1"/>
  <c r="R695" i="10"/>
  <c r="T695" i="10"/>
  <c r="U695" i="10"/>
  <c r="O696" i="10"/>
  <c r="P696" i="10" s="1"/>
  <c r="R696" i="10"/>
  <c r="T696" i="10"/>
  <c r="U696" i="10"/>
  <c r="O697" i="10"/>
  <c r="P697" i="10"/>
  <c r="R697" i="10"/>
  <c r="T697" i="10"/>
  <c r="U697" i="10"/>
  <c r="O698" i="10"/>
  <c r="P698" i="10" s="1"/>
  <c r="R698" i="10"/>
  <c r="T698" i="10"/>
  <c r="U698" i="10"/>
  <c r="O699" i="10"/>
  <c r="P699" i="10" s="1"/>
  <c r="R699" i="10"/>
  <c r="T699" i="10"/>
  <c r="U699" i="10"/>
  <c r="O700" i="10"/>
  <c r="P700" i="10" s="1"/>
  <c r="R700" i="10"/>
  <c r="T700" i="10"/>
  <c r="U700" i="10"/>
  <c r="O701" i="10"/>
  <c r="P701" i="10" s="1"/>
  <c r="R701" i="10"/>
  <c r="T701" i="10"/>
  <c r="U701" i="10"/>
  <c r="O702" i="10"/>
  <c r="P702" i="10" s="1"/>
  <c r="R702" i="10"/>
  <c r="T702" i="10"/>
  <c r="U702" i="10"/>
  <c r="O703" i="10"/>
  <c r="P703" i="10" s="1"/>
  <c r="R703" i="10"/>
  <c r="T703" i="10"/>
  <c r="U703" i="10"/>
  <c r="O704" i="10"/>
  <c r="P704" i="10" s="1"/>
  <c r="R704" i="10"/>
  <c r="T704" i="10"/>
  <c r="U704" i="10"/>
  <c r="O705" i="10"/>
  <c r="P705" i="10" s="1"/>
  <c r="R705" i="10"/>
  <c r="T705" i="10"/>
  <c r="U705" i="10"/>
  <c r="O706" i="10"/>
  <c r="P706" i="10" s="1"/>
  <c r="R706" i="10"/>
  <c r="T706" i="10"/>
  <c r="U706" i="10"/>
  <c r="O707" i="10"/>
  <c r="P707" i="10" s="1"/>
  <c r="R707" i="10"/>
  <c r="T707" i="10"/>
  <c r="U707" i="10"/>
  <c r="O708" i="10"/>
  <c r="P708" i="10" s="1"/>
  <c r="R708" i="10"/>
  <c r="T708" i="10"/>
  <c r="U708" i="10"/>
  <c r="O709" i="10"/>
  <c r="P709" i="10" s="1"/>
  <c r="R709" i="10"/>
  <c r="T709" i="10"/>
  <c r="U709" i="10"/>
  <c r="O710" i="10"/>
  <c r="P710" i="10" s="1"/>
  <c r="R710" i="10"/>
  <c r="T710" i="10"/>
  <c r="U710" i="10"/>
  <c r="O711" i="10"/>
  <c r="P711" i="10" s="1"/>
  <c r="R711" i="10"/>
  <c r="T711" i="10"/>
  <c r="U711" i="10"/>
  <c r="O712" i="10"/>
  <c r="P712" i="10" s="1"/>
  <c r="R712" i="10"/>
  <c r="T712" i="10"/>
  <c r="U712" i="10"/>
  <c r="O713" i="10"/>
  <c r="P713" i="10" s="1"/>
  <c r="R713" i="10"/>
  <c r="T713" i="10"/>
  <c r="U713" i="10"/>
  <c r="O714" i="10"/>
  <c r="P714" i="10" s="1"/>
  <c r="R714" i="10"/>
  <c r="T714" i="10"/>
  <c r="U714" i="10"/>
  <c r="O715" i="10"/>
  <c r="P715" i="10" s="1"/>
  <c r="R715" i="10"/>
  <c r="T715" i="10"/>
  <c r="U715" i="10"/>
  <c r="O716" i="10"/>
  <c r="P716" i="10" s="1"/>
  <c r="R716" i="10"/>
  <c r="T716" i="10"/>
  <c r="U716" i="10"/>
  <c r="O717" i="10"/>
  <c r="P717" i="10"/>
  <c r="R717" i="10"/>
  <c r="T717" i="10"/>
  <c r="U717" i="10"/>
  <c r="O718" i="10"/>
  <c r="P718" i="10" s="1"/>
  <c r="R718" i="10"/>
  <c r="T718" i="10"/>
  <c r="U718" i="10"/>
  <c r="O719" i="10"/>
  <c r="P719" i="10" s="1"/>
  <c r="R719" i="10"/>
  <c r="T719" i="10"/>
  <c r="U719" i="10"/>
  <c r="O720" i="10"/>
  <c r="P720" i="10" s="1"/>
  <c r="R720" i="10"/>
  <c r="T720" i="10"/>
  <c r="U720" i="10"/>
  <c r="O721" i="10"/>
  <c r="P721" i="10" s="1"/>
  <c r="R721" i="10"/>
  <c r="T721" i="10"/>
  <c r="U721" i="10"/>
  <c r="O722" i="10"/>
  <c r="P722" i="10" s="1"/>
  <c r="R722" i="10"/>
  <c r="T722" i="10"/>
  <c r="U722" i="10"/>
  <c r="O723" i="10"/>
  <c r="P723" i="10" s="1"/>
  <c r="R723" i="10"/>
  <c r="T723" i="10"/>
  <c r="U723" i="10"/>
  <c r="O724" i="10"/>
  <c r="P724" i="10" s="1"/>
  <c r="R724" i="10"/>
  <c r="T724" i="10"/>
  <c r="U724" i="10"/>
  <c r="O725" i="10"/>
  <c r="P725" i="10" s="1"/>
  <c r="R725" i="10"/>
  <c r="T725" i="10"/>
  <c r="U725" i="10"/>
  <c r="O726" i="10"/>
  <c r="P726" i="10" s="1"/>
  <c r="R726" i="10"/>
  <c r="T726" i="10"/>
  <c r="U726" i="10"/>
  <c r="O727" i="10"/>
  <c r="P727" i="10" s="1"/>
  <c r="R727" i="10"/>
  <c r="T727" i="10"/>
  <c r="U727" i="10"/>
  <c r="O728" i="10"/>
  <c r="P728" i="10" s="1"/>
  <c r="R728" i="10"/>
  <c r="T728" i="10"/>
  <c r="U728" i="10"/>
  <c r="O729" i="10"/>
  <c r="P729" i="10" s="1"/>
  <c r="R729" i="10"/>
  <c r="T729" i="10"/>
  <c r="U729" i="10"/>
  <c r="O730" i="10"/>
  <c r="P730" i="10" s="1"/>
  <c r="R730" i="10"/>
  <c r="T730" i="10"/>
  <c r="U730" i="10"/>
  <c r="O731" i="10"/>
  <c r="P731" i="10" s="1"/>
  <c r="R731" i="10"/>
  <c r="T731" i="10"/>
  <c r="U731" i="10"/>
  <c r="O732" i="10"/>
  <c r="P732" i="10" s="1"/>
  <c r="R732" i="10"/>
  <c r="T732" i="10"/>
  <c r="U732" i="10"/>
  <c r="O733" i="10"/>
  <c r="P733" i="10" s="1"/>
  <c r="R733" i="10"/>
  <c r="T733" i="10"/>
  <c r="U733" i="10"/>
  <c r="O734" i="10"/>
  <c r="P734" i="10" s="1"/>
  <c r="R734" i="10"/>
  <c r="T734" i="10"/>
  <c r="U734" i="10"/>
  <c r="O735" i="10"/>
  <c r="P735" i="10" s="1"/>
  <c r="R735" i="10"/>
  <c r="T735" i="10"/>
  <c r="U735" i="10"/>
  <c r="O736" i="10"/>
  <c r="P736" i="10" s="1"/>
  <c r="R736" i="10"/>
  <c r="T736" i="10"/>
  <c r="U736" i="10"/>
  <c r="O737" i="10"/>
  <c r="P737" i="10" s="1"/>
  <c r="R737" i="10"/>
  <c r="T737" i="10"/>
  <c r="U737" i="10"/>
  <c r="O738" i="10"/>
  <c r="P738" i="10" s="1"/>
  <c r="R738" i="10"/>
  <c r="T738" i="10"/>
  <c r="U738" i="10"/>
  <c r="O739" i="10"/>
  <c r="P739" i="10" s="1"/>
  <c r="R739" i="10"/>
  <c r="T739" i="10"/>
  <c r="U739" i="10"/>
  <c r="O740" i="10"/>
  <c r="P740" i="10" s="1"/>
  <c r="R740" i="10"/>
  <c r="T740" i="10"/>
  <c r="U740" i="10"/>
  <c r="O741" i="10"/>
  <c r="P741" i="10"/>
  <c r="R741" i="10"/>
  <c r="T741" i="10"/>
  <c r="U741" i="10"/>
  <c r="O742" i="10"/>
  <c r="P742" i="10" s="1"/>
  <c r="R742" i="10"/>
  <c r="T742" i="10"/>
  <c r="U742" i="10"/>
  <c r="O743" i="10"/>
  <c r="P743" i="10" s="1"/>
  <c r="R743" i="10"/>
  <c r="T743" i="10"/>
  <c r="U743" i="10"/>
  <c r="O744" i="10"/>
  <c r="P744" i="10" s="1"/>
  <c r="R744" i="10"/>
  <c r="T744" i="10"/>
  <c r="U744" i="10"/>
  <c r="O745" i="10"/>
  <c r="P745" i="10" s="1"/>
  <c r="R745" i="10"/>
  <c r="T745" i="10"/>
  <c r="U745" i="10"/>
  <c r="O746" i="10"/>
  <c r="P746" i="10" s="1"/>
  <c r="R746" i="10"/>
  <c r="T746" i="10"/>
  <c r="U746" i="10"/>
  <c r="O747" i="10"/>
  <c r="P747" i="10" s="1"/>
  <c r="R747" i="10"/>
  <c r="T747" i="10"/>
  <c r="U747" i="10"/>
  <c r="O748" i="10"/>
  <c r="P748" i="10" s="1"/>
  <c r="R748" i="10"/>
  <c r="T748" i="10"/>
  <c r="U748" i="10"/>
  <c r="O749" i="10"/>
  <c r="P749" i="10" s="1"/>
  <c r="R749" i="10"/>
  <c r="T749" i="10"/>
  <c r="U749" i="10"/>
  <c r="O750" i="10"/>
  <c r="P750" i="10" s="1"/>
  <c r="R750" i="10"/>
  <c r="T750" i="10"/>
  <c r="U750" i="10"/>
  <c r="O751" i="10"/>
  <c r="P751" i="10" s="1"/>
  <c r="R751" i="10"/>
  <c r="T751" i="10"/>
  <c r="U751" i="10"/>
  <c r="O752" i="10"/>
  <c r="P752" i="10" s="1"/>
  <c r="R752" i="10"/>
  <c r="T752" i="10"/>
  <c r="U752" i="10"/>
  <c r="O753" i="10"/>
  <c r="P753" i="10" s="1"/>
  <c r="R753" i="10"/>
  <c r="T753" i="10"/>
  <c r="U753" i="10"/>
  <c r="O754" i="10"/>
  <c r="P754" i="10" s="1"/>
  <c r="R754" i="10"/>
  <c r="T754" i="10"/>
  <c r="U754" i="10"/>
  <c r="O755" i="10"/>
  <c r="P755" i="10" s="1"/>
  <c r="R755" i="10"/>
  <c r="T755" i="10"/>
  <c r="U755" i="10"/>
  <c r="O756" i="10"/>
  <c r="P756" i="10" s="1"/>
  <c r="R756" i="10"/>
  <c r="T756" i="10"/>
  <c r="U756" i="10"/>
  <c r="O757" i="10"/>
  <c r="P757" i="10" s="1"/>
  <c r="R757" i="10"/>
  <c r="T757" i="10"/>
  <c r="U757" i="10"/>
  <c r="O758" i="10"/>
  <c r="P758" i="10" s="1"/>
  <c r="R758" i="10"/>
  <c r="T758" i="10"/>
  <c r="U758" i="10"/>
  <c r="O759" i="10"/>
  <c r="P759" i="10" s="1"/>
  <c r="R759" i="10"/>
  <c r="T759" i="10"/>
  <c r="U759" i="10"/>
  <c r="O760" i="10"/>
  <c r="P760" i="10" s="1"/>
  <c r="R760" i="10"/>
  <c r="T760" i="10"/>
  <c r="U760" i="10"/>
  <c r="O761" i="10"/>
  <c r="P761" i="10" s="1"/>
  <c r="R761" i="10"/>
  <c r="T761" i="10"/>
  <c r="U761" i="10"/>
  <c r="O762" i="10"/>
  <c r="P762" i="10" s="1"/>
  <c r="R762" i="10"/>
  <c r="T762" i="10"/>
  <c r="U762" i="10"/>
  <c r="O763" i="10"/>
  <c r="P763" i="10" s="1"/>
  <c r="R763" i="10"/>
  <c r="T763" i="10"/>
  <c r="U763" i="10"/>
  <c r="O764" i="10"/>
  <c r="P764" i="10" s="1"/>
  <c r="R764" i="10"/>
  <c r="T764" i="10"/>
  <c r="U764" i="10"/>
  <c r="O765" i="10"/>
  <c r="P765" i="10" s="1"/>
  <c r="R765" i="10"/>
  <c r="T765" i="10"/>
  <c r="U765" i="10"/>
  <c r="O766" i="10"/>
  <c r="P766" i="10" s="1"/>
  <c r="R766" i="10"/>
  <c r="T766" i="10"/>
  <c r="U766" i="10"/>
  <c r="O767" i="10"/>
  <c r="P767" i="10" s="1"/>
  <c r="R767" i="10"/>
  <c r="T767" i="10"/>
  <c r="U767" i="10"/>
  <c r="O768" i="10"/>
  <c r="P768" i="10" s="1"/>
  <c r="R768" i="10"/>
  <c r="T768" i="10"/>
  <c r="U768" i="10"/>
  <c r="O769" i="10"/>
  <c r="P769" i="10" s="1"/>
  <c r="R769" i="10"/>
  <c r="T769" i="10"/>
  <c r="U769" i="10"/>
  <c r="O770" i="10"/>
  <c r="P770" i="10" s="1"/>
  <c r="R770" i="10"/>
  <c r="T770" i="10"/>
  <c r="U770" i="10"/>
  <c r="O771" i="10"/>
  <c r="P771" i="10" s="1"/>
  <c r="R771" i="10"/>
  <c r="T771" i="10"/>
  <c r="U771" i="10"/>
  <c r="O772" i="10"/>
  <c r="P772" i="10" s="1"/>
  <c r="R772" i="10"/>
  <c r="U772" i="10"/>
  <c r="O773" i="10"/>
  <c r="P773" i="10" s="1"/>
  <c r="R773" i="10"/>
  <c r="T773" i="10"/>
  <c r="U773" i="10"/>
  <c r="O774" i="10"/>
  <c r="P774" i="10" s="1"/>
  <c r="R774" i="10"/>
  <c r="T774" i="10"/>
  <c r="U774" i="10"/>
  <c r="O775" i="10"/>
  <c r="P775" i="10" s="1"/>
  <c r="R775" i="10"/>
  <c r="T775" i="10"/>
  <c r="U775" i="10"/>
  <c r="O776" i="10"/>
  <c r="P776" i="10" s="1"/>
  <c r="R776" i="10"/>
  <c r="T776" i="10"/>
  <c r="U776" i="10"/>
  <c r="O777" i="10"/>
  <c r="P777" i="10" s="1"/>
  <c r="R777" i="10"/>
  <c r="T777" i="10"/>
  <c r="U777" i="10"/>
  <c r="O778" i="10"/>
  <c r="P778" i="10" s="1"/>
  <c r="R778" i="10"/>
  <c r="T778" i="10"/>
  <c r="U778" i="10"/>
  <c r="O779" i="10"/>
  <c r="P779" i="10" s="1"/>
  <c r="R779" i="10"/>
  <c r="T779" i="10"/>
  <c r="U779" i="10"/>
  <c r="O780" i="10"/>
  <c r="P780" i="10" s="1"/>
  <c r="R780" i="10"/>
  <c r="T780" i="10"/>
  <c r="U780" i="10"/>
  <c r="O781" i="10"/>
  <c r="P781" i="10" s="1"/>
  <c r="R781" i="10"/>
  <c r="T781" i="10"/>
  <c r="U781" i="10"/>
  <c r="O782" i="10"/>
  <c r="P782" i="10" s="1"/>
  <c r="R782" i="10"/>
  <c r="T782" i="10"/>
  <c r="U782" i="10"/>
  <c r="O783" i="10"/>
  <c r="P783" i="10" s="1"/>
  <c r="R783" i="10"/>
  <c r="T783" i="10"/>
  <c r="U783" i="10"/>
  <c r="O784" i="10"/>
  <c r="P784" i="10" s="1"/>
  <c r="R784" i="10"/>
  <c r="T784" i="10"/>
  <c r="U784" i="10"/>
  <c r="O785" i="10"/>
  <c r="P785" i="10" s="1"/>
  <c r="R785" i="10"/>
  <c r="T785" i="10"/>
  <c r="U785" i="10"/>
  <c r="O786" i="10"/>
  <c r="P786" i="10" s="1"/>
  <c r="R786" i="10"/>
  <c r="T786" i="10"/>
  <c r="U786" i="10"/>
  <c r="O787" i="10"/>
  <c r="P787" i="10" s="1"/>
  <c r="R787" i="10"/>
  <c r="T787" i="10"/>
  <c r="U787" i="10"/>
  <c r="O788" i="10"/>
  <c r="P788" i="10" s="1"/>
  <c r="R788" i="10"/>
  <c r="T788" i="10"/>
  <c r="U788" i="10"/>
  <c r="O789" i="10"/>
  <c r="P789" i="10" s="1"/>
  <c r="R789" i="10"/>
  <c r="T789" i="10"/>
  <c r="U789" i="10"/>
  <c r="O790" i="10"/>
  <c r="P790" i="10" s="1"/>
  <c r="R790" i="10"/>
  <c r="T790" i="10"/>
  <c r="U790" i="10"/>
  <c r="O791" i="10"/>
  <c r="P791" i="10" s="1"/>
  <c r="R791" i="10"/>
  <c r="T791" i="10"/>
  <c r="U791" i="10"/>
  <c r="O792" i="10"/>
  <c r="P792" i="10" s="1"/>
  <c r="R792" i="10"/>
  <c r="T792" i="10"/>
  <c r="U792" i="10"/>
  <c r="O793" i="10"/>
  <c r="P793" i="10" s="1"/>
  <c r="R793" i="10"/>
  <c r="T793" i="10"/>
  <c r="U793" i="10"/>
  <c r="O794" i="10"/>
  <c r="P794" i="10" s="1"/>
  <c r="R794" i="10"/>
  <c r="T794" i="10"/>
  <c r="U794" i="10"/>
  <c r="O795" i="10"/>
  <c r="P795" i="10" s="1"/>
  <c r="R795" i="10"/>
  <c r="T795" i="10"/>
  <c r="U795" i="10"/>
  <c r="O796" i="10"/>
  <c r="P796" i="10" s="1"/>
  <c r="R796" i="10"/>
  <c r="T796" i="10"/>
  <c r="U796" i="10"/>
  <c r="O797" i="10"/>
  <c r="P797" i="10" s="1"/>
  <c r="R797" i="10"/>
  <c r="T797" i="10"/>
  <c r="U797" i="10"/>
  <c r="O798" i="10"/>
  <c r="P798" i="10" s="1"/>
  <c r="R798" i="10"/>
  <c r="T798" i="10"/>
  <c r="U798" i="10"/>
  <c r="O799" i="10"/>
  <c r="P799" i="10" s="1"/>
  <c r="R799" i="10"/>
  <c r="T799" i="10"/>
  <c r="U799" i="10"/>
  <c r="O800" i="10"/>
  <c r="P800" i="10" s="1"/>
  <c r="R800" i="10"/>
  <c r="T800" i="10"/>
  <c r="U800" i="10"/>
  <c r="O801" i="10"/>
  <c r="P801" i="10" s="1"/>
  <c r="R801" i="10"/>
  <c r="T801" i="10"/>
  <c r="U801" i="10"/>
  <c r="O802" i="10"/>
  <c r="P802" i="10" s="1"/>
  <c r="R802" i="10"/>
  <c r="T802" i="10"/>
  <c r="U802" i="10"/>
  <c r="O803" i="10"/>
  <c r="P803" i="10" s="1"/>
  <c r="R803" i="10"/>
  <c r="T803" i="10"/>
  <c r="U803" i="10"/>
  <c r="O804" i="10"/>
  <c r="P804" i="10"/>
  <c r="R804" i="10"/>
  <c r="T804" i="10"/>
  <c r="U804" i="10"/>
  <c r="O805" i="10"/>
  <c r="P805" i="10" s="1"/>
  <c r="R805" i="10"/>
  <c r="T805" i="10"/>
  <c r="U805" i="10"/>
  <c r="O806" i="10"/>
  <c r="P806" i="10" s="1"/>
  <c r="R806" i="10"/>
  <c r="T806" i="10"/>
  <c r="U806" i="10"/>
  <c r="O807" i="10"/>
  <c r="P807" i="10" s="1"/>
  <c r="R807" i="10"/>
  <c r="T807" i="10"/>
  <c r="U807" i="10"/>
  <c r="O808" i="10"/>
  <c r="P808" i="10" s="1"/>
  <c r="R808" i="10"/>
  <c r="T808" i="10"/>
  <c r="U808" i="10"/>
  <c r="O809" i="10"/>
  <c r="P809" i="10" s="1"/>
  <c r="R809" i="10"/>
  <c r="T809" i="10"/>
  <c r="U809" i="10"/>
  <c r="O810" i="10"/>
  <c r="P810" i="10" s="1"/>
  <c r="R810" i="10"/>
  <c r="T810" i="10"/>
  <c r="U810" i="10"/>
  <c r="O811" i="10"/>
  <c r="P811" i="10" s="1"/>
  <c r="R811" i="10"/>
  <c r="T811" i="10"/>
  <c r="U811" i="10"/>
  <c r="O812" i="10"/>
  <c r="P812" i="10" s="1"/>
  <c r="R812" i="10"/>
  <c r="T812" i="10"/>
  <c r="U812" i="10"/>
  <c r="O813" i="10"/>
  <c r="P813" i="10" s="1"/>
  <c r="R813" i="10"/>
  <c r="T813" i="10"/>
  <c r="U813" i="10"/>
  <c r="O814" i="10"/>
  <c r="P814" i="10" s="1"/>
  <c r="R814" i="10"/>
  <c r="T814" i="10"/>
  <c r="U814" i="10"/>
  <c r="O815" i="10"/>
  <c r="P815" i="10" s="1"/>
  <c r="R815" i="10"/>
  <c r="T815" i="10"/>
  <c r="U815" i="10"/>
  <c r="O816" i="10"/>
  <c r="P816" i="10" s="1"/>
  <c r="R816" i="10"/>
  <c r="T816" i="10"/>
  <c r="U816" i="10"/>
  <c r="O817" i="10"/>
  <c r="P817" i="10" s="1"/>
  <c r="R817" i="10"/>
  <c r="T817" i="10"/>
  <c r="U817" i="10"/>
  <c r="O818" i="10"/>
  <c r="P818" i="10" s="1"/>
  <c r="R818" i="10"/>
  <c r="T818" i="10"/>
  <c r="U818" i="10"/>
  <c r="O819" i="10"/>
  <c r="P819" i="10" s="1"/>
  <c r="R819" i="10"/>
  <c r="T819" i="10"/>
  <c r="U819" i="10"/>
  <c r="O820" i="10"/>
  <c r="P820" i="10" s="1"/>
  <c r="R820" i="10"/>
  <c r="T820" i="10"/>
  <c r="U820" i="10"/>
  <c r="O821" i="10"/>
  <c r="P821" i="10" s="1"/>
  <c r="R821" i="10"/>
  <c r="T821" i="10"/>
  <c r="U821" i="10"/>
  <c r="O822" i="10"/>
  <c r="P822" i="10" s="1"/>
  <c r="R822" i="10"/>
  <c r="U822" i="10"/>
  <c r="O823" i="10"/>
  <c r="P823" i="10" s="1"/>
  <c r="R823" i="10"/>
  <c r="T823" i="10"/>
  <c r="U823" i="10"/>
  <c r="O824" i="10"/>
  <c r="P824" i="10" s="1"/>
  <c r="R824" i="10"/>
  <c r="T824" i="10"/>
  <c r="U824" i="10"/>
  <c r="O825" i="10"/>
  <c r="P825" i="10" s="1"/>
  <c r="R825" i="10"/>
  <c r="T825" i="10"/>
  <c r="U825" i="10"/>
  <c r="O826" i="10"/>
  <c r="P826" i="10" s="1"/>
  <c r="R826" i="10"/>
  <c r="T826" i="10"/>
  <c r="U826" i="10"/>
  <c r="O827" i="10"/>
  <c r="P827" i="10" s="1"/>
  <c r="R827" i="10"/>
  <c r="T827" i="10"/>
  <c r="U827" i="10"/>
  <c r="O828" i="10"/>
  <c r="P828" i="10" s="1"/>
  <c r="R828" i="10"/>
  <c r="T828" i="10"/>
  <c r="U828" i="10"/>
  <c r="O829" i="10"/>
  <c r="P829" i="10" s="1"/>
  <c r="R829" i="10"/>
  <c r="T829" i="10"/>
  <c r="U829" i="10"/>
  <c r="O830" i="10"/>
  <c r="P830" i="10" s="1"/>
  <c r="R830" i="10"/>
  <c r="T830" i="10"/>
  <c r="U830" i="10"/>
  <c r="O7" i="10"/>
  <c r="P7" i="10" s="1"/>
  <c r="R7" i="10"/>
  <c r="T7" i="10"/>
  <c r="U7" i="10"/>
  <c r="O8" i="10"/>
  <c r="P8" i="10" s="1"/>
  <c r="R8" i="10"/>
  <c r="T8" i="10"/>
  <c r="U8" i="10"/>
  <c r="O9" i="10"/>
  <c r="P9" i="10" s="1"/>
  <c r="R9" i="10"/>
  <c r="T9" i="10"/>
  <c r="U9" i="10"/>
  <c r="O10" i="10"/>
  <c r="P10" i="10" s="1"/>
  <c r="R10" i="10"/>
  <c r="T10" i="10"/>
  <c r="U10" i="10"/>
  <c r="O11" i="10"/>
  <c r="P11" i="10" s="1"/>
  <c r="R11" i="10"/>
  <c r="U11" i="10"/>
  <c r="O12" i="10"/>
  <c r="P12" i="10" s="1"/>
  <c r="R12" i="10"/>
  <c r="T12" i="10"/>
  <c r="U12" i="10"/>
  <c r="O13" i="10"/>
  <c r="P13" i="10" s="1"/>
  <c r="R13" i="10"/>
  <c r="T13" i="10"/>
  <c r="U13" i="10"/>
  <c r="O14" i="10"/>
  <c r="P14" i="10" s="1"/>
  <c r="R14" i="10"/>
  <c r="T14" i="10"/>
  <c r="U14" i="10"/>
  <c r="O15" i="10"/>
  <c r="P15" i="10" s="1"/>
  <c r="R15" i="10"/>
  <c r="T15" i="10"/>
  <c r="U15" i="10"/>
  <c r="O16" i="10"/>
  <c r="P16" i="10" s="1"/>
  <c r="R16" i="10"/>
  <c r="T16" i="10"/>
  <c r="U16" i="10"/>
  <c r="O17" i="10"/>
  <c r="P17" i="10" s="1"/>
  <c r="R17" i="10"/>
  <c r="T17" i="10"/>
  <c r="U17" i="10"/>
  <c r="O18" i="10"/>
  <c r="P18" i="10" s="1"/>
  <c r="R18" i="10"/>
  <c r="T18" i="10"/>
  <c r="U18" i="10"/>
  <c r="O19" i="10"/>
  <c r="P19" i="10" s="1"/>
  <c r="R19" i="10"/>
  <c r="T19" i="10"/>
  <c r="U19" i="10"/>
  <c r="O20" i="10"/>
  <c r="P20" i="10" s="1"/>
  <c r="R20" i="10"/>
  <c r="T20" i="10"/>
  <c r="U20" i="10"/>
  <c r="O21" i="10"/>
  <c r="P21" i="10" s="1"/>
  <c r="R21" i="10"/>
  <c r="T21" i="10"/>
  <c r="U21" i="10"/>
  <c r="U831" i="10"/>
  <c r="T831" i="10"/>
  <c r="R831" i="10"/>
  <c r="O831" i="10"/>
  <c r="P831" i="10" s="1"/>
  <c r="M2" i="18"/>
  <c r="M3" i="18"/>
  <c r="M4" i="18"/>
  <c r="M5" i="18"/>
  <c r="M6" i="18"/>
  <c r="M7" i="18"/>
  <c r="N7" i="18" s="1"/>
  <c r="M8" i="18"/>
  <c r="M9" i="18"/>
  <c r="M10" i="18"/>
  <c r="M11" i="18"/>
  <c r="M12" i="18"/>
  <c r="N12" i="18" s="1"/>
  <c r="M13" i="18"/>
  <c r="M14" i="18"/>
  <c r="N14" i="18" s="1"/>
  <c r="M15" i="18"/>
  <c r="M16" i="18"/>
  <c r="M17" i="18"/>
  <c r="M18" i="18"/>
  <c r="N18" i="18" s="1"/>
  <c r="M19" i="18"/>
  <c r="N19" i="18" s="1"/>
  <c r="M20" i="18"/>
  <c r="M21" i="18"/>
  <c r="M22" i="18"/>
  <c r="M23" i="18"/>
  <c r="M24" i="18"/>
  <c r="M25" i="18"/>
  <c r="M26" i="18"/>
  <c r="N26" i="18" s="1"/>
  <c r="M27" i="18"/>
  <c r="M28" i="18"/>
  <c r="M29" i="18"/>
  <c r="M30" i="18"/>
  <c r="N30" i="18" s="1"/>
  <c r="M31" i="18"/>
  <c r="M32" i="18"/>
  <c r="M33" i="18"/>
  <c r="M34" i="18"/>
  <c r="M35" i="18"/>
  <c r="M36" i="18"/>
  <c r="M37" i="18"/>
  <c r="M38" i="18"/>
  <c r="M39" i="18"/>
  <c r="M40" i="18"/>
  <c r="M41" i="18"/>
  <c r="N41" i="18" s="1"/>
  <c r="M42" i="18"/>
  <c r="N42" i="18" s="1"/>
  <c r="M43" i="18"/>
  <c r="N43" i="18" s="1"/>
  <c r="M44" i="18"/>
  <c r="M45" i="18"/>
  <c r="M46" i="18"/>
  <c r="M47" i="18"/>
  <c r="M48" i="18"/>
  <c r="M49" i="18"/>
  <c r="M50" i="18"/>
  <c r="N50" i="18" s="1"/>
  <c r="M51" i="18"/>
  <c r="M52" i="18"/>
  <c r="M53" i="18"/>
  <c r="M54" i="18"/>
  <c r="M55" i="18"/>
  <c r="N55" i="18" s="1"/>
  <c r="M56" i="18"/>
  <c r="M57" i="18"/>
  <c r="M58" i="18"/>
  <c r="M59" i="18"/>
  <c r="M60" i="18"/>
  <c r="M61" i="18"/>
  <c r="N61" i="18" s="1"/>
  <c r="M62" i="18"/>
  <c r="N62" i="18" s="1"/>
  <c r="M63" i="18"/>
  <c r="M64" i="18"/>
  <c r="M65" i="18"/>
  <c r="M66" i="18"/>
  <c r="M67" i="18"/>
  <c r="N67" i="18" s="1"/>
  <c r="M68" i="18"/>
  <c r="M69" i="18"/>
  <c r="M70" i="18"/>
  <c r="M71" i="18"/>
  <c r="M72" i="18"/>
  <c r="M73" i="18"/>
  <c r="M74" i="18"/>
  <c r="N74" i="18" s="1"/>
  <c r="M75" i="18"/>
  <c r="M76" i="18"/>
  <c r="M77" i="18"/>
  <c r="N77" i="18" s="1"/>
  <c r="M78" i="18"/>
  <c r="M79" i="18"/>
  <c r="N79" i="18" s="1"/>
  <c r="M80" i="18"/>
  <c r="M81" i="18"/>
  <c r="M82" i="18"/>
  <c r="M83" i="18"/>
  <c r="M84" i="18"/>
  <c r="M85" i="18"/>
  <c r="N85" i="18" s="1"/>
  <c r="M86" i="18"/>
  <c r="N86" i="18" s="1"/>
  <c r="M87" i="18"/>
  <c r="M88" i="18"/>
  <c r="M89" i="18"/>
  <c r="M90" i="18"/>
  <c r="N90" i="18" s="1"/>
  <c r="M91" i="18"/>
  <c r="N91" i="18" s="1"/>
  <c r="M92" i="18"/>
  <c r="M93" i="18"/>
  <c r="M94" i="18"/>
  <c r="M95" i="18"/>
  <c r="M96" i="18"/>
  <c r="M97" i="18"/>
  <c r="N97" i="18" s="1"/>
  <c r="M98" i="18"/>
  <c r="M99" i="18"/>
  <c r="M100" i="18"/>
  <c r="M101" i="18"/>
  <c r="N101" i="18" s="1"/>
  <c r="M102" i="18"/>
  <c r="M103" i="18"/>
  <c r="N103" i="18" s="1"/>
  <c r="M104" i="18"/>
  <c r="M105" i="18"/>
  <c r="M106" i="18"/>
  <c r="M107" i="18"/>
  <c r="M108" i="18"/>
  <c r="N108" i="18" s="1"/>
  <c r="M109" i="18"/>
  <c r="N109" i="18" s="1"/>
  <c r="M110" i="18"/>
  <c r="N110" i="18" s="1"/>
  <c r="M111" i="18"/>
  <c r="M112" i="18"/>
  <c r="M113" i="18"/>
  <c r="M114" i="18"/>
  <c r="N114" i="18" s="1"/>
  <c r="M115" i="18"/>
  <c r="M116" i="18"/>
  <c r="M117" i="18"/>
  <c r="M118" i="18"/>
  <c r="M119" i="18"/>
  <c r="M120" i="18"/>
  <c r="M121" i="18"/>
  <c r="M122" i="18"/>
  <c r="N122" i="18" s="1"/>
  <c r="M123" i="18"/>
  <c r="M124" i="18"/>
  <c r="M125" i="18"/>
  <c r="M126" i="18"/>
  <c r="M127" i="18"/>
  <c r="M128" i="18"/>
  <c r="M129" i="18"/>
  <c r="M130" i="18"/>
  <c r="M131" i="18"/>
  <c r="M132" i="18"/>
  <c r="M133" i="18"/>
  <c r="M134" i="18"/>
  <c r="N134" i="18" s="1"/>
  <c r="M135" i="18"/>
  <c r="M136" i="18"/>
  <c r="M137" i="18"/>
  <c r="M138" i="18"/>
  <c r="N138" i="18" s="1"/>
  <c r="M139" i="18"/>
  <c r="N139" i="18" s="1"/>
  <c r="M140" i="18"/>
  <c r="M141" i="18"/>
  <c r="M142" i="18"/>
  <c r="M143" i="18"/>
  <c r="M144" i="18"/>
  <c r="M145" i="18"/>
  <c r="M146" i="18"/>
  <c r="N146" i="18" s="1"/>
  <c r="M147" i="18"/>
  <c r="M148" i="18"/>
  <c r="M149" i="18"/>
  <c r="M150" i="18"/>
  <c r="N150" i="18" s="1"/>
  <c r="M151" i="18"/>
  <c r="M152" i="18"/>
  <c r="M153" i="18"/>
  <c r="M154" i="18"/>
  <c r="M155" i="18"/>
  <c r="M156" i="18"/>
  <c r="N156" i="18" s="1"/>
  <c r="M157" i="18"/>
  <c r="N157" i="18" s="1"/>
  <c r="M158" i="18"/>
  <c r="N158" i="18" s="1"/>
  <c r="M159" i="18"/>
  <c r="M160" i="18"/>
  <c r="M161" i="18"/>
  <c r="M162" i="18"/>
  <c r="N162" i="18" s="1"/>
  <c r="M163" i="18"/>
  <c r="M164" i="18"/>
  <c r="M165" i="18"/>
  <c r="M166" i="18"/>
  <c r="M167" i="18"/>
  <c r="M168" i="18"/>
  <c r="M169" i="18"/>
  <c r="M170" i="18"/>
  <c r="M171" i="18"/>
  <c r="M172" i="18"/>
  <c r="M173" i="18"/>
  <c r="M174" i="18"/>
  <c r="N174" i="18" s="1"/>
  <c r="M175" i="18"/>
  <c r="M176" i="18"/>
  <c r="M177" i="18"/>
  <c r="M178" i="18"/>
  <c r="M179" i="18"/>
  <c r="M180" i="18"/>
  <c r="N180" i="18" s="1"/>
  <c r="M181" i="18"/>
  <c r="M182" i="18"/>
  <c r="M183" i="18"/>
  <c r="M184" i="18"/>
  <c r="M185" i="18"/>
  <c r="M186" i="18"/>
  <c r="M187" i="18"/>
  <c r="N187" i="18" s="1"/>
  <c r="M188" i="18"/>
  <c r="M189" i="18"/>
  <c r="M190" i="18"/>
  <c r="M191" i="18"/>
  <c r="M192" i="18"/>
  <c r="M193" i="18"/>
  <c r="M194" i="18"/>
  <c r="N194" i="18" s="1"/>
  <c r="M195" i="18"/>
  <c r="M196" i="18"/>
  <c r="M197" i="18"/>
  <c r="N197" i="18" s="1"/>
  <c r="M198" i="18"/>
  <c r="N198" i="18" s="1"/>
  <c r="M199" i="18"/>
  <c r="M200" i="18"/>
  <c r="M201" i="18"/>
  <c r="M202" i="18"/>
  <c r="M203" i="18"/>
  <c r="M204" i="18"/>
  <c r="N204" i="18" s="1"/>
  <c r="M205" i="18"/>
  <c r="M206" i="18"/>
  <c r="N206" i="18" s="1"/>
  <c r="M207" i="18"/>
  <c r="M208" i="18"/>
  <c r="M209" i="18"/>
  <c r="M210" i="18"/>
  <c r="N210" i="18" s="1"/>
  <c r="M211" i="18"/>
  <c r="M212" i="18"/>
  <c r="M213" i="18"/>
  <c r="M214" i="18"/>
  <c r="M215" i="18"/>
  <c r="M216" i="18"/>
  <c r="M217" i="18"/>
  <c r="M218" i="18"/>
  <c r="N218" i="18" s="1"/>
  <c r="M219" i="18"/>
  <c r="M220" i="18"/>
  <c r="M221" i="18"/>
  <c r="N221" i="18" s="1"/>
  <c r="M222" i="18"/>
  <c r="M223" i="18"/>
  <c r="N223" i="18" s="1"/>
  <c r="M224" i="18"/>
  <c r="M225" i="18"/>
  <c r="M226" i="18"/>
  <c r="M227" i="18"/>
  <c r="M228" i="18"/>
  <c r="N228" i="18" s="1"/>
  <c r="M229" i="18"/>
  <c r="M230" i="18"/>
  <c r="N230" i="18" s="1"/>
  <c r="M231" i="18"/>
  <c r="M232" i="18"/>
  <c r="M233" i="18"/>
  <c r="M234" i="18"/>
  <c r="N234" i="18" s="1"/>
  <c r="M235" i="18"/>
  <c r="N235" i="18" s="1"/>
  <c r="M236" i="18"/>
  <c r="M237" i="18"/>
  <c r="M238" i="18"/>
  <c r="M239" i="18"/>
  <c r="M240" i="18"/>
  <c r="M241" i="18"/>
  <c r="M242" i="18"/>
  <c r="M243" i="18"/>
  <c r="M244" i="18"/>
  <c r="M245" i="18"/>
  <c r="N245" i="18" s="1"/>
  <c r="M246" i="18"/>
  <c r="M247" i="18"/>
  <c r="M248" i="18"/>
  <c r="M249" i="18"/>
  <c r="M250" i="18"/>
  <c r="M251" i="18"/>
  <c r="M252" i="18"/>
  <c r="N252" i="18" s="1"/>
  <c r="M253" i="18"/>
  <c r="N253" i="18" s="1"/>
  <c r="M254" i="18"/>
  <c r="N254" i="18" s="1"/>
  <c r="M255" i="18"/>
  <c r="M256" i="18"/>
  <c r="M257" i="18"/>
  <c r="M258" i="18"/>
  <c r="N258" i="18" s="1"/>
  <c r="M259" i="18"/>
  <c r="N259" i="18" s="1"/>
  <c r="M260" i="18"/>
  <c r="M261" i="18"/>
  <c r="M262" i="18"/>
  <c r="M263" i="18"/>
  <c r="M264" i="18"/>
  <c r="M265" i="18"/>
  <c r="M266" i="18"/>
  <c r="M267" i="18"/>
  <c r="M268" i="18"/>
  <c r="M269" i="18"/>
  <c r="N269" i="18" s="1"/>
  <c r="M270" i="18"/>
  <c r="M271" i="18"/>
  <c r="N271" i="18" s="1"/>
  <c r="M272" i="18"/>
  <c r="M273" i="18"/>
  <c r="M274" i="18"/>
  <c r="M275" i="18"/>
  <c r="M276" i="18"/>
  <c r="M277" i="18"/>
  <c r="M278" i="18"/>
  <c r="N278" i="18" s="1"/>
  <c r="M279" i="18"/>
  <c r="M280" i="18"/>
  <c r="M281" i="18"/>
  <c r="M282" i="18"/>
  <c r="N282" i="18" s="1"/>
  <c r="M283" i="18"/>
  <c r="N283" i="18" s="1"/>
  <c r="M284" i="18"/>
  <c r="M285" i="18"/>
  <c r="M286" i="18"/>
  <c r="M287" i="18"/>
  <c r="M288" i="18"/>
  <c r="N288" i="18" s="1"/>
  <c r="M289" i="18"/>
  <c r="M290" i="18"/>
  <c r="M291" i="18"/>
  <c r="M292" i="18"/>
  <c r="M293" i="18"/>
  <c r="N293" i="18" s="1"/>
  <c r="M294" i="18"/>
  <c r="N294" i="18" s="1"/>
  <c r="M295" i="18"/>
  <c r="M296" i="18"/>
  <c r="M297" i="18"/>
  <c r="M298" i="18"/>
  <c r="M299" i="18"/>
  <c r="M300" i="18"/>
  <c r="N300" i="18" s="1"/>
  <c r="M301" i="18"/>
  <c r="N301" i="18" s="1"/>
  <c r="M302" i="18"/>
  <c r="N302" i="18" s="1"/>
  <c r="M303" i="18"/>
  <c r="M304" i="18"/>
  <c r="M305" i="18"/>
  <c r="M306" i="18"/>
  <c r="N306" i="18" s="1"/>
  <c r="M307" i="18"/>
  <c r="N307" i="18" s="1"/>
  <c r="M308" i="18"/>
  <c r="M309" i="18"/>
  <c r="M310" i="18"/>
  <c r="M311" i="18"/>
  <c r="M312" i="18"/>
  <c r="N312" i="18" s="1"/>
  <c r="M313" i="18"/>
  <c r="N313" i="18" s="1"/>
  <c r="M314" i="18"/>
  <c r="N314" i="18" s="1"/>
  <c r="M315" i="18"/>
  <c r="M316" i="18"/>
  <c r="M317" i="18"/>
  <c r="N317" i="18" s="1"/>
  <c r="M318" i="18"/>
  <c r="N318" i="18" s="1"/>
  <c r="M319" i="18"/>
  <c r="N319" i="18" s="1"/>
  <c r="M320" i="18"/>
  <c r="M321" i="18"/>
  <c r="M322" i="18"/>
  <c r="M323" i="18"/>
  <c r="M324" i="18"/>
  <c r="M325" i="18"/>
  <c r="N325" i="18" s="1"/>
  <c r="M326" i="18"/>
  <c r="M327" i="18"/>
  <c r="M328" i="18"/>
  <c r="M329" i="18"/>
  <c r="M330" i="18"/>
  <c r="M331" i="18"/>
  <c r="N331" i="18" s="1"/>
  <c r="M332" i="18"/>
  <c r="M333" i="18"/>
  <c r="M334" i="18"/>
  <c r="M335" i="18"/>
  <c r="M336" i="18"/>
  <c r="M337" i="18"/>
  <c r="N337" i="18" s="1"/>
  <c r="M338" i="18"/>
  <c r="N338" i="18" s="1"/>
  <c r="M339" i="18"/>
  <c r="M340" i="18"/>
  <c r="M341" i="18"/>
  <c r="N341" i="18" s="1"/>
  <c r="M342" i="18"/>
  <c r="M343" i="18"/>
  <c r="N343" i="18" s="1"/>
  <c r="M344" i="18"/>
  <c r="M345" i="18"/>
  <c r="M346" i="18"/>
  <c r="M347" i="18"/>
  <c r="M348" i="18"/>
  <c r="N348" i="18" s="1"/>
  <c r="M349" i="18"/>
  <c r="N349" i="18" s="1"/>
  <c r="M350" i="18"/>
  <c r="N350" i="18" s="1"/>
  <c r="M351" i="18"/>
  <c r="M352" i="18"/>
  <c r="M353" i="18"/>
  <c r="N353" i="18" s="1"/>
  <c r="M354" i="18"/>
  <c r="N354" i="18" s="1"/>
  <c r="M355" i="18"/>
  <c r="N355" i="18" s="1"/>
  <c r="M356" i="18"/>
  <c r="M357" i="18"/>
  <c r="M358" i="18"/>
  <c r="M359" i="18"/>
  <c r="M360" i="18"/>
  <c r="M361" i="18"/>
  <c r="N361" i="18" s="1"/>
  <c r="M362" i="18"/>
  <c r="N362" i="18" s="1"/>
  <c r="M363" i="18"/>
  <c r="M364" i="18"/>
  <c r="M365" i="18"/>
  <c r="N365" i="18" s="1"/>
  <c r="M366" i="18"/>
  <c r="N366" i="18" s="1"/>
  <c r="M367" i="18"/>
  <c r="N367" i="18" s="1"/>
  <c r="M368" i="18"/>
  <c r="M369" i="18"/>
  <c r="M370" i="18"/>
  <c r="M371" i="18"/>
  <c r="M372" i="18"/>
  <c r="N372" i="18" s="1"/>
  <c r="M373" i="18"/>
  <c r="M374" i="18"/>
  <c r="N374" i="18" s="1"/>
  <c r="M375" i="18"/>
  <c r="M376" i="18"/>
  <c r="M377" i="18"/>
  <c r="M378" i="18"/>
  <c r="M379" i="18"/>
  <c r="M380" i="18"/>
  <c r="M381" i="18"/>
  <c r="M382" i="18"/>
  <c r="M383" i="18"/>
  <c r="M384" i="18"/>
  <c r="M385" i="18"/>
  <c r="M386" i="18"/>
  <c r="N386" i="18" s="1"/>
  <c r="M387" i="18"/>
  <c r="M388" i="18"/>
  <c r="M389" i="18"/>
  <c r="M390" i="18"/>
  <c r="N390" i="18" s="1"/>
  <c r="M391" i="18"/>
  <c r="N391" i="18" s="1"/>
  <c r="M392" i="18"/>
  <c r="M393" i="18"/>
  <c r="M394" i="18"/>
  <c r="M395" i="18"/>
  <c r="M396" i="18"/>
  <c r="M397" i="18"/>
  <c r="M398" i="18"/>
  <c r="N398" i="18" s="1"/>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N422" i="18" s="1"/>
  <c r="M423" i="18"/>
  <c r="M424" i="18"/>
  <c r="M425" i="18"/>
  <c r="M426" i="18"/>
  <c r="M427" i="18"/>
  <c r="N427" i="18" s="1"/>
  <c r="M428" i="18"/>
  <c r="M429" i="18"/>
  <c r="M430" i="18"/>
  <c r="M431" i="18"/>
  <c r="M432" i="18"/>
  <c r="M433" i="18"/>
  <c r="M434" i="18"/>
  <c r="M435" i="18"/>
  <c r="M436" i="18"/>
  <c r="M437" i="18"/>
  <c r="M438" i="18"/>
  <c r="N438" i="18" s="1"/>
  <c r="M439" i="18"/>
  <c r="N439" i="18" s="1"/>
  <c r="M440" i="18"/>
  <c r="M441" i="18"/>
  <c r="M442" i="18"/>
  <c r="M443" i="18"/>
  <c r="M444" i="18"/>
  <c r="M445" i="18"/>
  <c r="M446" i="18"/>
  <c r="N446" i="18" s="1"/>
  <c r="M447" i="18"/>
  <c r="M448" i="18"/>
  <c r="M449" i="18"/>
  <c r="M450" i="18"/>
  <c r="M451" i="18"/>
  <c r="N451" i="18" s="1"/>
  <c r="M452" i="18"/>
  <c r="M453" i="18"/>
  <c r="M454" i="18"/>
  <c r="M455" i="18"/>
  <c r="M456" i="18"/>
  <c r="M457" i="18"/>
  <c r="M458" i="18"/>
  <c r="M459" i="18"/>
  <c r="M460" i="18"/>
  <c r="M461" i="18"/>
  <c r="M462" i="18"/>
  <c r="N462" i="18" s="1"/>
  <c r="M463" i="18"/>
  <c r="M464" i="18"/>
  <c r="M465" i="18"/>
  <c r="M466" i="18"/>
  <c r="M467" i="18"/>
  <c r="M468" i="18"/>
  <c r="N468" i="18" s="1"/>
  <c r="M469" i="18"/>
  <c r="M470" i="18"/>
  <c r="N470" i="18" s="1"/>
  <c r="M471" i="18"/>
  <c r="M472" i="18"/>
  <c r="M473" i="18"/>
  <c r="M474" i="18"/>
  <c r="M475" i="18"/>
  <c r="M476" i="18"/>
  <c r="M477" i="18"/>
  <c r="M478" i="18"/>
  <c r="M479" i="18"/>
  <c r="M480" i="18"/>
  <c r="M481" i="18"/>
  <c r="M482" i="18"/>
  <c r="N482" i="18" s="1"/>
  <c r="M483" i="18"/>
  <c r="M484" i="18"/>
  <c r="M485" i="18"/>
  <c r="M486" i="18"/>
  <c r="M487" i="18"/>
  <c r="N487" i="18" s="1"/>
  <c r="M488" i="18"/>
  <c r="M489" i="18"/>
  <c r="M490" i="18"/>
  <c r="M491" i="18"/>
  <c r="M492" i="18"/>
  <c r="M493" i="18"/>
  <c r="M494" i="18"/>
  <c r="N494" i="18" s="1"/>
  <c r="M495" i="18"/>
  <c r="M496" i="18"/>
  <c r="M497" i="18"/>
  <c r="M498" i="18"/>
  <c r="M499" i="18"/>
  <c r="N499" i="18" s="1"/>
  <c r="M500" i="18"/>
  <c r="M501" i="18"/>
  <c r="M502" i="18"/>
  <c r="M503" i="18"/>
  <c r="M504" i="18"/>
  <c r="N504" i="18" s="1"/>
  <c r="M505" i="18"/>
  <c r="M506" i="18"/>
  <c r="M507" i="18"/>
  <c r="M508" i="18"/>
  <c r="M509" i="18"/>
  <c r="M510" i="18"/>
  <c r="M511" i="18"/>
  <c r="M512" i="18"/>
  <c r="K2" i="18"/>
  <c r="L2" i="18" s="1"/>
  <c r="K3" i="18"/>
  <c r="L3" i="18"/>
  <c r="N3" i="18" s="1"/>
  <c r="K4" i="18"/>
  <c r="L4" i="18" s="1"/>
  <c r="N4" i="18" s="1"/>
  <c r="K5" i="18"/>
  <c r="L5" i="18" s="1"/>
  <c r="K6" i="18"/>
  <c r="L6" i="18" s="1"/>
  <c r="K7" i="18"/>
  <c r="L7" i="18"/>
  <c r="K8" i="18"/>
  <c r="L8" i="18" s="1"/>
  <c r="K9" i="18"/>
  <c r="L9" i="18" s="1"/>
  <c r="K10" i="18"/>
  <c r="L10" i="18" s="1"/>
  <c r="K11" i="18"/>
  <c r="L11" i="18"/>
  <c r="K12" i="18"/>
  <c r="L12" i="18" s="1"/>
  <c r="K13" i="18"/>
  <c r="L13" i="18" s="1"/>
  <c r="K14" i="18"/>
  <c r="L14" i="18" s="1"/>
  <c r="K15" i="18"/>
  <c r="L15" i="18"/>
  <c r="N15" i="18" s="1"/>
  <c r="K16" i="18"/>
  <c r="L16" i="18" s="1"/>
  <c r="N16" i="18" s="1"/>
  <c r="K17" i="18"/>
  <c r="L17" i="18"/>
  <c r="K18" i="18"/>
  <c r="L18" i="18" s="1"/>
  <c r="K19" i="18"/>
  <c r="L19" i="18"/>
  <c r="K20" i="18"/>
  <c r="L20" i="18" s="1"/>
  <c r="K21" i="18"/>
  <c r="L21" i="18" s="1"/>
  <c r="K22" i="18"/>
  <c r="L22" i="18" s="1"/>
  <c r="K23" i="18"/>
  <c r="L23" i="18"/>
  <c r="K24" i="18"/>
  <c r="L24" i="18" s="1"/>
  <c r="K25" i="18"/>
  <c r="L25" i="18"/>
  <c r="K26" i="18"/>
  <c r="L26" i="18" s="1"/>
  <c r="K27" i="18"/>
  <c r="L27" i="18"/>
  <c r="K28" i="18"/>
  <c r="L28" i="18" s="1"/>
  <c r="K29" i="18"/>
  <c r="L29" i="18" s="1"/>
  <c r="K30" i="18"/>
  <c r="L30" i="18" s="1"/>
  <c r="K31" i="18"/>
  <c r="L31" i="18"/>
  <c r="K32" i="18"/>
  <c r="L32" i="18" s="1"/>
  <c r="K33" i="18"/>
  <c r="L33" i="18" s="1"/>
  <c r="N33" i="18" s="1"/>
  <c r="K34" i="18"/>
  <c r="L34" i="18" s="1"/>
  <c r="K35" i="18"/>
  <c r="L35" i="18"/>
  <c r="K36" i="18"/>
  <c r="L36" i="18" s="1"/>
  <c r="K37" i="18"/>
  <c r="L37" i="18" s="1"/>
  <c r="K38" i="18"/>
  <c r="L38" i="18" s="1"/>
  <c r="K39" i="18"/>
  <c r="L39" i="18"/>
  <c r="K40" i="18"/>
  <c r="L40" i="18" s="1"/>
  <c r="N40" i="18" s="1"/>
  <c r="K41" i="18"/>
  <c r="L41" i="18"/>
  <c r="K42" i="18"/>
  <c r="L42" i="18" s="1"/>
  <c r="K43" i="18"/>
  <c r="L43" i="18"/>
  <c r="K44" i="18"/>
  <c r="L44" i="18" s="1"/>
  <c r="K45" i="18"/>
  <c r="L45" i="18" s="1"/>
  <c r="K46" i="18"/>
  <c r="L46" i="18" s="1"/>
  <c r="K47" i="18"/>
  <c r="L47" i="18" s="1"/>
  <c r="N47" i="18" s="1"/>
  <c r="K48" i="18"/>
  <c r="L48" i="18" s="1"/>
  <c r="N48" i="18" s="1"/>
  <c r="K49" i="18"/>
  <c r="L49" i="18"/>
  <c r="K50" i="18"/>
  <c r="L50" i="18" s="1"/>
  <c r="K51" i="18"/>
  <c r="L51" i="18"/>
  <c r="K52" i="18"/>
  <c r="L52" i="18" s="1"/>
  <c r="K53" i="18"/>
  <c r="L53" i="18" s="1"/>
  <c r="K54" i="18"/>
  <c r="L54" i="18" s="1"/>
  <c r="K55" i="18"/>
  <c r="L55" i="18" s="1"/>
  <c r="K56" i="18"/>
  <c r="L56" i="18" s="1"/>
  <c r="K57" i="18"/>
  <c r="L57" i="18"/>
  <c r="N57" i="18" s="1"/>
  <c r="K58" i="18"/>
  <c r="L58" i="18" s="1"/>
  <c r="K59" i="18"/>
  <c r="L59" i="18"/>
  <c r="N59" i="18" s="1"/>
  <c r="K60" i="18"/>
  <c r="L60" i="18" s="1"/>
  <c r="K61" i="18"/>
  <c r="L61" i="18" s="1"/>
  <c r="K62" i="18"/>
  <c r="L62" i="18" s="1"/>
  <c r="K63" i="18"/>
  <c r="L63" i="18"/>
  <c r="K64" i="18"/>
  <c r="L64" i="18" s="1"/>
  <c r="N64" i="18" s="1"/>
  <c r="K65" i="18"/>
  <c r="L65" i="18"/>
  <c r="K66" i="18"/>
  <c r="L66" i="18" s="1"/>
  <c r="K67" i="18"/>
  <c r="L67" i="18"/>
  <c r="K68" i="18"/>
  <c r="L68" i="18" s="1"/>
  <c r="N68" i="18" s="1"/>
  <c r="K69" i="18"/>
  <c r="L69" i="18" s="1"/>
  <c r="N69" i="18" s="1"/>
  <c r="K70" i="18"/>
  <c r="L70" i="18" s="1"/>
  <c r="K71" i="18"/>
  <c r="L71" i="18"/>
  <c r="K72" i="18"/>
  <c r="L72" i="18" s="1"/>
  <c r="N72" i="18" s="1"/>
  <c r="K73" i="18"/>
  <c r="L73" i="18" s="1"/>
  <c r="K74" i="18"/>
  <c r="L74" i="18" s="1"/>
  <c r="K75" i="18"/>
  <c r="L75" i="18"/>
  <c r="N75" i="18" s="1"/>
  <c r="K76" i="18"/>
  <c r="L76" i="18" s="1"/>
  <c r="K77" i="18"/>
  <c r="L77" i="18" s="1"/>
  <c r="K78" i="18"/>
  <c r="L78" i="18" s="1"/>
  <c r="K79" i="18"/>
  <c r="L79" i="18" s="1"/>
  <c r="K80" i="18"/>
  <c r="L80" i="18" s="1"/>
  <c r="K81" i="18"/>
  <c r="L81" i="18"/>
  <c r="K82" i="18"/>
  <c r="L82" i="18" s="1"/>
  <c r="K83" i="18"/>
  <c r="L83" i="18"/>
  <c r="K84" i="18"/>
  <c r="L84" i="18" s="1"/>
  <c r="N84" i="18" s="1"/>
  <c r="K85" i="18"/>
  <c r="L85" i="18" s="1"/>
  <c r="K86" i="18"/>
  <c r="L86" i="18" s="1"/>
  <c r="K87" i="18"/>
  <c r="L87" i="18"/>
  <c r="K88" i="18"/>
  <c r="L88" i="18" s="1"/>
  <c r="K89" i="18"/>
  <c r="L89" i="18"/>
  <c r="K90" i="18"/>
  <c r="L90" i="18" s="1"/>
  <c r="K91" i="18"/>
  <c r="L91" i="18" s="1"/>
  <c r="K92" i="18"/>
  <c r="L92" i="18" s="1"/>
  <c r="K93" i="18"/>
  <c r="L93" i="18" s="1"/>
  <c r="N93" i="18" s="1"/>
  <c r="K94" i="18"/>
  <c r="L94" i="18" s="1"/>
  <c r="K95" i="18"/>
  <c r="L95" i="18" s="1"/>
  <c r="N95" i="18" s="1"/>
  <c r="K96" i="18"/>
  <c r="L96" i="18" s="1"/>
  <c r="K97" i="18"/>
  <c r="L97" i="18"/>
  <c r="K98" i="18"/>
  <c r="L98" i="18" s="1"/>
  <c r="K99" i="18"/>
  <c r="L99" i="18" s="1"/>
  <c r="K100" i="18"/>
  <c r="L100" i="18" s="1"/>
  <c r="K101" i="18"/>
  <c r="L101" i="18" s="1"/>
  <c r="K102" i="18"/>
  <c r="L102" i="18" s="1"/>
  <c r="K103" i="18"/>
  <c r="L103" i="18"/>
  <c r="K104" i="18"/>
  <c r="L104" i="18" s="1"/>
  <c r="N104" i="18" s="1"/>
  <c r="K105" i="18"/>
  <c r="L105" i="18" s="1"/>
  <c r="K106" i="18"/>
  <c r="L106" i="18" s="1"/>
  <c r="K107" i="18"/>
  <c r="L107" i="18" s="1"/>
  <c r="K108" i="18"/>
  <c r="L108" i="18" s="1"/>
  <c r="K109" i="18"/>
  <c r="L109" i="18" s="1"/>
  <c r="K110" i="18"/>
  <c r="L110" i="18" s="1"/>
  <c r="K111" i="18"/>
  <c r="L111" i="18"/>
  <c r="N111" i="18" s="1"/>
  <c r="K112" i="18"/>
  <c r="L112" i="18" s="1"/>
  <c r="N112" i="18" s="1"/>
  <c r="K113" i="18"/>
  <c r="L113" i="18"/>
  <c r="K114" i="18"/>
  <c r="L114" i="18" s="1"/>
  <c r="K115" i="18"/>
  <c r="L115" i="18"/>
  <c r="K116" i="18"/>
  <c r="L116" i="18" s="1"/>
  <c r="K117" i="18"/>
  <c r="L117" i="18" s="1"/>
  <c r="K118" i="18"/>
  <c r="L118" i="18" s="1"/>
  <c r="K119" i="18"/>
  <c r="L119" i="18"/>
  <c r="N119" i="18" s="1"/>
  <c r="K120" i="18"/>
  <c r="L120" i="18" s="1"/>
  <c r="K121" i="18"/>
  <c r="L121" i="18"/>
  <c r="K122" i="18"/>
  <c r="L122" i="18" s="1"/>
  <c r="K123" i="18"/>
  <c r="L123" i="18"/>
  <c r="K124" i="18"/>
  <c r="L124" i="18" s="1"/>
  <c r="N124" i="18" s="1"/>
  <c r="K125" i="18"/>
  <c r="L125" i="18" s="1"/>
  <c r="K126" i="18"/>
  <c r="L126" i="18" s="1"/>
  <c r="K127" i="18"/>
  <c r="L127" i="18" s="1"/>
  <c r="K128" i="18"/>
  <c r="L128" i="18" s="1"/>
  <c r="N128" i="18" s="1"/>
  <c r="K129" i="18"/>
  <c r="L129" i="18"/>
  <c r="N129" i="18" s="1"/>
  <c r="K130" i="18"/>
  <c r="L130" i="18" s="1"/>
  <c r="K131" i="18"/>
  <c r="L131" i="18" s="1"/>
  <c r="K132" i="18"/>
  <c r="L132" i="18" s="1"/>
  <c r="K133" i="18"/>
  <c r="L133" i="18" s="1"/>
  <c r="K134" i="18"/>
  <c r="L134" i="18" s="1"/>
  <c r="K135" i="18"/>
  <c r="L135" i="18" s="1"/>
  <c r="N135" i="18" s="1"/>
  <c r="K136" i="18"/>
  <c r="L136" i="18" s="1"/>
  <c r="K137" i="18"/>
  <c r="L137" i="18"/>
  <c r="K138" i="18"/>
  <c r="L138" i="18" s="1"/>
  <c r="K139" i="18"/>
  <c r="L139" i="18"/>
  <c r="K140" i="18"/>
  <c r="L140" i="18" s="1"/>
  <c r="K141" i="18"/>
  <c r="L141" i="18"/>
  <c r="K142" i="18"/>
  <c r="L142" i="18" s="1"/>
  <c r="K143" i="18"/>
  <c r="L143" i="18" s="1"/>
  <c r="N143" i="18" s="1"/>
  <c r="K144" i="18"/>
  <c r="L144" i="18" s="1"/>
  <c r="K145" i="18"/>
  <c r="L145" i="18"/>
  <c r="K146" i="18"/>
  <c r="L146" i="18" s="1"/>
  <c r="K147" i="18"/>
  <c r="L147" i="18"/>
  <c r="K148" i="18"/>
  <c r="L148" i="18" s="1"/>
  <c r="K149" i="18"/>
  <c r="L149" i="18"/>
  <c r="K150" i="18"/>
  <c r="L150" i="18" s="1"/>
  <c r="K151" i="18"/>
  <c r="L151" i="18" s="1"/>
  <c r="K152" i="18"/>
  <c r="L152" i="18" s="1"/>
  <c r="K153" i="18"/>
  <c r="L153" i="18"/>
  <c r="N153" i="18" s="1"/>
  <c r="K154" i="18"/>
  <c r="L154" i="18" s="1"/>
  <c r="K155" i="18"/>
  <c r="L155" i="18"/>
  <c r="N155" i="18" s="1"/>
  <c r="K156" i="18"/>
  <c r="L156" i="18" s="1"/>
  <c r="K157" i="18"/>
  <c r="L157" i="18"/>
  <c r="K158" i="18"/>
  <c r="L158" i="18" s="1"/>
  <c r="K159" i="18"/>
  <c r="L159" i="18" s="1"/>
  <c r="N159" i="18" s="1"/>
  <c r="K160" i="18"/>
  <c r="L160" i="18" s="1"/>
  <c r="N160" i="18" s="1"/>
  <c r="K161" i="18"/>
  <c r="L161" i="18"/>
  <c r="K162" i="18"/>
  <c r="L162" i="18" s="1"/>
  <c r="K163" i="18"/>
  <c r="L163" i="18"/>
  <c r="K164" i="18"/>
  <c r="L164" i="18" s="1"/>
  <c r="K165" i="18"/>
  <c r="L165" i="18"/>
  <c r="K166" i="18"/>
  <c r="L166" i="18" s="1"/>
  <c r="K167" i="18"/>
  <c r="L167" i="18" s="1"/>
  <c r="N167" i="18" s="1"/>
  <c r="K168" i="18"/>
  <c r="L168" i="18" s="1"/>
  <c r="K169" i="18"/>
  <c r="L169" i="18"/>
  <c r="K170" i="18"/>
  <c r="L170" i="18" s="1"/>
  <c r="K171" i="18"/>
  <c r="L171" i="18"/>
  <c r="N171" i="18" s="1"/>
  <c r="K172" i="18"/>
  <c r="L172" i="18" s="1"/>
  <c r="K173" i="18"/>
  <c r="L173" i="18"/>
  <c r="K174" i="18"/>
  <c r="L174" i="18" s="1"/>
  <c r="K175" i="18"/>
  <c r="L175" i="18" s="1"/>
  <c r="K176" i="18"/>
  <c r="L176" i="18" s="1"/>
  <c r="K177" i="18"/>
  <c r="L177" i="18"/>
  <c r="N177" i="18" s="1"/>
  <c r="K178" i="18"/>
  <c r="L178" i="18" s="1"/>
  <c r="K179" i="18"/>
  <c r="L179" i="18"/>
  <c r="N179" i="18" s="1"/>
  <c r="K180" i="18"/>
  <c r="L180" i="18" s="1"/>
  <c r="K181" i="18"/>
  <c r="L181" i="18"/>
  <c r="K182" i="18"/>
  <c r="L182" i="18" s="1"/>
  <c r="K183" i="18"/>
  <c r="L183" i="18" s="1"/>
  <c r="N183" i="18" s="1"/>
  <c r="K184" i="18"/>
  <c r="L184" i="18" s="1"/>
  <c r="K185" i="18"/>
  <c r="L185" i="18"/>
  <c r="K186" i="18"/>
  <c r="L186" i="18" s="1"/>
  <c r="K187" i="18"/>
  <c r="L187" i="18"/>
  <c r="K188" i="18"/>
  <c r="L188" i="18" s="1"/>
  <c r="K189" i="18"/>
  <c r="L189" i="18"/>
  <c r="N189" i="18" s="1"/>
  <c r="K190" i="18"/>
  <c r="L190" i="18" s="1"/>
  <c r="K191" i="18"/>
  <c r="L191" i="18" s="1"/>
  <c r="N191" i="18" s="1"/>
  <c r="K192" i="18"/>
  <c r="L192" i="18" s="1"/>
  <c r="K193" i="18"/>
  <c r="L193" i="18"/>
  <c r="K194" i="18"/>
  <c r="L194" i="18" s="1"/>
  <c r="K195" i="18"/>
  <c r="L195" i="18"/>
  <c r="N195" i="18" s="1"/>
  <c r="K196" i="18"/>
  <c r="L196" i="18" s="1"/>
  <c r="K197" i="18"/>
  <c r="L197" i="18"/>
  <c r="K198" i="18"/>
  <c r="L198" i="18" s="1"/>
  <c r="K199" i="18"/>
  <c r="L199" i="18" s="1"/>
  <c r="N199" i="18" s="1"/>
  <c r="K200" i="18"/>
  <c r="L200" i="18" s="1"/>
  <c r="K201" i="18"/>
  <c r="L201" i="18"/>
  <c r="N201" i="18" s="1"/>
  <c r="K202" i="18"/>
  <c r="L202" i="18" s="1"/>
  <c r="K203" i="18"/>
  <c r="L203" i="18"/>
  <c r="N203" i="18" s="1"/>
  <c r="K204" i="18"/>
  <c r="L204" i="18" s="1"/>
  <c r="K205" i="18"/>
  <c r="L205" i="18"/>
  <c r="K206" i="18"/>
  <c r="L206" i="18" s="1"/>
  <c r="K207" i="18"/>
  <c r="L207" i="18" s="1"/>
  <c r="N207" i="18" s="1"/>
  <c r="K208" i="18"/>
  <c r="L208" i="18" s="1"/>
  <c r="N208" i="18" s="1"/>
  <c r="K209" i="18"/>
  <c r="L209" i="18"/>
  <c r="K210" i="18"/>
  <c r="L210" i="18" s="1"/>
  <c r="K211" i="18"/>
  <c r="L211" i="18"/>
  <c r="K212" i="18"/>
  <c r="L212" i="18" s="1"/>
  <c r="K213" i="18"/>
  <c r="L213" i="18"/>
  <c r="K214" i="18"/>
  <c r="L214" i="18" s="1"/>
  <c r="N214" i="18" s="1"/>
  <c r="K215" i="18"/>
  <c r="L215" i="18" s="1"/>
  <c r="N215" i="18" s="1"/>
  <c r="K216" i="18"/>
  <c r="L216" i="18" s="1"/>
  <c r="K217" i="18"/>
  <c r="L217" i="18"/>
  <c r="K218" i="18"/>
  <c r="L218" i="18" s="1"/>
  <c r="K219" i="18"/>
  <c r="L219" i="18"/>
  <c r="K220" i="18"/>
  <c r="L220" i="18" s="1"/>
  <c r="K221" i="18"/>
  <c r="L221" i="18"/>
  <c r="K222" i="18"/>
  <c r="L222" i="18" s="1"/>
  <c r="K223" i="18"/>
  <c r="L223" i="18" s="1"/>
  <c r="K224" i="18"/>
  <c r="L224" i="18" s="1"/>
  <c r="K225" i="18"/>
  <c r="L225" i="18"/>
  <c r="N225" i="18" s="1"/>
  <c r="K226" i="18"/>
  <c r="L226" i="18" s="1"/>
  <c r="K227" i="18"/>
  <c r="L227" i="18"/>
  <c r="N227" i="18" s="1"/>
  <c r="K228" i="18"/>
  <c r="L228" i="18" s="1"/>
  <c r="K229" i="18"/>
  <c r="L229" i="18"/>
  <c r="K230" i="18"/>
  <c r="L230" i="18" s="1"/>
  <c r="K231" i="18"/>
  <c r="L231" i="18" s="1"/>
  <c r="N231" i="18" s="1"/>
  <c r="K232" i="18"/>
  <c r="L232" i="18" s="1"/>
  <c r="K233" i="18"/>
  <c r="L233" i="18"/>
  <c r="K234" i="18"/>
  <c r="L234" i="18" s="1"/>
  <c r="K235" i="18"/>
  <c r="L235" i="18"/>
  <c r="K236" i="18"/>
  <c r="L236" i="18" s="1"/>
  <c r="K237" i="18"/>
  <c r="L237" i="18"/>
  <c r="N237" i="18" s="1"/>
  <c r="K238" i="18"/>
  <c r="L238" i="18" s="1"/>
  <c r="K239" i="18"/>
  <c r="L239" i="18" s="1"/>
  <c r="N239" i="18" s="1"/>
  <c r="K240" i="18"/>
  <c r="L240" i="18" s="1"/>
  <c r="K241" i="18"/>
  <c r="L241" i="18"/>
  <c r="K242" i="18"/>
  <c r="L242" i="18" s="1"/>
  <c r="K243" i="18"/>
  <c r="L243" i="18"/>
  <c r="N243" i="18" s="1"/>
  <c r="K244" i="18"/>
  <c r="L244" i="18" s="1"/>
  <c r="K245" i="18"/>
  <c r="L245" i="18"/>
  <c r="K246" i="18"/>
  <c r="L246" i="18" s="1"/>
  <c r="K247" i="18"/>
  <c r="L247" i="18" s="1"/>
  <c r="K248" i="18"/>
  <c r="L248" i="18" s="1"/>
  <c r="K249" i="18"/>
  <c r="L249" i="18"/>
  <c r="N249" i="18" s="1"/>
  <c r="K250" i="18"/>
  <c r="L250" i="18" s="1"/>
  <c r="N250" i="18" s="1"/>
  <c r="K251" i="18"/>
  <c r="L251" i="18"/>
  <c r="N251" i="18" s="1"/>
  <c r="K252" i="18"/>
  <c r="L252" i="18" s="1"/>
  <c r="K253" i="18"/>
  <c r="L253" i="18"/>
  <c r="K254" i="18"/>
  <c r="L254" i="18" s="1"/>
  <c r="K255" i="18"/>
  <c r="L255" i="18" s="1"/>
  <c r="N255" i="18" s="1"/>
  <c r="K256" i="18"/>
  <c r="L256" i="18" s="1"/>
  <c r="N256" i="18" s="1"/>
  <c r="K257" i="18"/>
  <c r="L257" i="18"/>
  <c r="N257" i="18" s="1"/>
  <c r="K258" i="18"/>
  <c r="L258" i="18" s="1"/>
  <c r="K259" i="18"/>
  <c r="L259" i="18"/>
  <c r="K260" i="18"/>
  <c r="L260" i="18" s="1"/>
  <c r="K261" i="18"/>
  <c r="L261" i="18"/>
  <c r="K262" i="18"/>
  <c r="L262" i="18" s="1"/>
  <c r="K263" i="18"/>
  <c r="L263" i="18" s="1"/>
  <c r="N263" i="18" s="1"/>
  <c r="K264" i="18"/>
  <c r="L264" i="18" s="1"/>
  <c r="K265" i="18"/>
  <c r="L265" i="18"/>
  <c r="K266" i="18"/>
  <c r="L266" i="18" s="1"/>
  <c r="K267" i="18"/>
  <c r="L267" i="18"/>
  <c r="N267" i="18" s="1"/>
  <c r="K268" i="18"/>
  <c r="L268" i="18" s="1"/>
  <c r="K269" i="18"/>
  <c r="L269" i="18"/>
  <c r="K270" i="18"/>
  <c r="L270" i="18" s="1"/>
  <c r="K271" i="18"/>
  <c r="L271" i="18" s="1"/>
  <c r="K272" i="18"/>
  <c r="L272" i="18" s="1"/>
  <c r="K273" i="18"/>
  <c r="L273" i="18"/>
  <c r="N273" i="18" s="1"/>
  <c r="K274" i="18"/>
  <c r="L274" i="18" s="1"/>
  <c r="N274" i="18" s="1"/>
  <c r="K275" i="18"/>
  <c r="L275" i="18"/>
  <c r="K276" i="18"/>
  <c r="L276" i="18" s="1"/>
  <c r="K277" i="18"/>
  <c r="L277" i="18"/>
  <c r="K278" i="18"/>
  <c r="L278" i="18" s="1"/>
  <c r="K279" i="18"/>
  <c r="L279" i="18" s="1"/>
  <c r="N279" i="18" s="1"/>
  <c r="K280" i="18"/>
  <c r="L280" i="18" s="1"/>
  <c r="K281" i="18"/>
  <c r="L281" i="18"/>
  <c r="N281" i="18" s="1"/>
  <c r="K282" i="18"/>
  <c r="L282" i="18" s="1"/>
  <c r="K283" i="18"/>
  <c r="L283" i="18"/>
  <c r="K284" i="18"/>
  <c r="L284" i="18" s="1"/>
  <c r="K285" i="18"/>
  <c r="L285" i="18"/>
  <c r="K286" i="18"/>
  <c r="L286" i="18" s="1"/>
  <c r="K287" i="18"/>
  <c r="L287" i="18" s="1"/>
  <c r="N287" i="18" s="1"/>
  <c r="K288" i="18"/>
  <c r="L288" i="18" s="1"/>
  <c r="K289" i="18"/>
  <c r="L289" i="18"/>
  <c r="N289" i="18" s="1"/>
  <c r="K290" i="18"/>
  <c r="L290" i="18" s="1"/>
  <c r="K291" i="18"/>
  <c r="L291" i="18"/>
  <c r="N291" i="18" s="1"/>
  <c r="K292" i="18"/>
  <c r="L292" i="18" s="1"/>
  <c r="K293" i="18"/>
  <c r="L293" i="18"/>
  <c r="K294" i="18"/>
  <c r="L294" i="18" s="1"/>
  <c r="K295" i="18"/>
  <c r="L295" i="18" s="1"/>
  <c r="N295" i="18" s="1"/>
  <c r="K296" i="18"/>
  <c r="L296" i="18" s="1"/>
  <c r="K297" i="18"/>
  <c r="L297" i="18"/>
  <c r="N297" i="18" s="1"/>
  <c r="K298" i="18"/>
  <c r="L298" i="18" s="1"/>
  <c r="K299" i="18"/>
  <c r="L299" i="18"/>
  <c r="K300" i="18"/>
  <c r="L300" i="18" s="1"/>
  <c r="K301" i="18"/>
  <c r="L301" i="18" s="1"/>
  <c r="K302" i="18"/>
  <c r="L302" i="18" s="1"/>
  <c r="K303" i="18"/>
  <c r="L303" i="18" s="1"/>
  <c r="N303" i="18" s="1"/>
  <c r="K304" i="18"/>
  <c r="L304" i="18" s="1"/>
  <c r="N304" i="18" s="1"/>
  <c r="K305" i="18"/>
  <c r="L305" i="18" s="1"/>
  <c r="K306" i="18"/>
  <c r="L306" i="18" s="1"/>
  <c r="K307" i="18"/>
  <c r="L307" i="18" s="1"/>
  <c r="K308" i="18"/>
  <c r="L308" i="18" s="1"/>
  <c r="K309" i="18"/>
  <c r="L309" i="18" s="1"/>
  <c r="K310" i="18"/>
  <c r="L310" i="18" s="1"/>
  <c r="N310" i="18" s="1"/>
  <c r="K311" i="18"/>
  <c r="L311" i="18" s="1"/>
  <c r="K312" i="18"/>
  <c r="L312" i="18" s="1"/>
  <c r="K313" i="18"/>
  <c r="L313" i="18" s="1"/>
  <c r="K314" i="18"/>
  <c r="L314" i="18" s="1"/>
  <c r="K315" i="18"/>
  <c r="L315" i="18" s="1"/>
  <c r="K316" i="18"/>
  <c r="L316" i="18" s="1"/>
  <c r="N316" i="18" s="1"/>
  <c r="K317" i="18"/>
  <c r="L317" i="18" s="1"/>
  <c r="K318" i="18"/>
  <c r="L318" i="18" s="1"/>
  <c r="K319" i="18"/>
  <c r="L319" i="18" s="1"/>
  <c r="K320" i="18"/>
  <c r="L320" i="18" s="1"/>
  <c r="N320" i="18" s="1"/>
  <c r="K321" i="18"/>
  <c r="L321" i="18" s="1"/>
  <c r="K322" i="18"/>
  <c r="L322" i="18" s="1"/>
  <c r="K323" i="18"/>
  <c r="L323" i="18" s="1"/>
  <c r="N323" i="18" s="1"/>
  <c r="K324" i="18"/>
  <c r="L324" i="18" s="1"/>
  <c r="K325" i="18"/>
  <c r="L325" i="18" s="1"/>
  <c r="K326" i="18"/>
  <c r="L326" i="18" s="1"/>
  <c r="K327" i="18"/>
  <c r="L327" i="18" s="1"/>
  <c r="K328" i="18"/>
  <c r="L328" i="18" s="1"/>
  <c r="N328" i="18" s="1"/>
  <c r="K329" i="18"/>
  <c r="L329" i="18" s="1"/>
  <c r="K330" i="18"/>
  <c r="L330" i="18" s="1"/>
  <c r="K331" i="18"/>
  <c r="L331" i="18" s="1"/>
  <c r="K332" i="18"/>
  <c r="L332" i="18" s="1"/>
  <c r="K333" i="18"/>
  <c r="L333" i="18" s="1"/>
  <c r="N333" i="18" s="1"/>
  <c r="K334" i="18"/>
  <c r="L334" i="18" s="1"/>
  <c r="N334" i="18" s="1"/>
  <c r="K335" i="18"/>
  <c r="L335" i="18" s="1"/>
  <c r="N335" i="18" s="1"/>
  <c r="K336" i="18"/>
  <c r="L336" i="18" s="1"/>
  <c r="K337" i="18"/>
  <c r="L337" i="18" s="1"/>
  <c r="K338" i="18"/>
  <c r="L338" i="18" s="1"/>
  <c r="K339" i="18"/>
  <c r="L339" i="18" s="1"/>
  <c r="K340" i="18"/>
  <c r="L340" i="18" s="1"/>
  <c r="N340" i="18" s="1"/>
  <c r="K341" i="18"/>
  <c r="L341" i="18" s="1"/>
  <c r="K342" i="18"/>
  <c r="L342" i="18" s="1"/>
  <c r="K343" i="18"/>
  <c r="L343" i="18" s="1"/>
  <c r="K344" i="18"/>
  <c r="L344" i="18" s="1"/>
  <c r="N344" i="18" s="1"/>
  <c r="K345" i="18"/>
  <c r="L345" i="18" s="1"/>
  <c r="K346" i="18"/>
  <c r="L346" i="18" s="1"/>
  <c r="K347" i="18"/>
  <c r="L347" i="18" s="1"/>
  <c r="N347" i="18" s="1"/>
  <c r="K348" i="18"/>
  <c r="L348" i="18" s="1"/>
  <c r="K349" i="18"/>
  <c r="L349" i="18" s="1"/>
  <c r="K350" i="18"/>
  <c r="L350" i="18" s="1"/>
  <c r="K351" i="18"/>
  <c r="L351" i="18" s="1"/>
  <c r="K352" i="18"/>
  <c r="L352" i="18" s="1"/>
  <c r="N352" i="18" s="1"/>
  <c r="K353" i="18"/>
  <c r="L353" i="18" s="1"/>
  <c r="K354" i="18"/>
  <c r="L354" i="18" s="1"/>
  <c r="K355" i="18"/>
  <c r="L355" i="18" s="1"/>
  <c r="K356" i="18"/>
  <c r="L356" i="18" s="1"/>
  <c r="N356" i="18" s="1"/>
  <c r="K357" i="18"/>
  <c r="L357" i="18" s="1"/>
  <c r="K358" i="18"/>
  <c r="L358" i="18" s="1"/>
  <c r="K359" i="18"/>
  <c r="L359" i="18" s="1"/>
  <c r="K360" i="18"/>
  <c r="L360" i="18" s="1"/>
  <c r="K361" i="18"/>
  <c r="L361" i="18" s="1"/>
  <c r="K362" i="18"/>
  <c r="L362" i="18" s="1"/>
  <c r="K363" i="18"/>
  <c r="L363" i="18" s="1"/>
  <c r="N363" i="18" s="1"/>
  <c r="K364" i="18"/>
  <c r="L364" i="18" s="1"/>
  <c r="N364" i="18" s="1"/>
  <c r="K365" i="18"/>
  <c r="L365" i="18" s="1"/>
  <c r="K366" i="18"/>
  <c r="L366" i="18" s="1"/>
  <c r="K367" i="18"/>
  <c r="L367" i="18" s="1"/>
  <c r="K368" i="18"/>
  <c r="L368" i="18" s="1"/>
  <c r="N368" i="18" s="1"/>
  <c r="K369" i="18"/>
  <c r="L369" i="18" s="1"/>
  <c r="K370" i="18"/>
  <c r="L370" i="18" s="1"/>
  <c r="N370" i="18" s="1"/>
  <c r="K371" i="18"/>
  <c r="L371" i="18" s="1"/>
  <c r="K372" i="18"/>
  <c r="L372" i="18" s="1"/>
  <c r="K373" i="18"/>
  <c r="L373" i="18" s="1"/>
  <c r="N373" i="18" s="1"/>
  <c r="K374" i="18"/>
  <c r="L374" i="18" s="1"/>
  <c r="K375" i="18"/>
  <c r="L375" i="18"/>
  <c r="N375" i="18" s="1"/>
  <c r="K376" i="18"/>
  <c r="L376" i="18" s="1"/>
  <c r="K377" i="18"/>
  <c r="L377" i="18" s="1"/>
  <c r="K378" i="18"/>
  <c r="L378" i="18" s="1"/>
  <c r="K379" i="18"/>
  <c r="L379" i="18" s="1"/>
  <c r="K380" i="18"/>
  <c r="L380" i="18" s="1"/>
  <c r="K381" i="18"/>
  <c r="L381" i="18" s="1"/>
  <c r="N381" i="18" s="1"/>
  <c r="K382" i="18"/>
  <c r="L382" i="18" s="1"/>
  <c r="K383" i="18"/>
  <c r="L383" i="18" s="1"/>
  <c r="N383" i="18" s="1"/>
  <c r="K384" i="18"/>
  <c r="L384" i="18" s="1"/>
  <c r="K385" i="18"/>
  <c r="L385" i="18" s="1"/>
  <c r="N385" i="18" s="1"/>
  <c r="K386" i="18"/>
  <c r="L386" i="18" s="1"/>
  <c r="K387" i="18"/>
  <c r="L387" i="18" s="1"/>
  <c r="K388" i="18"/>
  <c r="L388" i="18" s="1"/>
  <c r="K389" i="18"/>
  <c r="L389" i="18" s="1"/>
  <c r="N389" i="18" s="1"/>
  <c r="K390" i="18"/>
  <c r="L390" i="18" s="1"/>
  <c r="K391" i="18"/>
  <c r="L391" i="18"/>
  <c r="K392" i="18"/>
  <c r="L392" i="18" s="1"/>
  <c r="K393" i="18"/>
  <c r="L393" i="18" s="1"/>
  <c r="N393" i="18" s="1"/>
  <c r="K394" i="18"/>
  <c r="L394" i="18" s="1"/>
  <c r="K395" i="18"/>
  <c r="L395" i="18"/>
  <c r="N395" i="18" s="1"/>
  <c r="K396" i="18"/>
  <c r="L396" i="18" s="1"/>
  <c r="K397" i="18"/>
  <c r="L397" i="18" s="1"/>
  <c r="K398" i="18"/>
  <c r="L398" i="18" s="1"/>
  <c r="K399" i="18"/>
  <c r="L399" i="18"/>
  <c r="N399" i="18" s="1"/>
  <c r="K400" i="18"/>
  <c r="L400" i="18" s="1"/>
  <c r="K401" i="18"/>
  <c r="L401" i="18" s="1"/>
  <c r="K402" i="18"/>
  <c r="L402" i="18" s="1"/>
  <c r="K403" i="18"/>
  <c r="L403" i="18" s="1"/>
  <c r="K404" i="18"/>
  <c r="L404" i="18" s="1"/>
  <c r="N404" i="18" s="1"/>
  <c r="K405" i="18"/>
  <c r="L405" i="18" s="1"/>
  <c r="N405" i="18" s="1"/>
  <c r="K406" i="18"/>
  <c r="L406" i="18" s="1"/>
  <c r="N406" i="18" s="1"/>
  <c r="K407" i="18"/>
  <c r="L407" i="18"/>
  <c r="K408" i="18"/>
  <c r="L408" i="18" s="1"/>
  <c r="K409" i="18"/>
  <c r="L409" i="18" s="1"/>
  <c r="N409" i="18" s="1"/>
  <c r="K410" i="18"/>
  <c r="L410" i="18" s="1"/>
  <c r="K411" i="18"/>
  <c r="L411" i="18"/>
  <c r="N411" i="18" s="1"/>
  <c r="K412" i="18"/>
  <c r="L412" i="18" s="1"/>
  <c r="N412" i="18" s="1"/>
  <c r="K413" i="18"/>
  <c r="L413" i="18" s="1"/>
  <c r="K414" i="18"/>
  <c r="L414" i="18" s="1"/>
  <c r="K415" i="18"/>
  <c r="L415" i="18"/>
  <c r="N415" i="18" s="1"/>
  <c r="K416" i="18"/>
  <c r="L416" i="18" s="1"/>
  <c r="K417" i="18"/>
  <c r="L417" i="18" s="1"/>
  <c r="N417" i="18" s="1"/>
  <c r="K418" i="18"/>
  <c r="L418" i="18" s="1"/>
  <c r="K419" i="18"/>
  <c r="L419" i="18" s="1"/>
  <c r="K420" i="18"/>
  <c r="L420" i="18" s="1"/>
  <c r="K421" i="18"/>
  <c r="L421" i="18" s="1"/>
  <c r="K422" i="18"/>
  <c r="L422" i="18" s="1"/>
  <c r="K423" i="18"/>
  <c r="L423" i="18" s="1"/>
  <c r="N423" i="18" s="1"/>
  <c r="K424" i="18"/>
  <c r="L424" i="18" s="1"/>
  <c r="K425" i="18"/>
  <c r="L425" i="18" s="1"/>
  <c r="N425" i="18" s="1"/>
  <c r="K426" i="18"/>
  <c r="L426" i="18" s="1"/>
  <c r="K427" i="18"/>
  <c r="L427" i="18"/>
  <c r="K428" i="18"/>
  <c r="L428" i="18" s="1"/>
  <c r="N428" i="18" s="1"/>
  <c r="K429" i="18"/>
  <c r="L429" i="18" s="1"/>
  <c r="N429" i="18" s="1"/>
  <c r="K430" i="18"/>
  <c r="L430" i="18" s="1"/>
  <c r="K431" i="18"/>
  <c r="L431" i="18" s="1"/>
  <c r="N431" i="18" s="1"/>
  <c r="K432" i="18"/>
  <c r="L432" i="18" s="1"/>
  <c r="K433" i="18"/>
  <c r="L433" i="18" s="1"/>
  <c r="K434" i="18"/>
  <c r="L434" i="18" s="1"/>
  <c r="K435" i="18"/>
  <c r="L435" i="18"/>
  <c r="N435" i="18" s="1"/>
  <c r="K436" i="18"/>
  <c r="L436" i="18" s="1"/>
  <c r="K437" i="18"/>
  <c r="L437" i="18" s="1"/>
  <c r="K438" i="18"/>
  <c r="L438" i="18" s="1"/>
  <c r="K439" i="18"/>
  <c r="L439" i="18"/>
  <c r="K440" i="18"/>
  <c r="L440" i="18" s="1"/>
  <c r="K441" i="18"/>
  <c r="L441" i="18" s="1"/>
  <c r="N441" i="18" s="1"/>
  <c r="K442" i="18"/>
  <c r="L442" i="18" s="1"/>
  <c r="N442" i="18" s="1"/>
  <c r="K443" i="18"/>
  <c r="L443" i="18"/>
  <c r="K444" i="18"/>
  <c r="L444" i="18" s="1"/>
  <c r="K445" i="18"/>
  <c r="L445" i="18" s="1"/>
  <c r="N445" i="18" s="1"/>
  <c r="K446" i="18"/>
  <c r="L446" i="18" s="1"/>
  <c r="K447" i="18"/>
  <c r="L447" i="18"/>
  <c r="K448" i="18"/>
  <c r="L448" i="18" s="1"/>
  <c r="K449" i="18"/>
  <c r="L449" i="18" s="1"/>
  <c r="K450" i="18"/>
  <c r="L450" i="18" s="1"/>
  <c r="K451" i="18"/>
  <c r="L451" i="18"/>
  <c r="K452" i="18"/>
  <c r="L452" i="18" s="1"/>
  <c r="K453" i="18"/>
  <c r="L453" i="18" s="1"/>
  <c r="N453" i="18" s="1"/>
  <c r="K454" i="18"/>
  <c r="L454" i="18" s="1"/>
  <c r="K455" i="18"/>
  <c r="L455" i="18" s="1"/>
  <c r="K456" i="18"/>
  <c r="L456" i="18" s="1"/>
  <c r="K457" i="18"/>
  <c r="L457" i="18" s="1"/>
  <c r="K458" i="18"/>
  <c r="L458" i="18" s="1"/>
  <c r="K459" i="18"/>
  <c r="L459" i="18"/>
  <c r="N459" i="18" s="1"/>
  <c r="K460" i="18"/>
  <c r="L460" i="18" s="1"/>
  <c r="N460" i="18" s="1"/>
  <c r="K461" i="18"/>
  <c r="L461" i="18" s="1"/>
  <c r="K462" i="18"/>
  <c r="L462" i="18" s="1"/>
  <c r="K463" i="18"/>
  <c r="L463" i="18"/>
  <c r="K464" i="18"/>
  <c r="L464" i="18" s="1"/>
  <c r="N464" i="18" s="1"/>
  <c r="K465" i="18"/>
  <c r="L465" i="18" s="1"/>
  <c r="N465" i="18" s="1"/>
  <c r="K466" i="18"/>
  <c r="L466" i="18" s="1"/>
  <c r="K467" i="18"/>
  <c r="L467" i="18" s="1"/>
  <c r="K468" i="18"/>
  <c r="L468" i="18" s="1"/>
  <c r="K469" i="18"/>
  <c r="L469" i="18" s="1"/>
  <c r="N469" i="18" s="1"/>
  <c r="K470" i="18"/>
  <c r="L470" i="18" s="1"/>
  <c r="K471" i="18"/>
  <c r="L471" i="18" s="1"/>
  <c r="N471" i="18" s="1"/>
  <c r="K472" i="18"/>
  <c r="L472" i="18" s="1"/>
  <c r="N472" i="18" s="1"/>
  <c r="K473" i="18"/>
  <c r="L473" i="18" s="1"/>
  <c r="K474" i="18"/>
  <c r="L474" i="18" s="1"/>
  <c r="K475" i="18"/>
  <c r="L475" i="18" s="1"/>
  <c r="K476" i="18"/>
  <c r="L476" i="18" s="1"/>
  <c r="N476" i="18" s="1"/>
  <c r="K477" i="18"/>
  <c r="L477" i="18" s="1"/>
  <c r="N477" i="18" s="1"/>
  <c r="K478" i="18"/>
  <c r="L478" i="18" s="1"/>
  <c r="K479" i="18"/>
  <c r="L479" i="18"/>
  <c r="N479" i="18" s="1"/>
  <c r="K480" i="18"/>
  <c r="L480" i="18" s="1"/>
  <c r="K481" i="18"/>
  <c r="L481" i="18" s="1"/>
  <c r="N481" i="18" s="1"/>
  <c r="K482" i="18"/>
  <c r="L482" i="18" s="1"/>
  <c r="K483" i="18"/>
  <c r="L483" i="18" s="1"/>
  <c r="K484" i="18"/>
  <c r="L484" i="18" s="1"/>
  <c r="N484" i="18" s="1"/>
  <c r="K485" i="18"/>
  <c r="L485" i="18" s="1"/>
  <c r="K486" i="18"/>
  <c r="L486" i="18" s="1"/>
  <c r="K487" i="18"/>
  <c r="L487" i="18"/>
  <c r="K488" i="18"/>
  <c r="L488" i="18" s="1"/>
  <c r="N488" i="18" s="1"/>
  <c r="K489" i="18"/>
  <c r="L489" i="18" s="1"/>
  <c r="N489" i="18" s="1"/>
  <c r="K490" i="18"/>
  <c r="L490" i="18" s="1"/>
  <c r="K491" i="18"/>
  <c r="L491" i="18"/>
  <c r="N491" i="18" s="1"/>
  <c r="K492" i="18"/>
  <c r="L492" i="18" s="1"/>
  <c r="K493" i="18"/>
  <c r="L493" i="18" s="1"/>
  <c r="K494" i="18"/>
  <c r="L494" i="18" s="1"/>
  <c r="K495" i="18"/>
  <c r="L495" i="18"/>
  <c r="N495" i="18" s="1"/>
  <c r="K496" i="18"/>
  <c r="L496" i="18" s="1"/>
  <c r="K497" i="18"/>
  <c r="L497" i="18" s="1"/>
  <c r="K498" i="18"/>
  <c r="L498" i="18" s="1"/>
  <c r="K499" i="18"/>
  <c r="L499" i="18"/>
  <c r="K500" i="18"/>
  <c r="L500" i="18" s="1"/>
  <c r="K501" i="18"/>
  <c r="L501" i="18" s="1"/>
  <c r="N501" i="18" s="1"/>
  <c r="K502" i="18"/>
  <c r="L502" i="18" s="1"/>
  <c r="K503" i="18"/>
  <c r="L503" i="18"/>
  <c r="K504" i="18"/>
  <c r="L504" i="18" s="1"/>
  <c r="K505" i="18"/>
  <c r="L505" i="18" s="1"/>
  <c r="N505" i="18" s="1"/>
  <c r="K506" i="18"/>
  <c r="L506" i="18" s="1"/>
  <c r="K507" i="18"/>
  <c r="L507" i="18"/>
  <c r="N507" i="18" s="1"/>
  <c r="K508" i="18"/>
  <c r="L508" i="18" s="1"/>
  <c r="K509" i="18"/>
  <c r="L509" i="18" s="1"/>
  <c r="N509" i="18" s="1"/>
  <c r="K510" i="18"/>
  <c r="L510" i="18" s="1"/>
  <c r="N510" i="18" s="1"/>
  <c r="K511" i="18"/>
  <c r="L511" i="18" s="1"/>
  <c r="K512" i="18"/>
  <c r="L512" i="18"/>
  <c r="M41" i="20"/>
  <c r="M36" i="20"/>
  <c r="M56" i="20"/>
  <c r="M45" i="20"/>
  <c r="M47" i="20"/>
  <c r="M49" i="20"/>
  <c r="M51" i="20"/>
  <c r="M53" i="20"/>
  <c r="M24" i="20"/>
  <c r="M20" i="20"/>
  <c r="M14" i="20"/>
  <c r="M12" i="20"/>
  <c r="M10" i="20"/>
  <c r="M8" i="20"/>
  <c r="L58" i="20"/>
  <c r="K34" i="20"/>
  <c r="M25" i="20"/>
  <c r="M19" i="20"/>
  <c r="M9" i="20"/>
  <c r="M7" i="20"/>
  <c r="M6" i="20"/>
  <c r="N305" i="18"/>
  <c r="N277" i="18"/>
  <c r="N229" i="18"/>
  <c r="N165" i="18"/>
  <c r="N133" i="18"/>
  <c r="N125" i="18"/>
  <c r="N113" i="18"/>
  <c r="N81" i="18"/>
  <c r="N53" i="18"/>
  <c r="N45" i="18"/>
  <c r="N29" i="18"/>
  <c r="N21" i="18"/>
  <c r="N13" i="18"/>
  <c r="N5" i="18"/>
  <c r="N357" i="18"/>
  <c r="N321" i="18"/>
  <c r="N309" i="18"/>
  <c r="N285" i="18"/>
  <c r="N261" i="18"/>
  <c r="N213" i="18"/>
  <c r="N205" i="18"/>
  <c r="N181" i="18"/>
  <c r="N173" i="18"/>
  <c r="N161" i="18"/>
  <c r="N149" i="18"/>
  <c r="N141" i="18"/>
  <c r="N117" i="18"/>
  <c r="N49" i="18"/>
  <c r="N345" i="18"/>
  <c r="N329" i="18"/>
  <c r="N185" i="18"/>
  <c r="N121" i="18"/>
  <c r="N105" i="18"/>
  <c r="N89" i="18"/>
  <c r="N25" i="18"/>
  <c r="N9" i="18"/>
  <c r="N424" i="18"/>
  <c r="N420" i="18"/>
  <c r="N416" i="18"/>
  <c r="N400" i="18"/>
  <c r="N392" i="18"/>
  <c r="N388" i="18"/>
  <c r="N384" i="18"/>
  <c r="N380" i="18"/>
  <c r="N376" i="18"/>
  <c r="N360" i="18"/>
  <c r="N336" i="18"/>
  <c r="N332" i="18"/>
  <c r="N324" i="18"/>
  <c r="N308" i="18"/>
  <c r="N296" i="18"/>
  <c r="N292" i="18"/>
  <c r="N284" i="18"/>
  <c r="N280" i="18"/>
  <c r="N276" i="18"/>
  <c r="N272" i="18"/>
  <c r="N268" i="18"/>
  <c r="N264" i="18"/>
  <c r="N260" i="18"/>
  <c r="N248" i="18"/>
  <c r="N244" i="18"/>
  <c r="N240" i="18"/>
  <c r="N236" i="18"/>
  <c r="N232" i="18"/>
  <c r="N224" i="18"/>
  <c r="N220" i="18"/>
  <c r="N216" i="18"/>
  <c r="N212" i="18"/>
  <c r="N200" i="18"/>
  <c r="N196" i="18"/>
  <c r="N192" i="18"/>
  <c r="N188" i="18"/>
  <c r="N184" i="18"/>
  <c r="N176" i="18"/>
  <c r="N172" i="18"/>
  <c r="N168" i="18"/>
  <c r="N164" i="18"/>
  <c r="N152" i="18"/>
  <c r="N148" i="18"/>
  <c r="N144" i="18"/>
  <c r="N140" i="18"/>
  <c r="N136" i="18"/>
  <c r="N132" i="18"/>
  <c r="N120" i="18"/>
  <c r="N116" i="18"/>
  <c r="N100" i="18"/>
  <c r="N96" i="18"/>
  <c r="N92" i="18"/>
  <c r="N88" i="18"/>
  <c r="N80" i="18"/>
  <c r="N76" i="18"/>
  <c r="N56" i="18"/>
  <c r="N52" i="18"/>
  <c r="N44" i="18"/>
  <c r="N36" i="18"/>
  <c r="N32" i="18"/>
  <c r="N28" i="18"/>
  <c r="N24" i="18"/>
  <c r="N20" i="18"/>
  <c r="N8" i="18"/>
  <c r="N503" i="18"/>
  <c r="N483" i="18"/>
  <c r="N467" i="18"/>
  <c r="N463" i="18"/>
  <c r="N455" i="18"/>
  <c r="N447" i="18"/>
  <c r="N443" i="18"/>
  <c r="N419" i="18"/>
  <c r="N407" i="18"/>
  <c r="N387" i="18"/>
  <c r="N371" i="18"/>
  <c r="N359" i="18"/>
  <c r="N351" i="18"/>
  <c r="N339" i="18"/>
  <c r="N327" i="18"/>
  <c r="N315" i="18"/>
  <c r="N311" i="18"/>
  <c r="N299" i="18"/>
  <c r="N275" i="18"/>
  <c r="N219" i="18"/>
  <c r="N211" i="18"/>
  <c r="N163" i="18"/>
  <c r="N147" i="18"/>
  <c r="N131" i="18"/>
  <c r="N127" i="18"/>
  <c r="N123" i="18"/>
  <c r="N107" i="18"/>
  <c r="N99" i="18"/>
  <c r="N87" i="18"/>
  <c r="N83" i="18"/>
  <c r="N71" i="18"/>
  <c r="N63" i="18"/>
  <c r="N51" i="18"/>
  <c r="N39" i="18"/>
  <c r="N35" i="18"/>
  <c r="N31" i="18"/>
  <c r="N27" i="18"/>
  <c r="N23" i="18"/>
  <c r="N11" i="18"/>
  <c r="N496" i="18"/>
  <c r="N452" i="18"/>
  <c r="N440" i="18"/>
  <c r="N512" i="18"/>
  <c r="N508" i="18"/>
  <c r="N500" i="18"/>
  <c r="N456" i="18"/>
  <c r="N448" i="18"/>
  <c r="N436" i="18"/>
  <c r="N432" i="18"/>
  <c r="N506" i="18"/>
  <c r="N502" i="18"/>
  <c r="N490" i="18"/>
  <c r="N478" i="18"/>
  <c r="N474" i="18"/>
  <c r="N466" i="18"/>
  <c r="N458" i="18"/>
  <c r="N454" i="18"/>
  <c r="N434" i="18"/>
  <c r="N430" i="18"/>
  <c r="N418" i="18"/>
  <c r="N414" i="18"/>
  <c r="N410" i="18"/>
  <c r="N394" i="18"/>
  <c r="N382" i="18"/>
  <c r="N378" i="18"/>
  <c r="N358" i="18"/>
  <c r="N346" i="18"/>
  <c r="N342" i="18"/>
  <c r="N330" i="18"/>
  <c r="N326" i="18"/>
  <c r="N322" i="18"/>
  <c r="N298" i="18"/>
  <c r="N290" i="18"/>
  <c r="N286" i="18"/>
  <c r="N270" i="18"/>
  <c r="N266" i="18"/>
  <c r="N262" i="18"/>
  <c r="N246" i="18"/>
  <c r="N242" i="18"/>
  <c r="N238" i="18"/>
  <c r="N226" i="18"/>
  <c r="N222" i="18"/>
  <c r="N202" i="18"/>
  <c r="N190" i="18"/>
  <c r="N186" i="18"/>
  <c r="N182" i="18"/>
  <c r="N178" i="18"/>
  <c r="N170" i="18"/>
  <c r="N166" i="18"/>
  <c r="N154" i="18"/>
  <c r="N142" i="18"/>
  <c r="N130" i="18"/>
  <c r="N126" i="18"/>
  <c r="N118" i="18"/>
  <c r="N106" i="18"/>
  <c r="N102" i="18"/>
  <c r="N98" i="18"/>
  <c r="N94" i="18"/>
  <c r="N82" i="18"/>
  <c r="N78" i="18"/>
  <c r="N70" i="18"/>
  <c r="N58" i="18"/>
  <c r="N54" i="18"/>
  <c r="N46" i="18"/>
  <c r="N38" i="18"/>
  <c r="N34" i="18"/>
  <c r="N22" i="18"/>
  <c r="N10" i="18"/>
  <c r="N6" i="18"/>
  <c r="N2" i="18"/>
  <c r="F30" i="17"/>
  <c r="F29" i="17"/>
  <c r="F28" i="17"/>
  <c r="F27" i="17"/>
  <c r="F26" i="17"/>
  <c r="F25" i="17"/>
  <c r="F24" i="17"/>
  <c r="F23" i="17"/>
  <c r="F22" i="17"/>
  <c r="F21" i="17"/>
  <c r="F20" i="17"/>
  <c r="F19" i="17"/>
  <c r="F18" i="17"/>
  <c r="F17" i="17"/>
  <c r="F16" i="17"/>
  <c r="F15" i="17"/>
  <c r="F14" i="17"/>
  <c r="F13" i="17"/>
  <c r="F12" i="17"/>
  <c r="F11" i="17"/>
  <c r="F7" i="17"/>
  <c r="F6" i="17"/>
  <c r="F4" i="17"/>
  <c r="O8" i="2"/>
  <c r="O9" i="2"/>
  <c r="B310" i="1" s="1"/>
  <c r="O10" i="2"/>
  <c r="P10" i="2" s="1"/>
  <c r="O11" i="2"/>
  <c r="B312" i="1" s="1"/>
  <c r="M8" i="2"/>
  <c r="A309" i="1" s="1"/>
  <c r="A310" i="1"/>
  <c r="A311" i="1"/>
  <c r="A312" i="1"/>
  <c r="B293" i="1"/>
  <c r="B294" i="1"/>
  <c r="B295" i="1"/>
  <c r="B296" i="1"/>
  <c r="B297" i="1"/>
  <c r="B298" i="1"/>
  <c r="B299" i="1"/>
  <c r="B300" i="1"/>
  <c r="B301" i="1"/>
  <c r="B302" i="1"/>
  <c r="A295" i="1"/>
  <c r="A296" i="1"/>
  <c r="A297" i="1"/>
  <c r="A298" i="1"/>
  <c r="A299" i="1"/>
  <c r="A300" i="1"/>
  <c r="A301" i="1"/>
  <c r="A302" i="1"/>
  <c r="A293" i="1"/>
  <c r="A294" i="1"/>
  <c r="B277" i="1"/>
  <c r="B279" i="1"/>
  <c r="B280" i="1"/>
  <c r="B281" i="1"/>
  <c r="B282" i="1"/>
  <c r="B283" i="1"/>
  <c r="B284" i="1"/>
  <c r="B286" i="1"/>
  <c r="A286" i="1"/>
  <c r="V55" i="2"/>
  <c r="X55" i="2" s="1"/>
  <c r="N55" i="2"/>
  <c r="F55" i="2"/>
  <c r="H55" i="2" s="1"/>
  <c r="V40" i="2"/>
  <c r="N40" i="2"/>
  <c r="F40" i="2"/>
  <c r="H40" i="2" s="1"/>
  <c r="F25" i="2"/>
  <c r="H25" i="2" s="1"/>
  <c r="N25" i="2"/>
  <c r="P25" i="2" s="1"/>
  <c r="V25" i="2"/>
  <c r="X25" i="2" s="1"/>
  <c r="V26" i="2"/>
  <c r="X26" i="2" s="1"/>
  <c r="N26" i="2"/>
  <c r="F26" i="2"/>
  <c r="H26" i="2" s="1"/>
  <c r="L8" i="2"/>
  <c r="X8" i="2"/>
  <c r="H8" i="2"/>
  <c r="D14" i="12"/>
  <c r="D13" i="12"/>
  <c r="D12" i="12"/>
  <c r="D266" i="1"/>
  <c r="D267" i="1"/>
  <c r="D268" i="1"/>
  <c r="D269" i="1"/>
  <c r="D270" i="1"/>
  <c r="D271" i="1"/>
  <c r="D272" i="1"/>
  <c r="D273" i="1"/>
  <c r="D265" i="1"/>
  <c r="G190" i="1"/>
  <c r="D351" i="6" s="1"/>
  <c r="G351" i="6" s="1"/>
  <c r="G191" i="1"/>
  <c r="D352" i="6" s="1"/>
  <c r="F352" i="6" s="1"/>
  <c r="G192" i="1"/>
  <c r="D353" i="6" s="1"/>
  <c r="C353" i="6" s="1"/>
  <c r="G193" i="1"/>
  <c r="D354" i="6" s="1"/>
  <c r="A354" i="6" s="1"/>
  <c r="A313" i="1"/>
  <c r="A314" i="1"/>
  <c r="A315" i="1"/>
  <c r="A316" i="1"/>
  <c r="A317" i="1"/>
  <c r="A318" i="1"/>
  <c r="A319" i="1"/>
  <c r="A320" i="1"/>
  <c r="A321" i="1"/>
  <c r="A308" i="1"/>
  <c r="B292" i="1"/>
  <c r="A303" i="1"/>
  <c r="A304" i="1"/>
  <c r="A305" i="1"/>
  <c r="A292" i="1"/>
  <c r="B276" i="1"/>
  <c r="A289" i="1"/>
  <c r="A287" i="1"/>
  <c r="A288" i="1"/>
  <c r="T22" i="2"/>
  <c r="L22" i="2"/>
  <c r="V54" i="2"/>
  <c r="V56" i="2"/>
  <c r="X56" i="2" s="1"/>
  <c r="V57" i="2"/>
  <c r="X57" i="2" s="1"/>
  <c r="V58" i="2"/>
  <c r="X58" i="2" s="1"/>
  <c r="V59" i="2"/>
  <c r="X59" i="2" s="1"/>
  <c r="V60" i="2"/>
  <c r="X60" i="2" s="1"/>
  <c r="V61" i="2"/>
  <c r="X61" i="2" s="1"/>
  <c r="V62" i="2"/>
  <c r="X62" i="2" s="1"/>
  <c r="V63" i="2"/>
  <c r="X63" i="2" s="1"/>
  <c r="V64" i="2"/>
  <c r="X64" i="2" s="1"/>
  <c r="N54" i="2"/>
  <c r="P54" i="2" s="1"/>
  <c r="N56" i="2"/>
  <c r="N57" i="2"/>
  <c r="N58" i="2"/>
  <c r="N59" i="2"/>
  <c r="N60" i="2"/>
  <c r="N61" i="2"/>
  <c r="N62" i="2"/>
  <c r="N63" i="2"/>
  <c r="N64" i="2"/>
  <c r="F54" i="2"/>
  <c r="H54" i="2" s="1"/>
  <c r="F56" i="2"/>
  <c r="H56" i="2" s="1"/>
  <c r="F57" i="2"/>
  <c r="H57" i="2" s="1"/>
  <c r="F58" i="2"/>
  <c r="H58" i="2" s="1"/>
  <c r="F59" i="2"/>
  <c r="H59" i="2" s="1"/>
  <c r="F60" i="2"/>
  <c r="H60" i="2" s="1"/>
  <c r="F61" i="2"/>
  <c r="H61" i="2" s="1"/>
  <c r="F62" i="2"/>
  <c r="H62" i="2" s="1"/>
  <c r="F63" i="2"/>
  <c r="H63" i="2" s="1"/>
  <c r="F64" i="2"/>
  <c r="H64" i="2" s="1"/>
  <c r="V39" i="2"/>
  <c r="X39" i="2" s="1"/>
  <c r="V41" i="2"/>
  <c r="X41" i="2" s="1"/>
  <c r="V42" i="2"/>
  <c r="X42" i="2" s="1"/>
  <c r="V43" i="2"/>
  <c r="X43" i="2" s="1"/>
  <c r="V44" i="2"/>
  <c r="X44" i="2"/>
  <c r="V45" i="2"/>
  <c r="X45" i="2" s="1"/>
  <c r="V46" i="2"/>
  <c r="X46" i="2" s="1"/>
  <c r="V47" i="2"/>
  <c r="X47" i="2"/>
  <c r="V48" i="2"/>
  <c r="X48" i="2" s="1"/>
  <c r="V49" i="2"/>
  <c r="X49" i="2" s="1"/>
  <c r="N39" i="2"/>
  <c r="P39" i="2" s="1"/>
  <c r="N41" i="2"/>
  <c r="N42" i="2"/>
  <c r="N43" i="2"/>
  <c r="N44" i="2"/>
  <c r="N45" i="2"/>
  <c r="N46" i="2"/>
  <c r="N47" i="2"/>
  <c r="N48" i="2"/>
  <c r="N49" i="2"/>
  <c r="F39" i="2"/>
  <c r="H39" i="2" s="1"/>
  <c r="F41" i="2"/>
  <c r="H41" i="2"/>
  <c r="F42" i="2"/>
  <c r="H42" i="2" s="1"/>
  <c r="F43" i="2"/>
  <c r="H43" i="2" s="1"/>
  <c r="F44" i="2"/>
  <c r="H44" i="2" s="1"/>
  <c r="F45" i="2"/>
  <c r="H45" i="2" s="1"/>
  <c r="F46" i="2"/>
  <c r="H46" i="2" s="1"/>
  <c r="F47" i="2"/>
  <c r="H47" i="2" s="1"/>
  <c r="F48" i="2"/>
  <c r="H48" i="2" s="1"/>
  <c r="F49" i="2"/>
  <c r="H49" i="2" s="1"/>
  <c r="V27" i="2"/>
  <c r="X27" i="2" s="1"/>
  <c r="V28" i="2"/>
  <c r="X28" i="2" s="1"/>
  <c r="V30" i="2"/>
  <c r="X30" i="2" s="1"/>
  <c r="V31" i="2"/>
  <c r="X31" i="2" s="1"/>
  <c r="V32" i="2"/>
  <c r="X32" i="2" s="1"/>
  <c r="V33" i="2"/>
  <c r="X33" i="2" s="1"/>
  <c r="V34" i="2"/>
  <c r="X34" i="2" s="1"/>
  <c r="V35" i="2"/>
  <c r="X35" i="2" s="1"/>
  <c r="N27" i="2"/>
  <c r="N28" i="2"/>
  <c r="N29" i="2"/>
  <c r="N30" i="2"/>
  <c r="N31" i="2"/>
  <c r="N32" i="2"/>
  <c r="N33" i="2"/>
  <c r="N34" i="2"/>
  <c r="N35" i="2"/>
  <c r="F27" i="2"/>
  <c r="H27" i="2" s="1"/>
  <c r="F28" i="2"/>
  <c r="H28" i="2" s="1"/>
  <c r="F29" i="2"/>
  <c r="H29" i="2" s="1"/>
  <c r="F30" i="2"/>
  <c r="H30" i="2" s="1"/>
  <c r="F31" i="2"/>
  <c r="H31" i="2" s="1"/>
  <c r="F32" i="2"/>
  <c r="H32" i="2" s="1"/>
  <c r="F33" i="2"/>
  <c r="H33" i="2" s="1"/>
  <c r="F34" i="2"/>
  <c r="H34" i="2" s="1"/>
  <c r="F35" i="2"/>
  <c r="H35" i="2" s="1"/>
  <c r="P44" i="2"/>
  <c r="P42" i="2"/>
  <c r="P27" i="2"/>
  <c r="V178" i="1"/>
  <c r="W178" i="1" s="1"/>
  <c r="X178" i="1" s="1"/>
  <c r="V179" i="1"/>
  <c r="W179" i="1" s="1"/>
  <c r="X179" i="1" s="1"/>
  <c r="V180" i="1"/>
  <c r="W180" i="1" s="1"/>
  <c r="X180" i="1" s="1"/>
  <c r="V181" i="1"/>
  <c r="V182" i="1"/>
  <c r="V183" i="1"/>
  <c r="W183" i="1" s="1"/>
  <c r="X183" i="1" s="1"/>
  <c r="V184" i="1"/>
  <c r="V185" i="1"/>
  <c r="V21" i="1"/>
  <c r="W21" i="1" s="1"/>
  <c r="X21" i="1" s="1"/>
  <c r="G194" i="1"/>
  <c r="D355" i="6" s="1"/>
  <c r="E355" i="6" s="1"/>
  <c r="G195" i="1"/>
  <c r="D356" i="6" s="1"/>
  <c r="G196" i="1"/>
  <c r="G197" i="1"/>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D623" i="6"/>
  <c r="C623" i="6" s="1"/>
  <c r="D619" i="6"/>
  <c r="A619" i="6" s="1"/>
  <c r="D612" i="6"/>
  <c r="A612" i="6" s="1"/>
  <c r="D611" i="6"/>
  <c r="D609" i="6"/>
  <c r="D608" i="6"/>
  <c r="D606" i="6"/>
  <c r="A606" i="6" s="1"/>
  <c r="D605" i="6"/>
  <c r="D604" i="6"/>
  <c r="A604" i="6" s="1"/>
  <c r="C251" i="6"/>
  <c r="D596" i="6"/>
  <c r="D595" i="6"/>
  <c r="C595" i="6" s="1"/>
  <c r="D593" i="6"/>
  <c r="D584" i="6"/>
  <c r="AA134" i="1"/>
  <c r="AB134" i="1" s="1"/>
  <c r="V134" i="1"/>
  <c r="W134" i="1" s="1"/>
  <c r="X134" i="1" s="1"/>
  <c r="AA133" i="1"/>
  <c r="AB133" i="1" s="1"/>
  <c r="V133" i="1"/>
  <c r="W133" i="1" s="1"/>
  <c r="X133" i="1" s="1"/>
  <c r="AA132" i="1"/>
  <c r="AB132" i="1" s="1"/>
  <c r="V132" i="1"/>
  <c r="W132" i="1" s="1"/>
  <c r="X132" i="1" s="1"/>
  <c r="AA131" i="1"/>
  <c r="AB131" i="1" s="1"/>
  <c r="V131" i="1"/>
  <c r="W131" i="1" s="1"/>
  <c r="X131" i="1" s="1"/>
  <c r="AA130" i="1"/>
  <c r="AB130" i="1" s="1"/>
  <c r="V130" i="1"/>
  <c r="W130" i="1" s="1"/>
  <c r="X130" i="1" s="1"/>
  <c r="AA129" i="1"/>
  <c r="AB129" i="1" s="1"/>
  <c r="V129" i="1"/>
  <c r="AA128" i="1"/>
  <c r="AB128" i="1" s="1"/>
  <c r="V128" i="1"/>
  <c r="W128" i="1" s="1"/>
  <c r="X128" i="1" s="1"/>
  <c r="AA127" i="1"/>
  <c r="AB127" i="1" s="1"/>
  <c r="V127" i="1"/>
  <c r="AA146" i="1"/>
  <c r="AB146" i="1" s="1"/>
  <c r="V146" i="1"/>
  <c r="AA145" i="1"/>
  <c r="AB145" i="1" s="1"/>
  <c r="V145" i="1"/>
  <c r="W145" i="1" s="1"/>
  <c r="X145" i="1" s="1"/>
  <c r="AA144" i="1"/>
  <c r="AB144" i="1" s="1"/>
  <c r="V144" i="1"/>
  <c r="W144" i="1" s="1"/>
  <c r="X144" i="1" s="1"/>
  <c r="AA143" i="1"/>
  <c r="AB143" i="1" s="1"/>
  <c r="V143" i="1"/>
  <c r="W143" i="1" s="1"/>
  <c r="X143" i="1" s="1"/>
  <c r="AA142" i="1"/>
  <c r="AB142" i="1" s="1"/>
  <c r="V142" i="1"/>
  <c r="W142" i="1" s="1"/>
  <c r="X142" i="1" s="1"/>
  <c r="AA141" i="1"/>
  <c r="AB141" i="1" s="1"/>
  <c r="V141" i="1"/>
  <c r="W141" i="1" s="1"/>
  <c r="X141" i="1" s="1"/>
  <c r="AA140" i="1"/>
  <c r="AB140" i="1" s="1"/>
  <c r="V140" i="1"/>
  <c r="W140" i="1" s="1"/>
  <c r="X140" i="1" s="1"/>
  <c r="AA139" i="1"/>
  <c r="AB139" i="1" s="1"/>
  <c r="V139" i="1"/>
  <c r="W139" i="1"/>
  <c r="X139" i="1" s="1"/>
  <c r="AA138" i="1"/>
  <c r="AB138" i="1" s="1"/>
  <c r="V138" i="1"/>
  <c r="AA137" i="1"/>
  <c r="AB137" i="1" s="1"/>
  <c r="V137" i="1"/>
  <c r="W137" i="1" s="1"/>
  <c r="X137" i="1" s="1"/>
  <c r="AA136" i="1"/>
  <c r="AB136" i="1" s="1"/>
  <c r="V136" i="1"/>
  <c r="W136" i="1" s="1"/>
  <c r="X136" i="1" s="1"/>
  <c r="AA135" i="1"/>
  <c r="AB135" i="1" s="1"/>
  <c r="V135" i="1"/>
  <c r="W135" i="1" s="1"/>
  <c r="AA126" i="1"/>
  <c r="AB126" i="1" s="1"/>
  <c r="V126" i="1"/>
  <c r="W126" i="1" s="1"/>
  <c r="X126" i="1" s="1"/>
  <c r="AA125" i="1"/>
  <c r="AB125" i="1" s="1"/>
  <c r="V125" i="1"/>
  <c r="W125" i="1" s="1"/>
  <c r="X125" i="1" s="1"/>
  <c r="AA159" i="1"/>
  <c r="AB159" i="1" s="1"/>
  <c r="V159" i="1"/>
  <c r="W159" i="1" s="1"/>
  <c r="X159" i="1" s="1"/>
  <c r="AA158" i="1"/>
  <c r="AB158" i="1" s="1"/>
  <c r="V158" i="1"/>
  <c r="W158" i="1" s="1"/>
  <c r="X158" i="1" s="1"/>
  <c r="AA157" i="1"/>
  <c r="AB157" i="1" s="1"/>
  <c r="V157" i="1"/>
  <c r="W157" i="1" s="1"/>
  <c r="X157" i="1" s="1"/>
  <c r="AA156" i="1"/>
  <c r="AB156" i="1" s="1"/>
  <c r="V156" i="1"/>
  <c r="W156" i="1" s="1"/>
  <c r="X156" i="1" s="1"/>
  <c r="AA155" i="1"/>
  <c r="AB155" i="1" s="1"/>
  <c r="V155" i="1"/>
  <c r="W155" i="1" s="1"/>
  <c r="X155" i="1" s="1"/>
  <c r="AA154" i="1"/>
  <c r="AB154" i="1" s="1"/>
  <c r="V154" i="1"/>
  <c r="W154" i="1" s="1"/>
  <c r="X154" i="1" s="1"/>
  <c r="AA153" i="1"/>
  <c r="AB153" i="1" s="1"/>
  <c r="V153" i="1"/>
  <c r="W153" i="1" s="1"/>
  <c r="X153" i="1" s="1"/>
  <c r="AA152" i="1"/>
  <c r="AB152" i="1" s="1"/>
  <c r="V152" i="1"/>
  <c r="W152" i="1" s="1"/>
  <c r="X152" i="1" s="1"/>
  <c r="AA151" i="1"/>
  <c r="AB151" i="1" s="1"/>
  <c r="V151" i="1"/>
  <c r="W151" i="1"/>
  <c r="X151" i="1" s="1"/>
  <c r="AA150" i="1"/>
  <c r="AB150" i="1" s="1"/>
  <c r="V150" i="1"/>
  <c r="W150" i="1" s="1"/>
  <c r="AA149" i="1"/>
  <c r="AB149" i="1" s="1"/>
  <c r="V149" i="1"/>
  <c r="W149" i="1" s="1"/>
  <c r="X149" i="1" s="1"/>
  <c r="AA148" i="1"/>
  <c r="AB148" i="1" s="1"/>
  <c r="V148" i="1"/>
  <c r="W148" i="1" s="1"/>
  <c r="X148" i="1" s="1"/>
  <c r="AA147" i="1"/>
  <c r="AB147" i="1" s="1"/>
  <c r="V147" i="1"/>
  <c r="W147" i="1" s="1"/>
  <c r="X147" i="1" s="1"/>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D526" i="6"/>
  <c r="C526" i="6" s="1"/>
  <c r="D521" i="6"/>
  <c r="D520" i="6"/>
  <c r="D519" i="6"/>
  <c r="D518" i="6"/>
  <c r="A518" i="6" s="1"/>
  <c r="D515" i="6"/>
  <c r="A515" i="6" s="1"/>
  <c r="D511" i="6"/>
  <c r="A511" i="6" s="1"/>
  <c r="D510" i="6"/>
  <c r="C510" i="6" s="1"/>
  <c r="D509" i="6"/>
  <c r="A509" i="6" s="1"/>
  <c r="D508" i="6"/>
  <c r="C508" i="6" s="1"/>
  <c r="D507" i="6"/>
  <c r="C507" i="6" s="1"/>
  <c r="A507" i="6"/>
  <c r="D498" i="6"/>
  <c r="E151" i="6"/>
  <c r="D494" i="6"/>
  <c r="D493" i="6"/>
  <c r="A493" i="6" s="1"/>
  <c r="D490" i="6"/>
  <c r="D489" i="6"/>
  <c r="A489" i="6" s="1"/>
  <c r="D488" i="6"/>
  <c r="A488" i="6" s="1"/>
  <c r="D487" i="6"/>
  <c r="D139" i="6"/>
  <c r="E139" i="6" s="1"/>
  <c r="D484" i="6"/>
  <c r="A484" i="6" s="1"/>
  <c r="D483" i="6"/>
  <c r="A483" i="6" s="1"/>
  <c r="D479" i="6"/>
  <c r="A479" i="6" s="1"/>
  <c r="AA98" i="1"/>
  <c r="AB98" i="1" s="1"/>
  <c r="V98" i="1"/>
  <c r="W98" i="1" s="1"/>
  <c r="X98" i="1" s="1"/>
  <c r="AA97" i="1"/>
  <c r="AB97" i="1" s="1"/>
  <c r="V97" i="1"/>
  <c r="AA96" i="1"/>
  <c r="AB96" i="1" s="1"/>
  <c r="V96" i="1"/>
  <c r="W96" i="1" s="1"/>
  <c r="X96" i="1" s="1"/>
  <c r="AA95" i="1"/>
  <c r="AB95" i="1" s="1"/>
  <c r="V95" i="1"/>
  <c r="AA94" i="1"/>
  <c r="AB94" i="1" s="1"/>
  <c r="V94" i="1"/>
  <c r="W94" i="1" s="1"/>
  <c r="X94" i="1" s="1"/>
  <c r="AA93" i="1"/>
  <c r="AB93" i="1" s="1"/>
  <c r="V93" i="1"/>
  <c r="W93" i="1" s="1"/>
  <c r="X93" i="1" s="1"/>
  <c r="AA88" i="1"/>
  <c r="AB88" i="1" s="1"/>
  <c r="V88" i="1"/>
  <c r="AA87" i="1"/>
  <c r="AB87" i="1" s="1"/>
  <c r="V87" i="1"/>
  <c r="AA86" i="1"/>
  <c r="AB86" i="1" s="1"/>
  <c r="V86" i="1"/>
  <c r="AA85" i="1"/>
  <c r="AB85" i="1" s="1"/>
  <c r="V85" i="1"/>
  <c r="W85" i="1" s="1"/>
  <c r="X85" i="1" s="1"/>
  <c r="AA84" i="1"/>
  <c r="AB84" i="1" s="1"/>
  <c r="V84" i="1"/>
  <c r="W84" i="1" s="1"/>
  <c r="X84" i="1" s="1"/>
  <c r="AA83" i="1"/>
  <c r="AB83" i="1" s="1"/>
  <c r="V83" i="1"/>
  <c r="W83" i="1" s="1"/>
  <c r="X83" i="1" s="1"/>
  <c r="AA82" i="1"/>
  <c r="AB82" i="1" s="1"/>
  <c r="V82" i="1"/>
  <c r="W82" i="1" s="1"/>
  <c r="X82" i="1" s="1"/>
  <c r="AA81" i="1"/>
  <c r="AB81" i="1" s="1"/>
  <c r="V81" i="1"/>
  <c r="AA80" i="1"/>
  <c r="AB80" i="1" s="1"/>
  <c r="V80" i="1"/>
  <c r="W80" i="1" s="1"/>
  <c r="X80" i="1" s="1"/>
  <c r="AA79" i="1"/>
  <c r="AB79" i="1" s="1"/>
  <c r="V79" i="1"/>
  <c r="W79" i="1" s="1"/>
  <c r="X79" i="1" s="1"/>
  <c r="AA78" i="1"/>
  <c r="AB78" i="1" s="1"/>
  <c r="V78" i="1"/>
  <c r="W78" i="1" s="1"/>
  <c r="X78" i="1" s="1"/>
  <c r="AA77" i="1"/>
  <c r="V77" i="1"/>
  <c r="W77" i="1" s="1"/>
  <c r="X77" i="1" s="1"/>
  <c r="AA76" i="1"/>
  <c r="AB76" i="1" s="1"/>
  <c r="V76" i="1"/>
  <c r="W76" i="1" s="1"/>
  <c r="X76" i="1" s="1"/>
  <c r="AA75" i="1"/>
  <c r="V75" i="1"/>
  <c r="W75" i="1" s="1"/>
  <c r="X75" i="1" s="1"/>
  <c r="AA74" i="1"/>
  <c r="AB74" i="1" s="1"/>
  <c r="V74" i="1"/>
  <c r="W74" i="1" s="1"/>
  <c r="X74" i="1" s="1"/>
  <c r="AA73" i="1"/>
  <c r="AB73" i="1" s="1"/>
  <c r="V73" i="1"/>
  <c r="W73" i="1" s="1"/>
  <c r="X73" i="1" s="1"/>
  <c r="AA107" i="1"/>
  <c r="AB107" i="1" s="1"/>
  <c r="V107" i="1"/>
  <c r="W107" i="1" s="1"/>
  <c r="X107" i="1" s="1"/>
  <c r="AA106" i="1"/>
  <c r="AB106" i="1" s="1"/>
  <c r="V106" i="1"/>
  <c r="W106" i="1" s="1"/>
  <c r="X106" i="1" s="1"/>
  <c r="AA105" i="1"/>
  <c r="AB105" i="1" s="1"/>
  <c r="V105" i="1"/>
  <c r="W105" i="1" s="1"/>
  <c r="X105" i="1" s="1"/>
  <c r="AA104" i="1"/>
  <c r="AB104" i="1" s="1"/>
  <c r="V104" i="1"/>
  <c r="W104" i="1" s="1"/>
  <c r="X104" i="1" s="1"/>
  <c r="AA103" i="1"/>
  <c r="AB103" i="1" s="1"/>
  <c r="V103" i="1"/>
  <c r="W103" i="1" s="1"/>
  <c r="X103" i="1" s="1"/>
  <c r="AA102" i="1"/>
  <c r="AB102" i="1" s="1"/>
  <c r="V102" i="1"/>
  <c r="W102" i="1" s="1"/>
  <c r="X102" i="1" s="1"/>
  <c r="AA101" i="1"/>
  <c r="AB101" i="1" s="1"/>
  <c r="V101" i="1"/>
  <c r="W101" i="1" s="1"/>
  <c r="X101" i="1" s="1"/>
  <c r="AA100" i="1"/>
  <c r="AB100" i="1" s="1"/>
  <c r="V100" i="1"/>
  <c r="W100" i="1" s="1"/>
  <c r="X100" i="1" s="1"/>
  <c r="AA99" i="1"/>
  <c r="AB99" i="1" s="1"/>
  <c r="V99" i="1"/>
  <c r="W99" i="1"/>
  <c r="X99" i="1" s="1"/>
  <c r="AA92" i="1"/>
  <c r="AB92" i="1" s="1"/>
  <c r="V92" i="1"/>
  <c r="W92" i="1" s="1"/>
  <c r="X92" i="1" s="1"/>
  <c r="AA91" i="1"/>
  <c r="AB91" i="1" s="1"/>
  <c r="V91" i="1"/>
  <c r="W91" i="1" s="1"/>
  <c r="X91" i="1" s="1"/>
  <c r="AA90" i="1"/>
  <c r="AB90" i="1" s="1"/>
  <c r="V90" i="1"/>
  <c r="W90" i="1" s="1"/>
  <c r="X90" i="1" s="1"/>
  <c r="AA89" i="1"/>
  <c r="AB89" i="1" s="1"/>
  <c r="V89" i="1"/>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D421" i="6"/>
  <c r="A421" i="6" s="1"/>
  <c r="D409" i="6"/>
  <c r="C409" i="6" s="1"/>
  <c r="D405" i="6"/>
  <c r="A405" i="6" s="1"/>
  <c r="D395" i="6"/>
  <c r="D391" i="6"/>
  <c r="C391" i="6" s="1"/>
  <c r="AA35" i="1"/>
  <c r="AB35" i="1" s="1"/>
  <c r="V35" i="1"/>
  <c r="W35" i="1" s="1"/>
  <c r="X35" i="1" s="1"/>
  <c r="AA34" i="1"/>
  <c r="AB34" i="1" s="1"/>
  <c r="V34" i="1"/>
  <c r="W34" i="1" s="1"/>
  <c r="X34" i="1" s="1"/>
  <c r="AA33" i="1"/>
  <c r="AB33" i="1" s="1"/>
  <c r="V33" i="1"/>
  <c r="W33" i="1" s="1"/>
  <c r="X33" i="1" s="1"/>
  <c r="AA32" i="1"/>
  <c r="AB32" i="1" s="1"/>
  <c r="V32" i="1"/>
  <c r="W32" i="1" s="1"/>
  <c r="X32" i="1" s="1"/>
  <c r="AA31" i="1"/>
  <c r="AB31" i="1" s="1"/>
  <c r="V31" i="1"/>
  <c r="AA30" i="1"/>
  <c r="AB30" i="1" s="1"/>
  <c r="V30" i="1"/>
  <c r="AA29" i="1"/>
  <c r="AB29" i="1" s="1"/>
  <c r="V29" i="1"/>
  <c r="W29" i="1" s="1"/>
  <c r="AA28" i="1"/>
  <c r="AB28" i="1" s="1"/>
  <c r="V28" i="1"/>
  <c r="W28" i="1" s="1"/>
  <c r="X28" i="1" s="1"/>
  <c r="AA43" i="1"/>
  <c r="AB43" i="1" s="1"/>
  <c r="V43" i="1"/>
  <c r="W43" i="1" s="1"/>
  <c r="AA42" i="1"/>
  <c r="AB42" i="1" s="1"/>
  <c r="V42" i="1"/>
  <c r="AA41" i="1"/>
  <c r="AB41" i="1" s="1"/>
  <c r="V41" i="1"/>
  <c r="W41" i="1" s="1"/>
  <c r="AA40" i="1"/>
  <c r="AB40" i="1" s="1"/>
  <c r="V40" i="1"/>
  <c r="W40" i="1" s="1"/>
  <c r="X40" i="1" s="1"/>
  <c r="AA39" i="1"/>
  <c r="AB39" i="1" s="1"/>
  <c r="V39" i="1"/>
  <c r="W39" i="1" s="1"/>
  <c r="X39" i="1" s="1"/>
  <c r="AA38" i="1"/>
  <c r="AB38" i="1" s="1"/>
  <c r="V38" i="1"/>
  <c r="W38" i="1" s="1"/>
  <c r="AA37" i="1"/>
  <c r="AB37" i="1" s="1"/>
  <c r="V37" i="1"/>
  <c r="W37" i="1" s="1"/>
  <c r="X37" i="1" s="1"/>
  <c r="AA36" i="1"/>
  <c r="AB36" i="1" s="1"/>
  <c r="V36" i="1"/>
  <c r="W36" i="1" s="1"/>
  <c r="AA27" i="1"/>
  <c r="AB27" i="1" s="1"/>
  <c r="V27" i="1"/>
  <c r="W27" i="1" s="1"/>
  <c r="AA26" i="1"/>
  <c r="AB26" i="1" s="1"/>
  <c r="V26" i="1"/>
  <c r="W26" i="1" s="1"/>
  <c r="AA25" i="1"/>
  <c r="AB25" i="1" s="1"/>
  <c r="V25" i="1"/>
  <c r="W25" i="1" s="1"/>
  <c r="X25" i="1" s="1"/>
  <c r="AA24" i="1"/>
  <c r="AB24" i="1" s="1"/>
  <c r="V24" i="1"/>
  <c r="W24" i="1"/>
  <c r="X24" i="1" s="1"/>
  <c r="AA23" i="1"/>
  <c r="AB23" i="1" s="1"/>
  <c r="V23" i="1"/>
  <c r="W23" i="1" s="1"/>
  <c r="X23" i="1" s="1"/>
  <c r="AA22" i="1"/>
  <c r="AB22" i="1" s="1"/>
  <c r="V22" i="1"/>
  <c r="W22" i="1" s="1"/>
  <c r="X22" i="1" s="1"/>
  <c r="D375" i="6"/>
  <c r="C375" i="6" s="1"/>
  <c r="AA55" i="1"/>
  <c r="AB55" i="1" s="1"/>
  <c r="V55" i="1"/>
  <c r="W55" i="1" s="1"/>
  <c r="X55" i="1" s="1"/>
  <c r="AA54" i="1"/>
  <c r="AB54" i="1" s="1"/>
  <c r="V54" i="1"/>
  <c r="W54" i="1" s="1"/>
  <c r="AA53" i="1"/>
  <c r="AB53" i="1" s="1"/>
  <c r="V53" i="1"/>
  <c r="W53" i="1" s="1"/>
  <c r="AA52" i="1"/>
  <c r="AB52" i="1" s="1"/>
  <c r="V52" i="1"/>
  <c r="AA51" i="1"/>
  <c r="AB51" i="1" s="1"/>
  <c r="V51" i="1"/>
  <c r="W51" i="1" s="1"/>
  <c r="AA50" i="1"/>
  <c r="AB50" i="1" s="1"/>
  <c r="V50" i="1"/>
  <c r="W50" i="1" s="1"/>
  <c r="X50" i="1" s="1"/>
  <c r="AA49" i="1"/>
  <c r="AB49" i="1" s="1"/>
  <c r="V49" i="1"/>
  <c r="W49" i="1" s="1"/>
  <c r="X49" i="1" s="1"/>
  <c r="AA48" i="1"/>
  <c r="AB48" i="1" s="1"/>
  <c r="V48" i="1"/>
  <c r="W48" i="1" s="1"/>
  <c r="X48" i="1" s="1"/>
  <c r="AA47" i="1"/>
  <c r="AB47" i="1" s="1"/>
  <c r="V47" i="1"/>
  <c r="W47" i="1" s="1"/>
  <c r="AA46" i="1"/>
  <c r="AB46" i="1" s="1"/>
  <c r="V46" i="1"/>
  <c r="W46" i="1" s="1"/>
  <c r="X46" i="1" s="1"/>
  <c r="AA45" i="1"/>
  <c r="AB45" i="1" s="1"/>
  <c r="V45" i="1"/>
  <c r="AA44" i="1"/>
  <c r="AB44" i="1" s="1"/>
  <c r="V44" i="1"/>
  <c r="W44" i="1" s="1"/>
  <c r="AA21" i="1"/>
  <c r="AB21" i="1" s="1"/>
  <c r="D11" i="14"/>
  <c r="V177" i="1"/>
  <c r="W177" i="1" s="1"/>
  <c r="X177" i="1" s="1"/>
  <c r="E580" i="6"/>
  <c r="E477" i="6"/>
  <c r="D475" i="6"/>
  <c r="A475" i="6" s="1"/>
  <c r="E373" i="6"/>
  <c r="F17" i="14"/>
  <c r="D8" i="14"/>
  <c r="D8" i="12"/>
  <c r="F17" i="12"/>
  <c r="N8" i="8"/>
  <c r="N9" i="8"/>
  <c r="N10" i="8"/>
  <c r="N11" i="8"/>
  <c r="N20" i="8" s="1"/>
  <c r="N12" i="8"/>
  <c r="N13" i="8"/>
  <c r="N14" i="8"/>
  <c r="N15" i="8"/>
  <c r="N16" i="8"/>
  <c r="N17" i="8"/>
  <c r="N18" i="8"/>
  <c r="N19" i="8"/>
  <c r="N7" i="8"/>
  <c r="I8" i="8"/>
  <c r="I9" i="8"/>
  <c r="I10" i="8"/>
  <c r="I20" i="8" s="1"/>
  <c r="I11" i="8"/>
  <c r="I12" i="8"/>
  <c r="I13" i="8"/>
  <c r="I14" i="8"/>
  <c r="I15" i="8"/>
  <c r="I16" i="8"/>
  <c r="I17" i="8"/>
  <c r="I18" i="8"/>
  <c r="I19" i="8"/>
  <c r="I7" i="8"/>
  <c r="D8" i="8"/>
  <c r="D9" i="8"/>
  <c r="D20" i="8" s="1"/>
  <c r="D10" i="8"/>
  <c r="D11" i="8"/>
  <c r="D12" i="8"/>
  <c r="D13" i="8"/>
  <c r="D14" i="8"/>
  <c r="D15" i="8"/>
  <c r="D16" i="8"/>
  <c r="D17" i="8"/>
  <c r="D18" i="8"/>
  <c r="D19" i="8"/>
  <c r="D7" i="8"/>
  <c r="O6" i="10"/>
  <c r="P6" i="10" s="1"/>
  <c r="R6" i="10"/>
  <c r="T6" i="10"/>
  <c r="U6" i="10"/>
  <c r="O867" i="10"/>
  <c r="P867" i="10" s="1"/>
  <c r="R867" i="10"/>
  <c r="T867" i="10"/>
  <c r="U867" i="10"/>
  <c r="O868" i="10"/>
  <c r="P868" i="10" s="1"/>
  <c r="R868" i="10"/>
  <c r="T868" i="10"/>
  <c r="U868" i="10"/>
  <c r="O869" i="10"/>
  <c r="P869" i="10" s="1"/>
  <c r="R869" i="10"/>
  <c r="T869" i="10"/>
  <c r="U869" i="10"/>
  <c r="O870" i="10"/>
  <c r="P870" i="10" s="1"/>
  <c r="R870" i="10"/>
  <c r="T870" i="10"/>
  <c r="U870" i="10"/>
  <c r="O871" i="10"/>
  <c r="P871" i="10" s="1"/>
  <c r="R871" i="10"/>
  <c r="T871" i="10"/>
  <c r="U871" i="10"/>
  <c r="O7" i="2"/>
  <c r="P7" i="2" s="1"/>
  <c r="O12" i="2"/>
  <c r="B313" i="1" s="1"/>
  <c r="O13" i="2"/>
  <c r="O14" i="2"/>
  <c r="P14" i="2" s="1"/>
  <c r="O15" i="2"/>
  <c r="P15" i="2" s="1"/>
  <c r="O16" i="2"/>
  <c r="P16" i="2" s="1"/>
  <c r="O17" i="2"/>
  <c r="G188" i="1"/>
  <c r="G11" i="1"/>
  <c r="D18" i="6" s="1"/>
  <c r="M28" i="5"/>
  <c r="M29" i="5"/>
  <c r="L28" i="5"/>
  <c r="L29" i="5"/>
  <c r="K28" i="5"/>
  <c r="K29" i="5"/>
  <c r="J28" i="5"/>
  <c r="J29" i="5" s="1"/>
  <c r="I28" i="5"/>
  <c r="I29" i="5"/>
  <c r="H28" i="5"/>
  <c r="H29" i="5" s="1"/>
  <c r="O27" i="5"/>
  <c r="O26" i="5"/>
  <c r="O25" i="5"/>
  <c r="O24" i="5"/>
  <c r="O23" i="5"/>
  <c r="O29" i="5" s="1"/>
  <c r="I11" i="6"/>
  <c r="D11" i="6" s="1"/>
  <c r="AA173" i="1"/>
  <c r="AB173" i="1" s="1"/>
  <c r="AA172" i="1"/>
  <c r="AB172" i="1" s="1"/>
  <c r="V172" i="1"/>
  <c r="W172" i="1" s="1"/>
  <c r="X172" i="1" s="1"/>
  <c r="AA171" i="1"/>
  <c r="AB171" i="1" s="1"/>
  <c r="V171" i="1"/>
  <c r="W171" i="1" s="1"/>
  <c r="X171" i="1" s="1"/>
  <c r="AA170" i="1"/>
  <c r="AB170" i="1" s="1"/>
  <c r="V170" i="1"/>
  <c r="W170" i="1"/>
  <c r="X170" i="1" s="1"/>
  <c r="AA169" i="1"/>
  <c r="AB169" i="1" s="1"/>
  <c r="V169" i="1"/>
  <c r="W169" i="1" s="1"/>
  <c r="X169" i="1" s="1"/>
  <c r="AA168" i="1"/>
  <c r="AB168" i="1" s="1"/>
  <c r="V168" i="1"/>
  <c r="W168" i="1" s="1"/>
  <c r="X168" i="1" s="1"/>
  <c r="AA167" i="1"/>
  <c r="AB167" i="1" s="1"/>
  <c r="V167" i="1"/>
  <c r="AA166" i="1"/>
  <c r="AB166" i="1" s="1"/>
  <c r="V166" i="1"/>
  <c r="W166" i="1" s="1"/>
  <c r="X166" i="1" s="1"/>
  <c r="AA165" i="1"/>
  <c r="AB165" i="1" s="1"/>
  <c r="V165" i="1"/>
  <c r="W165" i="1" s="1"/>
  <c r="X165" i="1" s="1"/>
  <c r="AA164" i="1"/>
  <c r="AB164" i="1" s="1"/>
  <c r="V164" i="1"/>
  <c r="W164" i="1" s="1"/>
  <c r="X164" i="1" s="1"/>
  <c r="AA163" i="1"/>
  <c r="AB163" i="1" s="1"/>
  <c r="V163" i="1"/>
  <c r="W163" i="1" s="1"/>
  <c r="X163" i="1" s="1"/>
  <c r="AA162" i="1"/>
  <c r="AB162" i="1" s="1"/>
  <c r="V162" i="1"/>
  <c r="W162" i="1" s="1"/>
  <c r="X162" i="1" s="1"/>
  <c r="AA161" i="1"/>
  <c r="AB161" i="1" s="1"/>
  <c r="V161" i="1"/>
  <c r="W161" i="1" s="1"/>
  <c r="X161" i="1" s="1"/>
  <c r="AA160" i="1"/>
  <c r="AB160" i="1" s="1"/>
  <c r="V160" i="1"/>
  <c r="W160" i="1" s="1"/>
  <c r="X160" i="1" s="1"/>
  <c r="AA124" i="1"/>
  <c r="AB124" i="1" s="1"/>
  <c r="V124" i="1"/>
  <c r="W124" i="1" s="1"/>
  <c r="X124" i="1" s="1"/>
  <c r="F5" i="17"/>
  <c r="B315" i="1"/>
  <c r="P11" i="2"/>
  <c r="D586" i="6"/>
  <c r="A586" i="6" s="1"/>
  <c r="D618" i="6"/>
  <c r="C618" i="6" s="1"/>
  <c r="D398" i="6"/>
  <c r="C398" i="6" s="1"/>
  <c r="A605" i="6"/>
  <c r="C605" i="6"/>
  <c r="A609" i="6"/>
  <c r="C609" i="6"/>
  <c r="D629" i="6"/>
  <c r="A629" i="6" s="1"/>
  <c r="D499" i="6"/>
  <c r="A499" i="6" s="1"/>
  <c r="D137" i="6"/>
  <c r="C137" i="6" s="1"/>
  <c r="C247" i="6"/>
  <c r="D626" i="6"/>
  <c r="C626" i="6" s="1"/>
  <c r="A626" i="6"/>
  <c r="D617" i="6"/>
  <c r="A617" i="6" s="1"/>
  <c r="D585" i="6"/>
  <c r="C585" i="6" s="1"/>
  <c r="E174" i="6"/>
  <c r="D597" i="6"/>
  <c r="D581" i="6"/>
  <c r="C581" i="6" s="1"/>
  <c r="D491" i="6"/>
  <c r="D621" i="6"/>
  <c r="A621" i="6" s="1"/>
  <c r="E280" i="6"/>
  <c r="A280" i="6"/>
  <c r="E145" i="6"/>
  <c r="C145" i="6"/>
  <c r="A584" i="6"/>
  <c r="C584" i="6"/>
  <c r="C246" i="6"/>
  <c r="A246" i="6"/>
  <c r="E246" i="6"/>
  <c r="A608" i="6"/>
  <c r="C608" i="6"/>
  <c r="E270" i="6"/>
  <c r="A270" i="6"/>
  <c r="A595" i="6"/>
  <c r="C619" i="6"/>
  <c r="D497" i="6"/>
  <c r="A497" i="6" s="1"/>
  <c r="E175" i="6"/>
  <c r="A156" i="6"/>
  <c r="C281" i="6"/>
  <c r="E251" i="6"/>
  <c r="E235" i="6"/>
  <c r="D390" i="6"/>
  <c r="C390" i="6" s="1"/>
  <c r="D180" i="6"/>
  <c r="C180" i="6" s="1"/>
  <c r="A162" i="6"/>
  <c r="D138" i="6"/>
  <c r="A138" i="6" s="1"/>
  <c r="D136" i="6"/>
  <c r="A136" i="6" s="1"/>
  <c r="D133" i="6"/>
  <c r="A133" i="6" s="1"/>
  <c r="D628" i="6"/>
  <c r="A628" i="6" s="1"/>
  <c r="D620" i="6"/>
  <c r="C620" i="6" s="1"/>
  <c r="D616" i="6"/>
  <c r="C616" i="6" s="1"/>
  <c r="D592" i="6"/>
  <c r="C592" i="6" s="1"/>
  <c r="D588" i="6"/>
  <c r="A588" i="6" s="1"/>
  <c r="D374" i="6"/>
  <c r="C374" i="6" s="1"/>
  <c r="D485" i="6"/>
  <c r="E163" i="6"/>
  <c r="A235" i="6"/>
  <c r="C606" i="6"/>
  <c r="C582" i="6"/>
  <c r="C280" i="6"/>
  <c r="C270" i="6"/>
  <c r="C151" i="6"/>
  <c r="A151" i="6"/>
  <c r="A510" i="6"/>
  <c r="A526" i="6"/>
  <c r="D380" i="6"/>
  <c r="D378" i="6"/>
  <c r="C393" i="6"/>
  <c r="C381" i="6"/>
  <c r="D377" i="6"/>
  <c r="C377" i="6" s="1"/>
  <c r="C518" i="6"/>
  <c r="W127" i="1"/>
  <c r="X127" i="1" s="1"/>
  <c r="W129" i="1"/>
  <c r="X129" i="1" s="1"/>
  <c r="W138" i="1"/>
  <c r="X138" i="1" s="1"/>
  <c r="W146" i="1"/>
  <c r="X146" i="1" s="1"/>
  <c r="C511" i="6"/>
  <c r="C483" i="6"/>
  <c r="C509" i="6"/>
  <c r="C489" i="6"/>
  <c r="X150" i="1"/>
  <c r="C417" i="6"/>
  <c r="W95" i="1"/>
  <c r="X95" i="1" s="1"/>
  <c r="W97" i="1"/>
  <c r="X97" i="1" s="1"/>
  <c r="W81" i="1"/>
  <c r="X81" i="1" s="1"/>
  <c r="W87" i="1"/>
  <c r="X87" i="1" s="1"/>
  <c r="W86" i="1"/>
  <c r="X86" i="1" s="1"/>
  <c r="W88" i="1"/>
  <c r="X88" i="1" s="1"/>
  <c r="W89" i="1"/>
  <c r="X89" i="1" s="1"/>
  <c r="C65" i="6"/>
  <c r="D580" i="6"/>
  <c r="A580" i="6" s="1"/>
  <c r="C475" i="6"/>
  <c r="W167" i="1"/>
  <c r="X167" i="1" s="1"/>
  <c r="O9" i="5"/>
  <c r="O8" i="5"/>
  <c r="O7" i="5"/>
  <c r="O6" i="5"/>
  <c r="O11" i="5" s="1"/>
  <c r="O15" i="5"/>
  <c r="H49" i="5"/>
  <c r="H50" i="5"/>
  <c r="D29" i="8"/>
  <c r="N27" i="8" s="1"/>
  <c r="A144" i="6"/>
  <c r="E247" i="6"/>
  <c r="A57" i="6"/>
  <c r="C163" i="6"/>
  <c r="A175" i="6"/>
  <c r="A247" i="6"/>
  <c r="C174" i="6"/>
  <c r="C621" i="6"/>
  <c r="A585" i="6"/>
  <c r="A174" i="6"/>
  <c r="A159" i="6"/>
  <c r="C175" i="6"/>
  <c r="E180" i="6"/>
  <c r="E148" i="6"/>
  <c r="E162" i="6"/>
  <c r="C162" i="6"/>
  <c r="E281" i="6"/>
  <c r="A281" i="6"/>
  <c r="C250" i="6"/>
  <c r="A250" i="6"/>
  <c r="A163" i="6"/>
  <c r="C238" i="6"/>
  <c r="A238" i="6"/>
  <c r="E238" i="6"/>
  <c r="E144" i="6"/>
  <c r="C144" i="6"/>
  <c r="A592" i="6"/>
  <c r="A180" i="6"/>
  <c r="C408" i="6"/>
  <c r="A381" i="6"/>
  <c r="X135" i="1"/>
  <c r="I12" i="6"/>
  <c r="D12" i="6" s="1"/>
  <c r="E12" i="6" s="1"/>
  <c r="V173" i="1"/>
  <c r="W173" i="1"/>
  <c r="X173" i="1" s="1"/>
  <c r="V109" i="1"/>
  <c r="W109" i="1" s="1"/>
  <c r="X109" i="1" s="1"/>
  <c r="G209" i="1"/>
  <c r="D370" i="6" s="1"/>
  <c r="C370" i="6" s="1"/>
  <c r="G201" i="1"/>
  <c r="D362" i="6" s="1"/>
  <c r="G202" i="1"/>
  <c r="D363" i="6" s="1"/>
  <c r="G203" i="1"/>
  <c r="D364" i="6" s="1"/>
  <c r="G204" i="1"/>
  <c r="D365" i="6" s="1"/>
  <c r="G205" i="1"/>
  <c r="D366" i="6" s="1"/>
  <c r="E366" i="6" s="1"/>
  <c r="G206" i="1"/>
  <c r="D367" i="6" s="1"/>
  <c r="G207" i="1"/>
  <c r="D368" i="6" s="1"/>
  <c r="G208" i="1"/>
  <c r="D369" i="6" s="1"/>
  <c r="E369" i="6" s="1"/>
  <c r="G200" i="1"/>
  <c r="D361" i="6" s="1"/>
  <c r="E361" i="6" s="1"/>
  <c r="G189" i="1"/>
  <c r="D350" i="6" s="1"/>
  <c r="D357" i="6"/>
  <c r="D358" i="6"/>
  <c r="E358" i="6" s="1"/>
  <c r="D349" i="6"/>
  <c r="C349" i="6" s="1"/>
  <c r="E335" i="6"/>
  <c r="F335" i="6"/>
  <c r="E336" i="6"/>
  <c r="F336" i="6"/>
  <c r="A335" i="6"/>
  <c r="C335" i="6"/>
  <c r="A336" i="6"/>
  <c r="C336" i="6"/>
  <c r="G177" i="1"/>
  <c r="D338" i="6" s="1"/>
  <c r="G338" i="6" s="1"/>
  <c r="G178" i="1"/>
  <c r="D339" i="6" s="1"/>
  <c r="G179" i="1"/>
  <c r="D340" i="6" s="1"/>
  <c r="G340" i="6" s="1"/>
  <c r="G180" i="1"/>
  <c r="D341" i="6" s="1"/>
  <c r="G341" i="6" s="1"/>
  <c r="G181" i="1"/>
  <c r="D342" i="6" s="1"/>
  <c r="F342" i="6" s="1"/>
  <c r="G182" i="1"/>
  <c r="D343" i="6" s="1"/>
  <c r="G183" i="1"/>
  <c r="D344" i="6" s="1"/>
  <c r="G184" i="1"/>
  <c r="D345" i="6" s="1"/>
  <c r="G185" i="1"/>
  <c r="D346" i="6" s="1"/>
  <c r="G176" i="1"/>
  <c r="D337" i="6" s="1"/>
  <c r="AA117" i="1"/>
  <c r="AB117" i="1" s="1"/>
  <c r="V117" i="1"/>
  <c r="AA116" i="1"/>
  <c r="AB116" i="1" s="1"/>
  <c r="V116" i="1"/>
  <c r="W116" i="1" s="1"/>
  <c r="X116" i="1" s="1"/>
  <c r="AA115" i="1"/>
  <c r="AB115" i="1" s="1"/>
  <c r="V115" i="1"/>
  <c r="W115" i="1" s="1"/>
  <c r="X115" i="1" s="1"/>
  <c r="AA114" i="1"/>
  <c r="AB114" i="1" s="1"/>
  <c r="V114" i="1"/>
  <c r="W114" i="1" s="1"/>
  <c r="X114" i="1" s="1"/>
  <c r="AA113" i="1"/>
  <c r="AB113" i="1" s="1"/>
  <c r="V113" i="1"/>
  <c r="W113" i="1" s="1"/>
  <c r="X113" i="1" s="1"/>
  <c r="I8" i="6"/>
  <c r="D8" i="6" s="1"/>
  <c r="AA64" i="1"/>
  <c r="AB64" i="1" s="1"/>
  <c r="V64" i="1"/>
  <c r="W64" i="1" s="1"/>
  <c r="X64" i="1" s="1"/>
  <c r="AA63" i="1"/>
  <c r="AB63" i="1" s="1"/>
  <c r="V63" i="1"/>
  <c r="W63" i="1" s="1"/>
  <c r="AA62" i="1"/>
  <c r="AB62" i="1" s="1"/>
  <c r="V62" i="1"/>
  <c r="AA61" i="1"/>
  <c r="AB61" i="1" s="1"/>
  <c r="V61" i="1"/>
  <c r="W61" i="1" s="1"/>
  <c r="X61" i="1" s="1"/>
  <c r="AA60" i="1"/>
  <c r="AB60" i="1" s="1"/>
  <c r="V60" i="1"/>
  <c r="W60" i="1" s="1"/>
  <c r="X60" i="1" s="1"/>
  <c r="AA59" i="1"/>
  <c r="AB59" i="1" s="1"/>
  <c r="V59" i="1"/>
  <c r="W59" i="1" s="1"/>
  <c r="G12" i="1"/>
  <c r="D19" i="6" s="1"/>
  <c r="G10" i="1"/>
  <c r="D17" i="6" s="1"/>
  <c r="G17" i="6" s="1"/>
  <c r="G14" i="1"/>
  <c r="D21" i="6" s="1"/>
  <c r="G13" i="1"/>
  <c r="D20" i="6" s="1"/>
  <c r="G20" i="6" s="1"/>
  <c r="G9" i="1"/>
  <c r="D16" i="6" s="1"/>
  <c r="A25" i="6"/>
  <c r="A26" i="6"/>
  <c r="AA204" i="1"/>
  <c r="AB204" i="1" s="1"/>
  <c r="V204" i="1"/>
  <c r="W204" i="1" s="1"/>
  <c r="X204" i="1" s="1"/>
  <c r="V203" i="1"/>
  <c r="W203" i="1" s="1"/>
  <c r="X203" i="1" s="1"/>
  <c r="V202" i="1"/>
  <c r="W202" i="1" s="1"/>
  <c r="X202" i="1" s="1"/>
  <c r="V201" i="1"/>
  <c r="W201" i="1" s="1"/>
  <c r="X201" i="1" s="1"/>
  <c r="AA206" i="1"/>
  <c r="AB206" i="1" s="1"/>
  <c r="V206" i="1"/>
  <c r="AA205" i="1"/>
  <c r="AB205" i="1" s="1"/>
  <c r="V205" i="1"/>
  <c r="W205" i="1" s="1"/>
  <c r="X205" i="1" s="1"/>
  <c r="AA207" i="1"/>
  <c r="AB207" i="1" s="1"/>
  <c r="V207" i="1"/>
  <c r="W207" i="1" s="1"/>
  <c r="X207" i="1" s="1"/>
  <c r="AA192" i="1"/>
  <c r="AB192" i="1" s="1"/>
  <c r="V192" i="1"/>
  <c r="W192" i="1" s="1"/>
  <c r="X192" i="1" s="1"/>
  <c r="AA191" i="1"/>
  <c r="AB191" i="1" s="1"/>
  <c r="AA190" i="1"/>
  <c r="AB190" i="1" s="1"/>
  <c r="AA189" i="1"/>
  <c r="AB189" i="1" s="1"/>
  <c r="AA194" i="1"/>
  <c r="AB194" i="1" s="1"/>
  <c r="V194" i="1"/>
  <c r="AA193" i="1"/>
  <c r="AB193" i="1" s="1"/>
  <c r="V193" i="1"/>
  <c r="W193" i="1" s="1"/>
  <c r="X193" i="1" s="1"/>
  <c r="AA195" i="1"/>
  <c r="AB195" i="1" s="1"/>
  <c r="V195" i="1"/>
  <c r="W195" i="1" s="1"/>
  <c r="X195" i="1" s="1"/>
  <c r="AA180" i="1"/>
  <c r="AB180" i="1" s="1"/>
  <c r="AA179" i="1"/>
  <c r="AB179" i="1" s="1"/>
  <c r="AA178" i="1"/>
  <c r="AB178" i="1" s="1"/>
  <c r="AA177" i="1"/>
  <c r="AB177" i="1" s="1"/>
  <c r="AA182" i="1"/>
  <c r="AB182" i="1" s="1"/>
  <c r="AA181" i="1"/>
  <c r="AB181" i="1" s="1"/>
  <c r="AA183" i="1"/>
  <c r="AB183" i="1" s="1"/>
  <c r="AA72" i="1"/>
  <c r="AB72" i="1" s="1"/>
  <c r="V108" i="1"/>
  <c r="W108" i="1" s="1"/>
  <c r="X108" i="1" s="1"/>
  <c r="AA108" i="1"/>
  <c r="AB108" i="1" s="1"/>
  <c r="AA109" i="1"/>
  <c r="AB109" i="1" s="1"/>
  <c r="V110" i="1"/>
  <c r="W110" i="1" s="1"/>
  <c r="X110" i="1" s="1"/>
  <c r="AA110" i="1"/>
  <c r="AB110" i="1" s="1"/>
  <c r="V111" i="1"/>
  <c r="W111" i="1" s="1"/>
  <c r="X111" i="1" s="1"/>
  <c r="AA111" i="1"/>
  <c r="AB111" i="1" s="1"/>
  <c r="V112" i="1"/>
  <c r="W112" i="1" s="1"/>
  <c r="X112" i="1" s="1"/>
  <c r="AA112" i="1"/>
  <c r="AB112" i="1" s="1"/>
  <c r="V118" i="1"/>
  <c r="W118" i="1" s="1"/>
  <c r="X118" i="1" s="1"/>
  <c r="AA118" i="1"/>
  <c r="AB118" i="1" s="1"/>
  <c r="V119" i="1"/>
  <c r="W119" i="1" s="1"/>
  <c r="X119" i="1" s="1"/>
  <c r="AA119" i="1"/>
  <c r="AB119" i="1" s="1"/>
  <c r="V120" i="1"/>
  <c r="W120" i="1" s="1"/>
  <c r="X120" i="1" s="1"/>
  <c r="AA120" i="1"/>
  <c r="AB120" i="1" s="1"/>
  <c r="AA121" i="1"/>
  <c r="AB121" i="1" s="1"/>
  <c r="AA176" i="1"/>
  <c r="AB176" i="1" s="1"/>
  <c r="W184" i="1"/>
  <c r="X184" i="1" s="1"/>
  <c r="AA184" i="1"/>
  <c r="AB184" i="1" s="1"/>
  <c r="W185" i="1"/>
  <c r="X185" i="1" s="1"/>
  <c r="AA185" i="1"/>
  <c r="AB185" i="1" s="1"/>
  <c r="AD186" i="1"/>
  <c r="V186" i="1"/>
  <c r="W186" i="1" s="1"/>
  <c r="X186" i="1" s="1"/>
  <c r="AA186" i="1"/>
  <c r="AB186" i="1" s="1"/>
  <c r="AA188" i="1"/>
  <c r="AB188" i="1" s="1"/>
  <c r="V196" i="1"/>
  <c r="W196" i="1" s="1"/>
  <c r="X196" i="1" s="1"/>
  <c r="AA196" i="1"/>
  <c r="AB196" i="1" s="1"/>
  <c r="AA197" i="1"/>
  <c r="AB197" i="1" s="1"/>
  <c r="V198" i="1"/>
  <c r="W198" i="1" s="1"/>
  <c r="AA198" i="1"/>
  <c r="AB198" i="1" s="1"/>
  <c r="V200" i="1"/>
  <c r="W200" i="1" s="1"/>
  <c r="X200" i="1" s="1"/>
  <c r="V208" i="1"/>
  <c r="W208" i="1" s="1"/>
  <c r="X208" i="1" s="1"/>
  <c r="AA208" i="1"/>
  <c r="AB208" i="1" s="1"/>
  <c r="V209" i="1"/>
  <c r="W209" i="1"/>
  <c r="X209" i="1" s="1"/>
  <c r="AA209" i="1"/>
  <c r="AB209" i="1" s="1"/>
  <c r="G15" i="1"/>
  <c r="D22" i="6" s="1"/>
  <c r="C22" i="6" s="1"/>
  <c r="G16" i="1"/>
  <c r="D23" i="6" s="1"/>
  <c r="C23" i="6" s="1"/>
  <c r="G17" i="1"/>
  <c r="D24" i="6" s="1"/>
  <c r="G8" i="1"/>
  <c r="Q11" i="1"/>
  <c r="AF11" i="1" s="1"/>
  <c r="AH11" i="1" s="1"/>
  <c r="H22" i="6"/>
  <c r="AD14" i="1"/>
  <c r="I21" i="6"/>
  <c r="AD13" i="1"/>
  <c r="Q12" i="1"/>
  <c r="R12" i="1" s="1"/>
  <c r="I7" i="6"/>
  <c r="D7" i="6" s="1"/>
  <c r="A7" i="6" s="1"/>
  <c r="V72" i="1"/>
  <c r="W72" i="1" s="1"/>
  <c r="X72" i="1" s="1"/>
  <c r="E349" i="6"/>
  <c r="A349" i="6"/>
  <c r="G346" i="6"/>
  <c r="W117" i="1"/>
  <c r="X117" i="1" s="1"/>
  <c r="H18" i="6"/>
  <c r="W62" i="1"/>
  <c r="X62" i="1" s="1"/>
  <c r="H21" i="6"/>
  <c r="H20" i="6"/>
  <c r="H19" i="6"/>
  <c r="A24" i="6"/>
  <c r="AD11" i="1"/>
  <c r="W206" i="1"/>
  <c r="X206" i="1" s="1"/>
  <c r="W194" i="1"/>
  <c r="X194" i="1" s="1"/>
  <c r="W181" i="1"/>
  <c r="X181" i="1" s="1"/>
  <c r="W182" i="1"/>
  <c r="X182" i="1" s="1"/>
  <c r="AD198" i="1"/>
  <c r="AG211" i="1"/>
  <c r="J19" i="5"/>
  <c r="J20" i="5" s="1"/>
  <c r="H19" i="5"/>
  <c r="O17" i="5"/>
  <c r="O16" i="5"/>
  <c r="O14" i="5"/>
  <c r="O5" i="5"/>
  <c r="O55" i="5"/>
  <c r="O54" i="5"/>
  <c r="O53" i="5"/>
  <c r="O48" i="5"/>
  <c r="O47" i="5"/>
  <c r="O46" i="5"/>
  <c r="O50" i="5" s="1"/>
  <c r="O41" i="5"/>
  <c r="O40" i="5"/>
  <c r="O39" i="5"/>
  <c r="O43" i="5" s="1"/>
  <c r="O33" i="5"/>
  <c r="O36" i="5" s="1"/>
  <c r="O34" i="5"/>
  <c r="O32" i="5"/>
  <c r="M56" i="5"/>
  <c r="M57" i="5"/>
  <c r="L56" i="5"/>
  <c r="L57" i="5" s="1"/>
  <c r="K56" i="5"/>
  <c r="K57" i="5"/>
  <c r="J56" i="5"/>
  <c r="J57" i="5" s="1"/>
  <c r="I56" i="5"/>
  <c r="I57" i="5"/>
  <c r="H56" i="5"/>
  <c r="H57" i="5" s="1"/>
  <c r="M49" i="5"/>
  <c r="M50" i="5" s="1"/>
  <c r="L49" i="5"/>
  <c r="L50" i="5" s="1"/>
  <c r="K49" i="5"/>
  <c r="K50" i="5"/>
  <c r="J49" i="5"/>
  <c r="J50" i="5" s="1"/>
  <c r="I49" i="5"/>
  <c r="I50" i="5"/>
  <c r="M42" i="5"/>
  <c r="M43" i="5" s="1"/>
  <c r="L42" i="5"/>
  <c r="L43" i="5"/>
  <c r="K42" i="5"/>
  <c r="K43" i="5" s="1"/>
  <c r="J42" i="5"/>
  <c r="J43" i="5" s="1"/>
  <c r="I42" i="5"/>
  <c r="I43" i="5" s="1"/>
  <c r="H42" i="5"/>
  <c r="M35" i="5"/>
  <c r="M36" i="5"/>
  <c r="L35" i="5"/>
  <c r="L36" i="5" s="1"/>
  <c r="K35" i="5"/>
  <c r="K36" i="5"/>
  <c r="J35" i="5"/>
  <c r="J36" i="5" s="1"/>
  <c r="I35" i="5"/>
  <c r="I36" i="5"/>
  <c r="H35" i="5"/>
  <c r="H36" i="5" s="1"/>
  <c r="M19" i="5"/>
  <c r="M20" i="5" s="1"/>
  <c r="L19" i="5"/>
  <c r="L20" i="5" s="1"/>
  <c r="K19" i="5"/>
  <c r="K20" i="5"/>
  <c r="I19" i="5"/>
  <c r="I20" i="5" s="1"/>
  <c r="M10" i="5"/>
  <c r="M11" i="5"/>
  <c r="L10" i="5"/>
  <c r="L11" i="5" s="1"/>
  <c r="K10" i="5"/>
  <c r="K11" i="5" s="1"/>
  <c r="J10" i="5"/>
  <c r="J11" i="5" s="1"/>
  <c r="I10" i="5"/>
  <c r="I11" i="5" s="1"/>
  <c r="H10" i="5"/>
  <c r="H11" i="5" s="1"/>
  <c r="J19" i="4"/>
  <c r="J20" i="4"/>
  <c r="J6" i="4"/>
  <c r="J7" i="4"/>
  <c r="J9" i="4"/>
  <c r="J10" i="4"/>
  <c r="J11" i="4"/>
  <c r="J21" i="4"/>
  <c r="J22" i="4"/>
  <c r="J5" i="4"/>
  <c r="AA66" i="1"/>
  <c r="AB66" i="1" s="1"/>
  <c r="V66" i="1"/>
  <c r="W66" i="1" s="1"/>
  <c r="X66" i="1" s="1"/>
  <c r="AA65" i="1"/>
  <c r="AB65" i="1" s="1"/>
  <c r="V65" i="1"/>
  <c r="W65" i="1" s="1"/>
  <c r="X65" i="1" s="1"/>
  <c r="V20" i="1"/>
  <c r="W20" i="1" s="1"/>
  <c r="Q214" i="1"/>
  <c r="Q213" i="1"/>
  <c r="X17" i="2"/>
  <c r="X16" i="2"/>
  <c r="X15" i="2"/>
  <c r="X14" i="2"/>
  <c r="X13" i="2"/>
  <c r="X12" i="2"/>
  <c r="X10" i="2"/>
  <c r="X9" i="2"/>
  <c r="X7" i="2"/>
  <c r="H17" i="2"/>
  <c r="H16" i="2"/>
  <c r="H15" i="2"/>
  <c r="H14" i="2"/>
  <c r="H13" i="2"/>
  <c r="H12" i="2"/>
  <c r="H10" i="2"/>
  <c r="H9" i="2"/>
  <c r="H7" i="2"/>
  <c r="Q13" i="1"/>
  <c r="R13" i="1" s="1"/>
  <c r="I19" i="6"/>
  <c r="AD12" i="1"/>
  <c r="I18" i="6"/>
  <c r="Q14" i="1"/>
  <c r="H43" i="5"/>
  <c r="Q15" i="1"/>
  <c r="AF15" i="1" s="1"/>
  <c r="AH15" i="1" s="1"/>
  <c r="I22" i="6"/>
  <c r="I24" i="6"/>
  <c r="O18" i="5"/>
  <c r="V67" i="1"/>
  <c r="W67" i="1" s="1"/>
  <c r="X67" i="1" s="1"/>
  <c r="AA20" i="1"/>
  <c r="AB20" i="1" s="1"/>
  <c r="AA57" i="1"/>
  <c r="AB57" i="1" s="1"/>
  <c r="V57" i="1"/>
  <c r="W57" i="1" s="1"/>
  <c r="X57" i="1" s="1"/>
  <c r="AA69" i="1"/>
  <c r="AB69" i="1" s="1"/>
  <c r="V56" i="1"/>
  <c r="W56" i="1" s="1"/>
  <c r="X56" i="1" s="1"/>
  <c r="V58" i="1"/>
  <c r="W58" i="1" s="1"/>
  <c r="AA67" i="1"/>
  <c r="AB67" i="1" s="1"/>
  <c r="V68" i="1"/>
  <c r="AA56" i="1"/>
  <c r="AB56" i="1" s="1"/>
  <c r="AA58" i="1"/>
  <c r="AB58" i="1" s="1"/>
  <c r="AA68" i="1"/>
  <c r="AB68" i="1" s="1"/>
  <c r="V69" i="1"/>
  <c r="W69" i="1" s="1"/>
  <c r="X69" i="1" s="1"/>
  <c r="AA200" i="1"/>
  <c r="AB200" i="1" s="1"/>
  <c r="H20" i="5"/>
  <c r="AA203" i="1"/>
  <c r="AB203" i="1" s="1"/>
  <c r="AD15" i="1"/>
  <c r="T822" i="10"/>
  <c r="T11" i="10"/>
  <c r="T394" i="10"/>
  <c r="Z211" i="1"/>
  <c r="I10" i="6"/>
  <c r="D10" i="6" s="1"/>
  <c r="AA202" i="1"/>
  <c r="AB202" i="1" s="1"/>
  <c r="AA201" i="1"/>
  <c r="AB201" i="1" s="1"/>
  <c r="V121" i="1"/>
  <c r="W121" i="1" s="1"/>
  <c r="X121" i="1" s="1"/>
  <c r="V197" i="1"/>
  <c r="W197" i="1" s="1"/>
  <c r="X197" i="1" s="1"/>
  <c r="AD17" i="1" l="1"/>
  <c r="H23" i="6"/>
  <c r="H24" i="6"/>
  <c r="AF12" i="1"/>
  <c r="AH12" i="1" s="1"/>
  <c r="H17" i="6"/>
  <c r="Q10" i="1"/>
  <c r="R10" i="1" s="1"/>
  <c r="A508" i="6"/>
  <c r="E222" i="6"/>
  <c r="A571" i="6"/>
  <c r="D216" i="6"/>
  <c r="F216" i="6" s="1"/>
  <c r="A569" i="6"/>
  <c r="A167" i="6"/>
  <c r="C544" i="6"/>
  <c r="D226" i="6"/>
  <c r="C178" i="6"/>
  <c r="C549" i="6"/>
  <c r="E178" i="6"/>
  <c r="C167" i="6"/>
  <c r="A196" i="6"/>
  <c r="D171" i="6"/>
  <c r="D202" i="6"/>
  <c r="E202" i="6" s="1"/>
  <c r="D513" i="6"/>
  <c r="A513" i="6" s="1"/>
  <c r="C556" i="6"/>
  <c r="D517" i="6"/>
  <c r="A517" i="6" s="1"/>
  <c r="C557" i="6"/>
  <c r="C156" i="6"/>
  <c r="D524" i="6"/>
  <c r="C524" i="6" s="1"/>
  <c r="D502" i="6"/>
  <c r="C502" i="6" s="1"/>
  <c r="A537" i="6"/>
  <c r="A563" i="6"/>
  <c r="E156" i="6"/>
  <c r="D506" i="6"/>
  <c r="A506" i="6" s="1"/>
  <c r="C500" i="6"/>
  <c r="A500" i="6"/>
  <c r="G197" i="6"/>
  <c r="A197" i="6"/>
  <c r="A170" i="6"/>
  <c r="A139" i="6"/>
  <c r="D486" i="6"/>
  <c r="D516" i="6"/>
  <c r="D153" i="6"/>
  <c r="C153" i="6" s="1"/>
  <c r="C499" i="6"/>
  <c r="D146" i="6"/>
  <c r="C146" i="6" s="1"/>
  <c r="C139" i="6"/>
  <c r="D492" i="6"/>
  <c r="C492" i="6" s="1"/>
  <c r="C170" i="6"/>
  <c r="C215" i="6"/>
  <c r="A551" i="6"/>
  <c r="A575" i="6"/>
  <c r="R11" i="1"/>
  <c r="A337" i="6"/>
  <c r="F337" i="6"/>
  <c r="E352" i="6"/>
  <c r="G352" i="6"/>
  <c r="C352" i="6"/>
  <c r="A352" i="6"/>
  <c r="C351" i="6"/>
  <c r="A363" i="6"/>
  <c r="E363" i="6"/>
  <c r="C363" i="6"/>
  <c r="F224" i="6"/>
  <c r="E224" i="6"/>
  <c r="C224" i="6"/>
  <c r="A224" i="6"/>
  <c r="F143" i="6"/>
  <c r="A143" i="6"/>
  <c r="C143" i="6"/>
  <c r="E143" i="6"/>
  <c r="A192" i="6"/>
  <c r="C192" i="6"/>
  <c r="G275" i="6"/>
  <c r="C275" i="6"/>
  <c r="E275" i="6"/>
  <c r="A275" i="6"/>
  <c r="G191" i="6"/>
  <c r="E191" i="6"/>
  <c r="G165" i="6"/>
  <c r="A165" i="6"/>
  <c r="C334" i="6"/>
  <c r="A334" i="6"/>
  <c r="F208" i="6"/>
  <c r="A208" i="6"/>
  <c r="E208" i="6"/>
  <c r="C208" i="6"/>
  <c r="A343" i="6"/>
  <c r="C343" i="6"/>
  <c r="A369" i="6"/>
  <c r="C560" i="6"/>
  <c r="D142" i="6"/>
  <c r="A142" i="6" s="1"/>
  <c r="E341" i="6"/>
  <c r="A17" i="6"/>
  <c r="F358" i="6"/>
  <c r="AF198" i="1"/>
  <c r="C517" i="6"/>
  <c r="C484" i="6"/>
  <c r="A302" i="6"/>
  <c r="C314" i="6"/>
  <c r="A680" i="6"/>
  <c r="D173" i="6"/>
  <c r="F173" i="6" s="1"/>
  <c r="D141" i="6"/>
  <c r="F141" i="6" s="1"/>
  <c r="C166" i="6"/>
  <c r="A616" i="6"/>
  <c r="A390" i="6"/>
  <c r="C501" i="6"/>
  <c r="G12" i="6"/>
  <c r="C617" i="6"/>
  <c r="E147" i="6"/>
  <c r="E17" i="6"/>
  <c r="A358" i="6"/>
  <c r="F12" i="6"/>
  <c r="A620" i="6"/>
  <c r="C604" i="6"/>
  <c r="C290" i="6"/>
  <c r="C302" i="6"/>
  <c r="C651" i="6"/>
  <c r="D140" i="6"/>
  <c r="D283" i="6"/>
  <c r="D263" i="6"/>
  <c r="G235" i="6"/>
  <c r="A618" i="6"/>
  <c r="A184" i="6"/>
  <c r="A656" i="6"/>
  <c r="C681" i="6"/>
  <c r="D649" i="6"/>
  <c r="D633" i="6"/>
  <c r="D195" i="6"/>
  <c r="D282" i="6"/>
  <c r="C282" i="6" s="1"/>
  <c r="D262" i="6"/>
  <c r="F235" i="6"/>
  <c r="A377" i="6"/>
  <c r="A524" i="6"/>
  <c r="C184" i="6"/>
  <c r="C541" i="6"/>
  <c r="A553" i="6"/>
  <c r="G163" i="6"/>
  <c r="E27" i="6"/>
  <c r="A623" i="6"/>
  <c r="C542" i="6"/>
  <c r="A660" i="6"/>
  <c r="D673" i="6"/>
  <c r="D157" i="6"/>
  <c r="F157" i="6" s="1"/>
  <c r="D194" i="6"/>
  <c r="F251" i="6"/>
  <c r="D326" i="6"/>
  <c r="G326" i="6" s="1"/>
  <c r="D503" i="6"/>
  <c r="D218" i="6"/>
  <c r="F218" i="6" s="1"/>
  <c r="G369" i="6"/>
  <c r="C369" i="6"/>
  <c r="D512" i="6"/>
  <c r="D373" i="6"/>
  <c r="A373" i="6" s="1"/>
  <c r="G247" i="6"/>
  <c r="A547" i="6"/>
  <c r="C558" i="6"/>
  <c r="C572" i="6"/>
  <c r="F369" i="6"/>
  <c r="A559" i="6"/>
  <c r="A644" i="6"/>
  <c r="D274" i="6"/>
  <c r="E166" i="6"/>
  <c r="C493" i="6"/>
  <c r="C535" i="6"/>
  <c r="C548" i="6"/>
  <c r="D669" i="6"/>
  <c r="D636" i="6"/>
  <c r="D179" i="6"/>
  <c r="G179" i="6" s="1"/>
  <c r="D271" i="6"/>
  <c r="D239" i="6"/>
  <c r="G15" i="6"/>
  <c r="F15" i="6"/>
  <c r="E15" i="6"/>
  <c r="F350" i="6"/>
  <c r="G350" i="6"/>
  <c r="C350" i="6"/>
  <c r="A350" i="6"/>
  <c r="G19" i="6"/>
  <c r="C19" i="6"/>
  <c r="E19" i="6"/>
  <c r="A339" i="6"/>
  <c r="C339" i="6"/>
  <c r="F353" i="6"/>
  <c r="F20" i="6"/>
  <c r="E353" i="6"/>
  <c r="C354" i="6"/>
  <c r="E354" i="6"/>
  <c r="F366" i="6"/>
  <c r="G22" i="6"/>
  <c r="C366" i="6"/>
  <c r="G366" i="6"/>
  <c r="E20" i="6"/>
  <c r="A366" i="6"/>
  <c r="P12" i="2"/>
  <c r="P47" i="2"/>
  <c r="P26" i="2"/>
  <c r="P61" i="2"/>
  <c r="P62" i="2"/>
  <c r="P45" i="2"/>
  <c r="P60" i="2"/>
  <c r="P46" i="2"/>
  <c r="P30" i="2"/>
  <c r="P31" i="2"/>
  <c r="P32" i="2"/>
  <c r="P49" i="2"/>
  <c r="P33" i="2"/>
  <c r="P34" i="2"/>
  <c r="P58" i="2"/>
  <c r="P29" i="2"/>
  <c r="P55" i="2"/>
  <c r="J23" i="4"/>
  <c r="C188" i="6"/>
  <c r="D30" i="6"/>
  <c r="C30" i="6" s="1"/>
  <c r="B317" i="1"/>
  <c r="B311" i="1"/>
  <c r="P9" i="2"/>
  <c r="C533" i="6"/>
  <c r="D532" i="6"/>
  <c r="A532" i="6" s="1"/>
  <c r="A374" i="6"/>
  <c r="D426" i="6"/>
  <c r="C426" i="6" s="1"/>
  <c r="D428" i="6"/>
  <c r="C428" i="6" s="1"/>
  <c r="C27" i="6"/>
  <c r="D376" i="6"/>
  <c r="C376" i="6" s="1"/>
  <c r="D482" i="6"/>
  <c r="A482" i="6" s="1"/>
  <c r="D481" i="6"/>
  <c r="C481" i="6" s="1"/>
  <c r="C479" i="6"/>
  <c r="D135" i="6"/>
  <c r="G135" i="6" s="1"/>
  <c r="D531" i="6"/>
  <c r="D480" i="6"/>
  <c r="C480" i="6" s="1"/>
  <c r="D134" i="6"/>
  <c r="E134" i="6" s="1"/>
  <c r="D528" i="6"/>
  <c r="A375" i="6"/>
  <c r="A182" i="6"/>
  <c r="D131" i="6"/>
  <c r="F131" i="6" s="1"/>
  <c r="D477" i="6"/>
  <c r="C477" i="6" s="1"/>
  <c r="C80" i="6"/>
  <c r="D28" i="6"/>
  <c r="A624" i="6"/>
  <c r="C624" i="6"/>
  <c r="C368" i="6"/>
  <c r="F368" i="6"/>
  <c r="G368" i="6"/>
  <c r="E345" i="6"/>
  <c r="G345" i="6"/>
  <c r="C345" i="6"/>
  <c r="F345" i="6"/>
  <c r="N26" i="8"/>
  <c r="N28" i="8" s="1"/>
  <c r="C430" i="6"/>
  <c r="A430" i="6"/>
  <c r="C648" i="6"/>
  <c r="A648" i="6"/>
  <c r="D330" i="6"/>
  <c r="D279" i="6"/>
  <c r="D677" i="6"/>
  <c r="D625" i="6"/>
  <c r="D308" i="6"/>
  <c r="D257" i="6"/>
  <c r="D603" i="6"/>
  <c r="D655" i="6"/>
  <c r="D666" i="6"/>
  <c r="D614" i="6"/>
  <c r="D602" i="6"/>
  <c r="D654" i="6"/>
  <c r="K513" i="18"/>
  <c r="C663" i="6"/>
  <c r="A663" i="6"/>
  <c r="A613" i="6"/>
  <c r="C613" i="6"/>
  <c r="A597" i="6"/>
  <c r="C597" i="6"/>
  <c r="G259" i="6"/>
  <c r="F259" i="6"/>
  <c r="C259" i="6"/>
  <c r="E259" i="6"/>
  <c r="A259" i="6"/>
  <c r="A520" i="6"/>
  <c r="C520" i="6"/>
  <c r="A593" i="6"/>
  <c r="C593" i="6"/>
  <c r="B309" i="1"/>
  <c r="P8" i="2"/>
  <c r="N29" i="19"/>
  <c r="N34" i="19" s="1"/>
  <c r="J34" i="19"/>
  <c r="C355" i="6"/>
  <c r="A581" i="6"/>
  <c r="B314" i="1"/>
  <c r="P13" i="2"/>
  <c r="K11" i="20"/>
  <c r="J30" i="20"/>
  <c r="M35" i="20"/>
  <c r="K58" i="20"/>
  <c r="Q16" i="1"/>
  <c r="R16" i="1" s="1"/>
  <c r="I23" i="6"/>
  <c r="AD16" i="1"/>
  <c r="A422" i="6"/>
  <c r="C422" i="6"/>
  <c r="F226" i="6"/>
  <c r="A226" i="6"/>
  <c r="E226" i="6"/>
  <c r="C226" i="6"/>
  <c r="F237" i="6"/>
  <c r="C237" i="6"/>
  <c r="A237" i="6"/>
  <c r="E237" i="6"/>
  <c r="D320" i="6"/>
  <c r="D615" i="6"/>
  <c r="D667" i="6"/>
  <c r="D269" i="6"/>
  <c r="D296" i="6"/>
  <c r="F296" i="6" s="1"/>
  <c r="D245" i="6"/>
  <c r="G245" i="6" s="1"/>
  <c r="D643" i="6"/>
  <c r="D591" i="6"/>
  <c r="D329" i="6"/>
  <c r="G329" i="6" s="1"/>
  <c r="D676" i="6"/>
  <c r="D278" i="6"/>
  <c r="D642" i="6"/>
  <c r="D590" i="6"/>
  <c r="A137" i="6"/>
  <c r="A611" i="6"/>
  <c r="C611" i="6"/>
  <c r="F230" i="6"/>
  <c r="E230" i="6"/>
  <c r="C230" i="6"/>
  <c r="A230" i="6"/>
  <c r="A519" i="6"/>
  <c r="C519" i="6"/>
  <c r="A495" i="6"/>
  <c r="C495" i="6"/>
  <c r="A521" i="6"/>
  <c r="C521" i="6"/>
  <c r="M11" i="20"/>
  <c r="A370" i="6"/>
  <c r="G370" i="6"/>
  <c r="E370" i="6"/>
  <c r="F370" i="6"/>
  <c r="B308" i="1"/>
  <c r="A357" i="6"/>
  <c r="F357" i="6"/>
  <c r="E357" i="6"/>
  <c r="C357" i="6"/>
  <c r="G357" i="6"/>
  <c r="A596" i="6"/>
  <c r="C596" i="6"/>
  <c r="A498" i="6"/>
  <c r="C498" i="6"/>
  <c r="C17" i="6"/>
  <c r="F17" i="6"/>
  <c r="G355" i="6"/>
  <c r="A355" i="6"/>
  <c r="N151" i="18"/>
  <c r="X198" i="1"/>
  <c r="A356" i="6"/>
  <c r="G356" i="6"/>
  <c r="C356" i="6"/>
  <c r="E356" i="6"/>
  <c r="F273" i="6"/>
  <c r="C273" i="6"/>
  <c r="E273" i="6"/>
  <c r="A273" i="6"/>
  <c r="G273" i="6"/>
  <c r="G18" i="6"/>
  <c r="E18" i="6"/>
  <c r="F18" i="6"/>
  <c r="A18" i="6"/>
  <c r="C18" i="6"/>
  <c r="C378" i="6"/>
  <c r="A378" i="6"/>
  <c r="A486" i="6"/>
  <c r="C486" i="6"/>
  <c r="P41" i="2"/>
  <c r="M30" i="20"/>
  <c r="C633" i="6"/>
  <c r="A633" i="6"/>
  <c r="F61" i="6"/>
  <c r="E61" i="6"/>
  <c r="C380" i="6"/>
  <c r="A380" i="6"/>
  <c r="C612" i="6"/>
  <c r="E137" i="6"/>
  <c r="D100" i="6"/>
  <c r="F100" i="6" s="1"/>
  <c r="D48" i="6"/>
  <c r="D446" i="6"/>
  <c r="A446" i="6" s="1"/>
  <c r="G328" i="6"/>
  <c r="C328" i="6"/>
  <c r="A328" i="6"/>
  <c r="E328" i="6"/>
  <c r="D306" i="6"/>
  <c r="D255" i="6"/>
  <c r="D653" i="6"/>
  <c r="C629" i="6"/>
  <c r="A487" i="6"/>
  <c r="C487" i="6"/>
  <c r="P40" i="2"/>
  <c r="D72" i="6"/>
  <c r="G72" i="6" s="1"/>
  <c r="D675" i="6"/>
  <c r="D277" i="6"/>
  <c r="G277" i="6" s="1"/>
  <c r="D293" i="6"/>
  <c r="F293" i="6" s="1"/>
  <c r="D640" i="6"/>
  <c r="D242" i="6"/>
  <c r="C133" i="6"/>
  <c r="N475" i="18"/>
  <c r="N379" i="18"/>
  <c r="N175" i="18"/>
  <c r="D276" i="6"/>
  <c r="D674" i="6"/>
  <c r="D622" i="6"/>
  <c r="D292" i="6"/>
  <c r="G292" i="6" s="1"/>
  <c r="D587" i="6"/>
  <c r="D241" i="6"/>
  <c r="F19" i="6"/>
  <c r="E339" i="6"/>
  <c r="C12" i="6"/>
  <c r="C342" i="6"/>
  <c r="E342" i="6"/>
  <c r="E133" i="6"/>
  <c r="D601" i="6"/>
  <c r="D525" i="6"/>
  <c r="N486" i="18"/>
  <c r="N402" i="18"/>
  <c r="A679" i="6"/>
  <c r="C57" i="6"/>
  <c r="G57" i="6"/>
  <c r="D85" i="6"/>
  <c r="A85" i="6" s="1"/>
  <c r="D431" i="6"/>
  <c r="A431" i="6" s="1"/>
  <c r="G250" i="6"/>
  <c r="F250" i="6"/>
  <c r="D650" i="6"/>
  <c r="D598" i="6"/>
  <c r="F23" i="6"/>
  <c r="C138" i="6"/>
  <c r="C515" i="6"/>
  <c r="A491" i="6"/>
  <c r="C491" i="6"/>
  <c r="A490" i="6"/>
  <c r="C490" i="6"/>
  <c r="N233" i="18"/>
  <c r="N209" i="18"/>
  <c r="N137" i="18"/>
  <c r="N65" i="18"/>
  <c r="N17" i="18"/>
  <c r="D124" i="6"/>
  <c r="D470" i="6"/>
  <c r="A470" i="6" s="1"/>
  <c r="D406" i="6"/>
  <c r="D458" i="6"/>
  <c r="A458" i="6" s="1"/>
  <c r="D294" i="6"/>
  <c r="F294" i="6" s="1"/>
  <c r="D641" i="6"/>
  <c r="D243" i="6"/>
  <c r="C485" i="6"/>
  <c r="A485" i="6"/>
  <c r="D317" i="6"/>
  <c r="D664" i="6"/>
  <c r="D266" i="6"/>
  <c r="D305" i="6"/>
  <c r="D254" i="6"/>
  <c r="D652" i="6"/>
  <c r="D600" i="6"/>
  <c r="A353" i="6"/>
  <c r="G353" i="6"/>
  <c r="P28" i="2"/>
  <c r="P63" i="2"/>
  <c r="X40" i="2"/>
  <c r="X50" i="2" s="1"/>
  <c r="V50" i="2"/>
  <c r="N511" i="18"/>
  <c r="N403" i="18"/>
  <c r="N247" i="18"/>
  <c r="N115" i="18"/>
  <c r="F204" i="6"/>
  <c r="E204" i="6"/>
  <c r="C204" i="6"/>
  <c r="A204" i="6"/>
  <c r="D316" i="6"/>
  <c r="G316" i="6" s="1"/>
  <c r="D265" i="6"/>
  <c r="D304" i="6"/>
  <c r="D253" i="6"/>
  <c r="D599" i="6"/>
  <c r="E136" i="6"/>
  <c r="C588" i="6"/>
  <c r="N498" i="18"/>
  <c r="N450" i="18"/>
  <c r="N426" i="18"/>
  <c r="N66" i="18"/>
  <c r="E45" i="6"/>
  <c r="C45" i="6"/>
  <c r="F45" i="6"/>
  <c r="A45" i="6"/>
  <c r="D203" i="6"/>
  <c r="D152" i="6"/>
  <c r="F152" i="6" s="1"/>
  <c r="D285" i="6"/>
  <c r="F285" i="6" s="1"/>
  <c r="D632" i="6"/>
  <c r="D234" i="6"/>
  <c r="E326" i="6"/>
  <c r="C326" i="6"/>
  <c r="A326" i="6"/>
  <c r="D240" i="6"/>
  <c r="D638" i="6"/>
  <c r="C15" i="6"/>
  <c r="F339" i="6"/>
  <c r="A12" i="6"/>
  <c r="C165" i="6"/>
  <c r="A251" i="6"/>
  <c r="A15" i="6"/>
  <c r="A19" i="6"/>
  <c r="E350" i="6"/>
  <c r="G343" i="6"/>
  <c r="G363" i="6"/>
  <c r="I17" i="6"/>
  <c r="E250" i="6"/>
  <c r="E165" i="6"/>
  <c r="E138" i="6"/>
  <c r="A481" i="6"/>
  <c r="D505" i="6"/>
  <c r="D514" i="6"/>
  <c r="P48" i="2"/>
  <c r="N461" i="18"/>
  <c r="N421" i="18"/>
  <c r="A576" i="6"/>
  <c r="C576" i="6"/>
  <c r="A564" i="6"/>
  <c r="C564" i="6"/>
  <c r="A552" i="6"/>
  <c r="C552" i="6"/>
  <c r="A540" i="6"/>
  <c r="C540" i="6"/>
  <c r="A662" i="6"/>
  <c r="G153" i="6"/>
  <c r="C211" i="6"/>
  <c r="A211" i="6"/>
  <c r="D318" i="6"/>
  <c r="D267" i="6"/>
  <c r="D665" i="6"/>
  <c r="P17" i="2"/>
  <c r="B318" i="1"/>
  <c r="L30" i="20"/>
  <c r="A647" i="6"/>
  <c r="F210" i="6"/>
  <c r="C210" i="6"/>
  <c r="A210" i="6"/>
  <c r="D324" i="6"/>
  <c r="D671" i="6"/>
  <c r="D288" i="6"/>
  <c r="D635" i="6"/>
  <c r="D583" i="6"/>
  <c r="O57" i="5"/>
  <c r="F354" i="6"/>
  <c r="D589" i="6"/>
  <c r="A342" i="6"/>
  <c r="G354" i="6"/>
  <c r="F363" i="6"/>
  <c r="C580" i="6"/>
  <c r="C488" i="6"/>
  <c r="A502" i="6"/>
  <c r="N265" i="18"/>
  <c r="N241" i="18"/>
  <c r="N217" i="18"/>
  <c r="N193" i="18"/>
  <c r="N169" i="18"/>
  <c r="N145" i="18"/>
  <c r="N73" i="18"/>
  <c r="N37" i="18"/>
  <c r="N513" i="18" s="1"/>
  <c r="G148" i="6"/>
  <c r="C148" i="6"/>
  <c r="A148" i="6"/>
  <c r="D177" i="6"/>
  <c r="F177" i="6" s="1"/>
  <c r="D228" i="6"/>
  <c r="D523" i="6"/>
  <c r="D158" i="6"/>
  <c r="D504" i="6"/>
  <c r="F199" i="6"/>
  <c r="C199" i="6"/>
  <c r="A199" i="6"/>
  <c r="G199" i="6"/>
  <c r="C659" i="6"/>
  <c r="A659" i="6"/>
  <c r="D220" i="6"/>
  <c r="D169" i="6"/>
  <c r="D312" i="6"/>
  <c r="D607" i="6"/>
  <c r="D261" i="6"/>
  <c r="D300" i="6"/>
  <c r="F300" i="6" s="1"/>
  <c r="D249" i="6"/>
  <c r="F343" i="6"/>
  <c r="C142" i="6"/>
  <c r="A494" i="6"/>
  <c r="C494" i="6"/>
  <c r="M513" i="18"/>
  <c r="D76" i="6"/>
  <c r="G76" i="6" s="1"/>
  <c r="D474" i="6"/>
  <c r="A474" i="6" s="1"/>
  <c r="D128" i="6"/>
  <c r="G128" i="6" s="1"/>
  <c r="D81" i="6"/>
  <c r="D427" i="6" s="1"/>
  <c r="E219" i="6"/>
  <c r="A219" i="6"/>
  <c r="F159" i="6"/>
  <c r="G159" i="6"/>
  <c r="E159" i="6"/>
  <c r="D149" i="6"/>
  <c r="F149" i="6" s="1"/>
  <c r="D200" i="6"/>
  <c r="G200" i="6" s="1"/>
  <c r="E343" i="6"/>
  <c r="A20" i="6"/>
  <c r="G342" i="6"/>
  <c r="G337" i="6"/>
  <c r="G358" i="6"/>
  <c r="C358" i="6"/>
  <c r="C159" i="6"/>
  <c r="D379" i="6"/>
  <c r="A379" i="6" s="1"/>
  <c r="A496" i="6"/>
  <c r="C496" i="6"/>
  <c r="D610" i="6"/>
  <c r="E351" i="6"/>
  <c r="A351" i="6"/>
  <c r="J58" i="20"/>
  <c r="N492" i="18"/>
  <c r="N444" i="18"/>
  <c r="E187" i="6"/>
  <c r="C187" i="6"/>
  <c r="A187" i="6"/>
  <c r="A649" i="6"/>
  <c r="C649" i="6"/>
  <c r="F147" i="6"/>
  <c r="C147" i="6"/>
  <c r="D227" i="6"/>
  <c r="F227" i="6" s="1"/>
  <c r="D522" i="6"/>
  <c r="F167" i="6"/>
  <c r="G167" i="6"/>
  <c r="C628" i="6"/>
  <c r="N457" i="18"/>
  <c r="N437" i="18"/>
  <c r="F171" i="6"/>
  <c r="G171" i="6"/>
  <c r="F145" i="6"/>
  <c r="G145" i="6"/>
  <c r="D207" i="6"/>
  <c r="F193" i="6"/>
  <c r="G193" i="6"/>
  <c r="E193" i="6"/>
  <c r="C193" i="6"/>
  <c r="A193" i="6"/>
  <c r="B316" i="1"/>
  <c r="P57" i="2"/>
  <c r="F36" i="17"/>
  <c r="F37" i="17" s="1"/>
  <c r="C577" i="6"/>
  <c r="A577" i="6"/>
  <c r="A565" i="6"/>
  <c r="C565" i="6"/>
  <c r="F192" i="6"/>
  <c r="E192" i="6"/>
  <c r="D402" i="6"/>
  <c r="A402" i="6" s="1"/>
  <c r="D454" i="6"/>
  <c r="A454" i="6" s="1"/>
  <c r="D442" i="6"/>
  <c r="C442" i="6" s="1"/>
  <c r="D44" i="6"/>
  <c r="C44" i="6" s="1"/>
  <c r="D84" i="6"/>
  <c r="D32" i="6"/>
  <c r="D154" i="6"/>
  <c r="D205" i="6"/>
  <c r="F197" i="6"/>
  <c r="E197" i="6"/>
  <c r="C197" i="6"/>
  <c r="G332" i="6"/>
  <c r="E332" i="6"/>
  <c r="C670" i="6"/>
  <c r="A670" i="6"/>
  <c r="C658" i="6"/>
  <c r="A658" i="6"/>
  <c r="D646" i="6"/>
  <c r="D594" i="6"/>
  <c r="N480" i="18"/>
  <c r="N408" i="18"/>
  <c r="N396" i="18"/>
  <c r="N60" i="18"/>
  <c r="M43" i="20"/>
  <c r="M58" i="20" s="1"/>
  <c r="A574" i="6"/>
  <c r="C574" i="6"/>
  <c r="A562" i="6"/>
  <c r="C562" i="6"/>
  <c r="A538" i="6"/>
  <c r="C538" i="6"/>
  <c r="E185" i="6"/>
  <c r="C185" i="6"/>
  <c r="D413" i="6"/>
  <c r="D465" i="6"/>
  <c r="C465" i="6" s="1"/>
  <c r="D401" i="6"/>
  <c r="D55" i="6"/>
  <c r="D83" i="6"/>
  <c r="F83" i="6" s="1"/>
  <c r="D429" i="6"/>
  <c r="F275" i="6"/>
  <c r="N493" i="18"/>
  <c r="N473" i="18"/>
  <c r="N433" i="18"/>
  <c r="N413" i="18"/>
  <c r="M54" i="20"/>
  <c r="L34" i="19"/>
  <c r="G34" i="19" s="1"/>
  <c r="A573" i="6"/>
  <c r="C573" i="6"/>
  <c r="C561" i="6"/>
  <c r="A561" i="6"/>
  <c r="C186" i="6"/>
  <c r="A186" i="6"/>
  <c r="A332" i="6"/>
  <c r="D412" i="6"/>
  <c r="C412" i="6" s="1"/>
  <c r="D66" i="6"/>
  <c r="A66" i="6" s="1"/>
  <c r="C82" i="6"/>
  <c r="A82" i="6"/>
  <c r="D161" i="6"/>
  <c r="D212" i="6"/>
  <c r="K30" i="20"/>
  <c r="D201" i="6"/>
  <c r="D150" i="6"/>
  <c r="A570" i="6"/>
  <c r="C570" i="6"/>
  <c r="A546" i="6"/>
  <c r="C546" i="6"/>
  <c r="A534" i="6"/>
  <c r="C534" i="6"/>
  <c r="N485" i="18"/>
  <c r="N397" i="18"/>
  <c r="C672" i="6"/>
  <c r="A672" i="6"/>
  <c r="D214" i="6"/>
  <c r="G214" i="6" s="1"/>
  <c r="D206" i="6"/>
  <c r="G206" i="6" s="1"/>
  <c r="D155" i="6"/>
  <c r="G155" i="6" s="1"/>
  <c r="N377" i="18"/>
  <c r="A566" i="6"/>
  <c r="C566" i="6"/>
  <c r="A554" i="6"/>
  <c r="C554" i="6"/>
  <c r="A530" i="6"/>
  <c r="C530" i="6"/>
  <c r="D86" i="6"/>
  <c r="E86" i="6" s="1"/>
  <c r="D34" i="6"/>
  <c r="E34" i="6" s="1"/>
  <c r="D432" i="6"/>
  <c r="F198" i="6"/>
  <c r="E198" i="6"/>
  <c r="C198" i="6"/>
  <c r="D627" i="6"/>
  <c r="N497" i="18"/>
  <c r="N449" i="18"/>
  <c r="N401" i="18"/>
  <c r="M50" i="20"/>
  <c r="D678" i="6"/>
  <c r="D657" i="6"/>
  <c r="F196" i="6"/>
  <c r="E196" i="6"/>
  <c r="F191" i="6"/>
  <c r="C191" i="6"/>
  <c r="A191" i="6"/>
  <c r="G334" i="6"/>
  <c r="E334" i="6"/>
  <c r="P43" i="2"/>
  <c r="P56" i="2"/>
  <c r="A545" i="6"/>
  <c r="G131" i="6"/>
  <c r="F182" i="6"/>
  <c r="E182" i="6"/>
  <c r="G182" i="6"/>
  <c r="C223" i="6"/>
  <c r="A223" i="6"/>
  <c r="D236" i="6"/>
  <c r="D634" i="6"/>
  <c r="G322" i="6"/>
  <c r="C322" i="6"/>
  <c r="A322" i="6"/>
  <c r="M46" i="20"/>
  <c r="M52" i="20"/>
  <c r="D258" i="6"/>
  <c r="M44" i="20"/>
  <c r="O872" i="10"/>
  <c r="R872" i="10"/>
  <c r="U872" i="10"/>
  <c r="P872" i="10"/>
  <c r="AF13" i="1"/>
  <c r="AH13" i="1" s="1"/>
  <c r="P59" i="2"/>
  <c r="V65" i="2"/>
  <c r="N50" i="2"/>
  <c r="F36" i="2"/>
  <c r="F50" i="2"/>
  <c r="H50" i="2"/>
  <c r="C16" i="6"/>
  <c r="E16" i="6"/>
  <c r="G16" i="6"/>
  <c r="A16" i="6"/>
  <c r="F16" i="6"/>
  <c r="G21" i="6"/>
  <c r="C21" i="6"/>
  <c r="A21" i="6"/>
  <c r="E21" i="6"/>
  <c r="F21" i="6"/>
  <c r="F24" i="6"/>
  <c r="E24" i="6"/>
  <c r="G24" i="6"/>
  <c r="C24" i="6"/>
  <c r="F346" i="6"/>
  <c r="E346" i="6"/>
  <c r="A346" i="6"/>
  <c r="C346" i="6"/>
  <c r="F341" i="6"/>
  <c r="C341" i="6"/>
  <c r="A341" i="6"/>
  <c r="A338" i="6"/>
  <c r="E338" i="6"/>
  <c r="F338" i="6"/>
  <c r="C338" i="6"/>
  <c r="AF14" i="1"/>
  <c r="AH14" i="1" s="1"/>
  <c r="R14" i="1"/>
  <c r="O20" i="5"/>
  <c r="E23" i="6"/>
  <c r="G23" i="6"/>
  <c r="A23" i="6"/>
  <c r="C340" i="6"/>
  <c r="E340" i="6"/>
  <c r="F340" i="6"/>
  <c r="A340" i="6"/>
  <c r="E367" i="6"/>
  <c r="A367" i="6"/>
  <c r="G367" i="6"/>
  <c r="F367" i="6"/>
  <c r="C367" i="6"/>
  <c r="C365" i="6"/>
  <c r="A365" i="6"/>
  <c r="G365" i="6"/>
  <c r="E365" i="6"/>
  <c r="F365" i="6"/>
  <c r="G362" i="6"/>
  <c r="A362" i="6"/>
  <c r="E362" i="6"/>
  <c r="F362" i="6"/>
  <c r="C362" i="6"/>
  <c r="A11" i="6"/>
  <c r="G11" i="6"/>
  <c r="F11" i="6"/>
  <c r="C11" i="6"/>
  <c r="E11" i="6"/>
  <c r="N369" i="18"/>
  <c r="L513" i="18"/>
  <c r="C364" i="6"/>
  <c r="E364" i="6"/>
  <c r="F364" i="6"/>
  <c r="A364" i="6"/>
  <c r="G364" i="6"/>
  <c r="F7" i="6"/>
  <c r="E7" i="6"/>
  <c r="G7" i="6"/>
  <c r="C7" i="6"/>
  <c r="E344" i="6"/>
  <c r="A344" i="6"/>
  <c r="G344" i="6"/>
  <c r="C344" i="6"/>
  <c r="F344" i="6"/>
  <c r="G361" i="6"/>
  <c r="A361" i="6"/>
  <c r="C361" i="6"/>
  <c r="F361" i="6"/>
  <c r="H65" i="2"/>
  <c r="H36" i="2"/>
  <c r="H18" i="2"/>
  <c r="H19" i="2" s="1"/>
  <c r="R3" i="1" s="1"/>
  <c r="C20" i="6"/>
  <c r="E22" i="6"/>
  <c r="A345" i="6"/>
  <c r="F356" i="6"/>
  <c r="F351" i="6"/>
  <c r="F355" i="6"/>
  <c r="G349" i="6"/>
  <c r="F349" i="6"/>
  <c r="G339" i="6"/>
  <c r="C337" i="6"/>
  <c r="A368" i="6"/>
  <c r="E368" i="6"/>
  <c r="C136" i="6"/>
  <c r="C497" i="6"/>
  <c r="C586" i="6"/>
  <c r="F138" i="6"/>
  <c r="G138" i="6"/>
  <c r="G180" i="6"/>
  <c r="F180" i="6"/>
  <c r="F137" i="6"/>
  <c r="G137" i="6"/>
  <c r="G134" i="6"/>
  <c r="F134" i="6"/>
  <c r="F65" i="2"/>
  <c r="P64" i="2"/>
  <c r="X54" i="2"/>
  <c r="X65" i="2" s="1"/>
  <c r="X36" i="2"/>
  <c r="V36" i="2"/>
  <c r="X18" i="2"/>
  <c r="X19" i="2" s="1"/>
  <c r="O3" i="1" s="1"/>
  <c r="P197" i="1" s="1"/>
  <c r="Q197" i="1" s="1"/>
  <c r="AF197" i="1" s="1"/>
  <c r="AH197" i="1" s="1"/>
  <c r="F22" i="6"/>
  <c r="E337" i="6"/>
  <c r="F139" i="6"/>
  <c r="G139" i="6"/>
  <c r="F133" i="6"/>
  <c r="G133" i="6"/>
  <c r="A22" i="6"/>
  <c r="F136" i="6"/>
  <c r="G136" i="6"/>
  <c r="N36" i="2"/>
  <c r="F185" i="6"/>
  <c r="G185" i="6"/>
  <c r="F189" i="6"/>
  <c r="G189" i="6"/>
  <c r="C189" i="6"/>
  <c r="F186" i="6"/>
  <c r="G186" i="6"/>
  <c r="F190" i="6"/>
  <c r="G190" i="6"/>
  <c r="E190" i="6"/>
  <c r="F187" i="6"/>
  <c r="G187" i="6"/>
  <c r="F231" i="6"/>
  <c r="G231" i="6"/>
  <c r="C231" i="6"/>
  <c r="F184" i="6"/>
  <c r="G184" i="6"/>
  <c r="F188" i="6"/>
  <c r="G188" i="6"/>
  <c r="A188" i="6"/>
  <c r="F82" i="6"/>
  <c r="G82" i="6"/>
  <c r="F223" i="6"/>
  <c r="G223" i="6"/>
  <c r="F215" i="6"/>
  <c r="G215" i="6"/>
  <c r="F174" i="6"/>
  <c r="G174" i="6"/>
  <c r="F166" i="6"/>
  <c r="G166" i="6"/>
  <c r="F84" i="6"/>
  <c r="G84" i="6"/>
  <c r="F80" i="6"/>
  <c r="G80" i="6"/>
  <c r="G227" i="6"/>
  <c r="F219" i="6"/>
  <c r="G219" i="6"/>
  <c r="F211" i="6"/>
  <c r="G211" i="6"/>
  <c r="G27" i="6"/>
  <c r="F27" i="6"/>
  <c r="F178" i="6"/>
  <c r="G178" i="6"/>
  <c r="F170" i="6"/>
  <c r="G170" i="6"/>
  <c r="F162" i="6"/>
  <c r="G162" i="6"/>
  <c r="D68" i="6"/>
  <c r="A68" i="6" s="1"/>
  <c r="D35" i="6"/>
  <c r="D31" i="6"/>
  <c r="D79" i="6"/>
  <c r="D425" i="6" s="1"/>
  <c r="D119" i="6"/>
  <c r="E119" i="6" s="1"/>
  <c r="D112" i="6"/>
  <c r="G112" i="6" s="1"/>
  <c r="D176" i="6"/>
  <c r="D172" i="6"/>
  <c r="D168" i="6"/>
  <c r="F165" i="6"/>
  <c r="D164" i="6"/>
  <c r="D160" i="6"/>
  <c r="G147" i="6"/>
  <c r="F144" i="6"/>
  <c r="G230" i="6"/>
  <c r="D229" i="6"/>
  <c r="G226" i="6"/>
  <c r="D225" i="6"/>
  <c r="G222" i="6"/>
  <c r="D221" i="6"/>
  <c r="D217" i="6"/>
  <c r="D213" i="6"/>
  <c r="G210" i="6"/>
  <c r="D209" i="6"/>
  <c r="G202" i="6"/>
  <c r="G198" i="6"/>
  <c r="G278" i="6"/>
  <c r="F278" i="6"/>
  <c r="F329" i="6"/>
  <c r="D67" i="6"/>
  <c r="E67" i="6" s="1"/>
  <c r="D60" i="6"/>
  <c r="D36" i="6"/>
  <c r="E36" i="6" s="1"/>
  <c r="D33" i="6"/>
  <c r="F33" i="6" s="1"/>
  <c r="D29" i="6"/>
  <c r="D87" i="6"/>
  <c r="E87" i="6" s="1"/>
  <c r="F156" i="6"/>
  <c r="G151" i="6"/>
  <c r="F148" i="6"/>
  <c r="G143" i="6"/>
  <c r="G228" i="6"/>
  <c r="G224" i="6"/>
  <c r="G208" i="6"/>
  <c r="G204" i="6"/>
  <c r="G196" i="6"/>
  <c r="G192" i="6"/>
  <c r="G333" i="6"/>
  <c r="F333" i="6"/>
  <c r="G325" i="6"/>
  <c r="F325" i="6"/>
  <c r="F316" i="6"/>
  <c r="F308" i="6"/>
  <c r="G308" i="6"/>
  <c r="F304" i="6"/>
  <c r="G304" i="6"/>
  <c r="G300" i="6"/>
  <c r="F292" i="6"/>
  <c r="F288" i="6"/>
  <c r="G288" i="6"/>
  <c r="F270" i="6"/>
  <c r="G261" i="6"/>
  <c r="F254" i="6"/>
  <c r="F238" i="6"/>
  <c r="F334" i="6"/>
  <c r="F330" i="6"/>
  <c r="F326" i="6"/>
  <c r="F321" i="6"/>
  <c r="D268" i="6"/>
  <c r="D319" i="6"/>
  <c r="D264" i="6"/>
  <c r="D315" i="6"/>
  <c r="D260" i="6"/>
  <c r="D311" i="6"/>
  <c r="D256" i="6"/>
  <c r="D307" i="6"/>
  <c r="D252" i="6"/>
  <c r="D303" i="6"/>
  <c r="D248" i="6"/>
  <c r="D299" i="6"/>
  <c r="D244" i="6"/>
  <c r="D295" i="6"/>
  <c r="G271" i="6"/>
  <c r="G255" i="6"/>
  <c r="G239" i="6"/>
  <c r="D272" i="6"/>
  <c r="D323" i="6"/>
  <c r="F318" i="6"/>
  <c r="G318" i="6"/>
  <c r="F314" i="6"/>
  <c r="G314" i="6"/>
  <c r="F310" i="6"/>
  <c r="G310" i="6"/>
  <c r="F306" i="6"/>
  <c r="G306" i="6"/>
  <c r="F302" i="6"/>
  <c r="G302" i="6"/>
  <c r="F298" i="6"/>
  <c r="G298" i="6"/>
  <c r="F290" i="6"/>
  <c r="G290" i="6"/>
  <c r="F286" i="6"/>
  <c r="G286" i="6"/>
  <c r="G253" i="6"/>
  <c r="F246" i="6"/>
  <c r="G237" i="6"/>
  <c r="F332" i="6"/>
  <c r="D331" i="6"/>
  <c r="F328" i="6"/>
  <c r="D327" i="6"/>
  <c r="F324" i="6"/>
  <c r="F322" i="6"/>
  <c r="F317" i="6"/>
  <c r="G317" i="6"/>
  <c r="F313" i="6"/>
  <c r="G313" i="6"/>
  <c r="F309" i="6"/>
  <c r="G309" i="6"/>
  <c r="F305" i="6"/>
  <c r="F301" i="6"/>
  <c r="G301" i="6"/>
  <c r="F297" i="6"/>
  <c r="G297" i="6"/>
  <c r="F289" i="6"/>
  <c r="G289" i="6"/>
  <c r="D291" i="6"/>
  <c r="D287" i="6"/>
  <c r="P35" i="2"/>
  <c r="N65" i="2"/>
  <c r="R15" i="1"/>
  <c r="AF17" i="1"/>
  <c r="AH17" i="1" s="1"/>
  <c r="D382" i="6"/>
  <c r="C382" i="6" s="1"/>
  <c r="A442" i="6"/>
  <c r="E44" i="6"/>
  <c r="D385" i="6"/>
  <c r="C385" i="6" s="1"/>
  <c r="D441" i="6"/>
  <c r="C441" i="6" s="1"/>
  <c r="F44" i="6"/>
  <c r="D123" i="6"/>
  <c r="C123" i="6" s="1"/>
  <c r="X20" i="1"/>
  <c r="E57" i="6"/>
  <c r="A44" i="6"/>
  <c r="D397" i="6"/>
  <c r="A397" i="6" s="1"/>
  <c r="D462" i="6"/>
  <c r="A462" i="6" s="1"/>
  <c r="D96" i="6"/>
  <c r="A96" i="6" s="1"/>
  <c r="E75" i="6"/>
  <c r="D389" i="6"/>
  <c r="A389" i="6" s="1"/>
  <c r="D71" i="6"/>
  <c r="G71" i="6" s="1"/>
  <c r="E51" i="6"/>
  <c r="D396" i="6"/>
  <c r="A396" i="6" s="1"/>
  <c r="A418" i="6"/>
  <c r="D410" i="6"/>
  <c r="C410" i="6" s="1"/>
  <c r="A453" i="6"/>
  <c r="A473" i="6"/>
  <c r="D469" i="6"/>
  <c r="D437" i="6"/>
  <c r="F57" i="6"/>
  <c r="A100" i="6"/>
  <c r="G10" i="6"/>
  <c r="A10" i="6"/>
  <c r="F10" i="6"/>
  <c r="C10" i="6"/>
  <c r="X54" i="1"/>
  <c r="X38" i="1"/>
  <c r="A116" i="6"/>
  <c r="E116" i="6"/>
  <c r="F116" i="6"/>
  <c r="X26" i="1"/>
  <c r="E40" i="6"/>
  <c r="C40" i="6"/>
  <c r="F88" i="6"/>
  <c r="E88" i="6"/>
  <c r="A88" i="6"/>
  <c r="F8" i="6"/>
  <c r="A8" i="6"/>
  <c r="X47" i="1"/>
  <c r="X27" i="1"/>
  <c r="X41" i="1"/>
  <c r="C402" i="6"/>
  <c r="F104" i="6"/>
  <c r="A104" i="6"/>
  <c r="E104" i="6"/>
  <c r="A51" i="6"/>
  <c r="D386" i="6"/>
  <c r="C379" i="6"/>
  <c r="F34" i="6"/>
  <c r="D108" i="6"/>
  <c r="C108" i="6" s="1"/>
  <c r="D92" i="6"/>
  <c r="W42" i="1"/>
  <c r="X42" i="1" s="1"/>
  <c r="A433" i="6"/>
  <c r="A449" i="6"/>
  <c r="A457" i="6"/>
  <c r="D466" i="6"/>
  <c r="D461" i="6"/>
  <c r="D450" i="6"/>
  <c r="D445" i="6"/>
  <c r="D434" i="6"/>
  <c r="D63" i="6"/>
  <c r="C63" i="6" s="1"/>
  <c r="D56" i="6"/>
  <c r="A56" i="6" s="1"/>
  <c r="D52" i="6"/>
  <c r="C52" i="6" s="1"/>
  <c r="D43" i="6"/>
  <c r="A43" i="6" s="1"/>
  <c r="G37" i="6"/>
  <c r="D120" i="6"/>
  <c r="G120" i="6" s="1"/>
  <c r="F51" i="6"/>
  <c r="D99" i="6"/>
  <c r="A99" i="6" s="1"/>
  <c r="E37" i="6"/>
  <c r="C51" i="6"/>
  <c r="C55" i="6"/>
  <c r="C400" i="6"/>
  <c r="C53" i="6"/>
  <c r="A60" i="6"/>
  <c r="D411" i="6"/>
  <c r="D394" i="6"/>
  <c r="D64" i="6"/>
  <c r="F60" i="6"/>
  <c r="G53" i="6"/>
  <c r="D50" i="6"/>
  <c r="C50" i="6" s="1"/>
  <c r="D47" i="6"/>
  <c r="E47" i="6" s="1"/>
  <c r="D39" i="6"/>
  <c r="D107" i="6"/>
  <c r="C107" i="6" s="1"/>
  <c r="G102" i="6"/>
  <c r="C102" i="6"/>
  <c r="F102" i="6"/>
  <c r="E102" i="6"/>
  <c r="A102" i="6"/>
  <c r="X53" i="1"/>
  <c r="X36" i="1"/>
  <c r="F46" i="6"/>
  <c r="G46" i="6"/>
  <c r="E46" i="6"/>
  <c r="C46" i="6"/>
  <c r="A46" i="6"/>
  <c r="X63" i="1"/>
  <c r="A472" i="6"/>
  <c r="C472" i="6"/>
  <c r="C404" i="6"/>
  <c r="A404" i="6"/>
  <c r="F42" i="6"/>
  <c r="C42" i="6"/>
  <c r="G42" i="6"/>
  <c r="A42" i="6"/>
  <c r="E42" i="6"/>
  <c r="X58" i="1"/>
  <c r="X44" i="1"/>
  <c r="G122" i="6"/>
  <c r="A122" i="6"/>
  <c r="F122" i="6"/>
  <c r="C122" i="6"/>
  <c r="E122" i="6"/>
  <c r="A436" i="6"/>
  <c r="C436" i="6"/>
  <c r="F66" i="6"/>
  <c r="G111" i="6"/>
  <c r="A111" i="6"/>
  <c r="G107" i="6"/>
  <c r="A107" i="6"/>
  <c r="G103" i="6"/>
  <c r="A103" i="6"/>
  <c r="G95" i="6"/>
  <c r="A95" i="6"/>
  <c r="G91" i="6"/>
  <c r="A91" i="6"/>
  <c r="C395" i="6"/>
  <c r="A395" i="6"/>
  <c r="E63" i="6"/>
  <c r="D73" i="6"/>
  <c r="D419" i="6"/>
  <c r="D69" i="6"/>
  <c r="D415" i="6"/>
  <c r="A61" i="6"/>
  <c r="C61" i="6"/>
  <c r="D41" i="6"/>
  <c r="D387" i="6"/>
  <c r="G67" i="6"/>
  <c r="E68" i="6"/>
  <c r="E59" i="6"/>
  <c r="X51" i="1"/>
  <c r="X29" i="1"/>
  <c r="A391" i="6"/>
  <c r="C405" i="6"/>
  <c r="A59" i="6"/>
  <c r="W52" i="1"/>
  <c r="W30" i="1"/>
  <c r="A414" i="6"/>
  <c r="D416" i="6"/>
  <c r="E115" i="6"/>
  <c r="D468" i="6"/>
  <c r="D464" i="6"/>
  <c r="D456" i="6"/>
  <c r="D448" i="6"/>
  <c r="D440" i="6"/>
  <c r="F75" i="6"/>
  <c r="D70" i="6"/>
  <c r="F68" i="6"/>
  <c r="G66" i="6"/>
  <c r="D54" i="6"/>
  <c r="D38" i="6"/>
  <c r="F127" i="6"/>
  <c r="D126" i="6"/>
  <c r="D118" i="6"/>
  <c r="F115" i="6"/>
  <c r="D114" i="6"/>
  <c r="F111" i="6"/>
  <c r="D110" i="6"/>
  <c r="F107" i="6"/>
  <c r="D106" i="6"/>
  <c r="F103" i="6"/>
  <c r="D98" i="6"/>
  <c r="F95" i="6"/>
  <c r="D94" i="6"/>
  <c r="F91" i="6"/>
  <c r="D90" i="6"/>
  <c r="E10" i="6"/>
  <c r="W68" i="1"/>
  <c r="X59" i="1"/>
  <c r="E66" i="6"/>
  <c r="C68" i="6"/>
  <c r="C75" i="6"/>
  <c r="A49" i="6"/>
  <c r="E49" i="6"/>
  <c r="A37" i="6"/>
  <c r="A40" i="6"/>
  <c r="A65" i="6"/>
  <c r="C421" i="6"/>
  <c r="D399" i="6"/>
  <c r="D388" i="6"/>
  <c r="W45" i="1"/>
  <c r="W31" i="1"/>
  <c r="D392" i="6"/>
  <c r="D403" i="6"/>
  <c r="A409" i="6"/>
  <c r="E95" i="6"/>
  <c r="E111" i="6"/>
  <c r="D74" i="6"/>
  <c r="G68" i="6"/>
  <c r="F65" i="6"/>
  <c r="G61" i="6"/>
  <c r="D58" i="6"/>
  <c r="F56" i="6"/>
  <c r="F49" i="6"/>
  <c r="G45" i="6"/>
  <c r="F40" i="6"/>
  <c r="D125" i="6"/>
  <c r="D121" i="6"/>
  <c r="D117" i="6"/>
  <c r="D113" i="6"/>
  <c r="D109" i="6"/>
  <c r="D105" i="6"/>
  <c r="D101" i="6"/>
  <c r="D97" i="6"/>
  <c r="D93" i="6"/>
  <c r="D89" i="6"/>
  <c r="G59" i="6"/>
  <c r="C59" i="6"/>
  <c r="G127" i="6"/>
  <c r="A127" i="6"/>
  <c r="G115" i="6"/>
  <c r="A115" i="6"/>
  <c r="A382" i="6"/>
  <c r="G8" i="6"/>
  <c r="E8" i="6"/>
  <c r="C8" i="6"/>
  <c r="G124" i="6"/>
  <c r="C124" i="6"/>
  <c r="G116" i="6"/>
  <c r="C116" i="6"/>
  <c r="G104" i="6"/>
  <c r="C104" i="6"/>
  <c r="G92" i="6"/>
  <c r="C92" i="6"/>
  <c r="G88" i="6"/>
  <c r="C88" i="6"/>
  <c r="X43" i="1"/>
  <c r="A75" i="6"/>
  <c r="C389" i="6"/>
  <c r="D384" i="6"/>
  <c r="A398" i="6"/>
  <c r="D420" i="6"/>
  <c r="C87" i="6"/>
  <c r="C103" i="6"/>
  <c r="C119" i="6"/>
  <c r="D460" i="6"/>
  <c r="D452" i="6"/>
  <c r="D444" i="6"/>
  <c r="E53" i="6"/>
  <c r="D383" i="6"/>
  <c r="D407" i="6"/>
  <c r="AA211" i="1"/>
  <c r="E91" i="6"/>
  <c r="C95" i="6"/>
  <c r="E107" i="6"/>
  <c r="C111" i="6"/>
  <c r="C127" i="6"/>
  <c r="C438" i="6"/>
  <c r="C454" i="6"/>
  <c r="C470" i="6"/>
  <c r="D471" i="6"/>
  <c r="D467" i="6"/>
  <c r="D463" i="6"/>
  <c r="D459" i="6"/>
  <c r="D455" i="6"/>
  <c r="D451" i="6"/>
  <c r="D447" i="6"/>
  <c r="D443" i="6"/>
  <c r="D439" i="6"/>
  <c r="D435" i="6"/>
  <c r="G65" i="6"/>
  <c r="D62" i="6"/>
  <c r="F53" i="6"/>
  <c r="G49" i="6"/>
  <c r="G40" i="6"/>
  <c r="F37" i="6"/>
  <c r="C478" i="6"/>
  <c r="A478" i="6"/>
  <c r="D183" i="6"/>
  <c r="G183" i="6" s="1"/>
  <c r="D132" i="6"/>
  <c r="E132" i="6" s="1"/>
  <c r="I9" i="6"/>
  <c r="D9" i="6" s="1"/>
  <c r="N8" i="1"/>
  <c r="O8" i="1" s="1"/>
  <c r="H15" i="6" s="1"/>
  <c r="M211" i="1"/>
  <c r="R213" i="1" s="1"/>
  <c r="H132" i="6"/>
  <c r="AB75" i="1"/>
  <c r="AB77" i="1"/>
  <c r="O9" i="1"/>
  <c r="AF10" i="1" l="1"/>
  <c r="AH10" i="1" s="1"/>
  <c r="E218" i="6"/>
  <c r="A492" i="6"/>
  <c r="A202" i="6"/>
  <c r="F179" i="6"/>
  <c r="C216" i="6"/>
  <c r="G216" i="6"/>
  <c r="A218" i="6"/>
  <c r="C202" i="6"/>
  <c r="A216" i="6"/>
  <c r="G218" i="6"/>
  <c r="C218" i="6"/>
  <c r="E153" i="6"/>
  <c r="F202" i="6"/>
  <c r="C506" i="6"/>
  <c r="C513" i="6"/>
  <c r="E216" i="6"/>
  <c r="A171" i="6"/>
  <c r="E171" i="6"/>
  <c r="C171" i="6"/>
  <c r="E142" i="6"/>
  <c r="F153" i="6"/>
  <c r="A153" i="6"/>
  <c r="A516" i="6"/>
  <c r="C516" i="6"/>
  <c r="E179" i="6"/>
  <c r="E146" i="6"/>
  <c r="G142" i="6"/>
  <c r="A179" i="6"/>
  <c r="A146" i="6"/>
  <c r="F142" i="6"/>
  <c r="C179" i="6"/>
  <c r="G146" i="6"/>
  <c r="F146" i="6"/>
  <c r="G285" i="6"/>
  <c r="G140" i="6"/>
  <c r="A140" i="6"/>
  <c r="C140" i="6"/>
  <c r="E140" i="6"/>
  <c r="F63" i="6"/>
  <c r="A465" i="6"/>
  <c r="C512" i="6"/>
  <c r="A512" i="6"/>
  <c r="G262" i="6"/>
  <c r="C262" i="6"/>
  <c r="A262" i="6"/>
  <c r="E262" i="6"/>
  <c r="E195" i="6"/>
  <c r="G195" i="6"/>
  <c r="G99" i="6"/>
  <c r="G34" i="6"/>
  <c r="G141" i="6"/>
  <c r="A141" i="6"/>
  <c r="C141" i="6"/>
  <c r="E141" i="6"/>
  <c r="A282" i="6"/>
  <c r="G173" i="6"/>
  <c r="E173" i="6"/>
  <c r="A173" i="6"/>
  <c r="C173" i="6"/>
  <c r="C396" i="6"/>
  <c r="F262" i="6"/>
  <c r="C120" i="6"/>
  <c r="A441" i="6"/>
  <c r="G44" i="6"/>
  <c r="F140" i="6"/>
  <c r="A426" i="6"/>
  <c r="A134" i="6"/>
  <c r="G274" i="6"/>
  <c r="F274" i="6"/>
  <c r="C274" i="6"/>
  <c r="E274" i="6"/>
  <c r="A274" i="6"/>
  <c r="A673" i="6"/>
  <c r="C673" i="6"/>
  <c r="A195" i="6"/>
  <c r="C373" i="6"/>
  <c r="A503" i="6"/>
  <c r="C503" i="6"/>
  <c r="G296" i="6"/>
  <c r="E282" i="6"/>
  <c r="F282" i="6"/>
  <c r="G293" i="6"/>
  <c r="G36" i="6"/>
  <c r="C458" i="6"/>
  <c r="F195" i="6"/>
  <c r="E30" i="6"/>
  <c r="F239" i="6"/>
  <c r="E239" i="6"/>
  <c r="C239" i="6"/>
  <c r="A239" i="6"/>
  <c r="F36" i="6"/>
  <c r="A36" i="6"/>
  <c r="G30" i="6"/>
  <c r="F271" i="6"/>
  <c r="E271" i="6"/>
  <c r="A271" i="6"/>
  <c r="C271" i="6"/>
  <c r="F194" i="6"/>
  <c r="E194" i="6"/>
  <c r="C194" i="6"/>
  <c r="A194" i="6"/>
  <c r="F263" i="6"/>
  <c r="E263" i="6"/>
  <c r="C263" i="6"/>
  <c r="A263" i="6"/>
  <c r="G263" i="6"/>
  <c r="G282" i="6"/>
  <c r="C636" i="6"/>
  <c r="A636" i="6"/>
  <c r="C669" i="6"/>
  <c r="A669" i="6"/>
  <c r="C195" i="6"/>
  <c r="C71" i="6"/>
  <c r="C36" i="6"/>
  <c r="F99" i="6"/>
  <c r="C474" i="6"/>
  <c r="F52" i="6"/>
  <c r="E99" i="6"/>
  <c r="C66" i="6"/>
  <c r="F112" i="6"/>
  <c r="G194" i="6"/>
  <c r="F30" i="6"/>
  <c r="A30" i="6"/>
  <c r="G157" i="6"/>
  <c r="C157" i="6"/>
  <c r="E157" i="6"/>
  <c r="A157" i="6"/>
  <c r="G283" i="6"/>
  <c r="C283" i="6"/>
  <c r="E283" i="6"/>
  <c r="F283" i="6"/>
  <c r="A283" i="6"/>
  <c r="X51" i="2"/>
  <c r="X21" i="2" s="1"/>
  <c r="B288" i="1" s="1"/>
  <c r="H37" i="2"/>
  <c r="H20" i="2" s="1"/>
  <c r="B303" i="1" s="1"/>
  <c r="P36" i="2"/>
  <c r="P37" i="2" s="1"/>
  <c r="P20" i="2" s="1"/>
  <c r="B319" i="1" s="1"/>
  <c r="P50" i="2"/>
  <c r="A428" i="6"/>
  <c r="A376" i="6"/>
  <c r="P202" i="1"/>
  <c r="AD202" i="1" s="1"/>
  <c r="I363" i="6" s="1"/>
  <c r="P191" i="1"/>
  <c r="Q191" i="1" s="1"/>
  <c r="R191" i="1" s="1"/>
  <c r="P209" i="1"/>
  <c r="Q209" i="1" s="1"/>
  <c r="P206" i="1"/>
  <c r="AD206" i="1" s="1"/>
  <c r="I367" i="6" s="1"/>
  <c r="P190" i="1"/>
  <c r="Q190" i="1" s="1"/>
  <c r="R190" i="1" s="1"/>
  <c r="P200" i="1"/>
  <c r="AD200" i="1" s="1"/>
  <c r="I361" i="6" s="1"/>
  <c r="P188" i="1"/>
  <c r="Q188" i="1" s="1"/>
  <c r="R188" i="1" s="1"/>
  <c r="P177" i="1"/>
  <c r="Q177" i="1" s="1"/>
  <c r="P186" i="1"/>
  <c r="Q186" i="1" s="1"/>
  <c r="R186" i="1" s="1"/>
  <c r="P18" i="2"/>
  <c r="P19" i="2" s="1"/>
  <c r="R4" i="1" s="1"/>
  <c r="H127" i="1" s="1"/>
  <c r="I237" i="6" s="1"/>
  <c r="C482" i="6"/>
  <c r="C532" i="6"/>
  <c r="F183" i="6"/>
  <c r="A477" i="6"/>
  <c r="A480" i="6"/>
  <c r="A135" i="6"/>
  <c r="E135" i="6"/>
  <c r="C135" i="6"/>
  <c r="F135" i="6"/>
  <c r="C134" i="6"/>
  <c r="A531" i="6"/>
  <c r="C531" i="6"/>
  <c r="A528" i="6"/>
  <c r="C528" i="6"/>
  <c r="E131" i="6"/>
  <c r="A131" i="6"/>
  <c r="C131" i="6"/>
  <c r="G28" i="6"/>
  <c r="E28" i="6"/>
  <c r="A28" i="6"/>
  <c r="C28" i="6"/>
  <c r="F28" i="6"/>
  <c r="A425" i="6"/>
  <c r="C425" i="6"/>
  <c r="A657" i="6"/>
  <c r="C657" i="6"/>
  <c r="A81" i="6"/>
  <c r="E81" i="6"/>
  <c r="C81" i="6"/>
  <c r="C504" i="6"/>
  <c r="A504" i="6"/>
  <c r="A675" i="6"/>
  <c r="C675" i="6"/>
  <c r="F269" i="6"/>
  <c r="E269" i="6"/>
  <c r="A269" i="6"/>
  <c r="C269" i="6"/>
  <c r="A614" i="6"/>
  <c r="C614" i="6"/>
  <c r="AB211" i="1"/>
  <c r="J4" i="6" s="1"/>
  <c r="F201" i="6"/>
  <c r="G201" i="6"/>
  <c r="A201" i="6"/>
  <c r="C201" i="6"/>
  <c r="E201" i="6"/>
  <c r="G55" i="6"/>
  <c r="E55" i="6"/>
  <c r="A312" i="6"/>
  <c r="C312" i="6"/>
  <c r="E312" i="6"/>
  <c r="E158" i="6"/>
  <c r="C158" i="6"/>
  <c r="A158" i="6"/>
  <c r="C667" i="6"/>
  <c r="A667" i="6"/>
  <c r="G81" i="6"/>
  <c r="C401" i="6"/>
  <c r="A401" i="6"/>
  <c r="A514" i="6"/>
  <c r="C514" i="6"/>
  <c r="C600" i="6"/>
  <c r="A600" i="6"/>
  <c r="C48" i="6"/>
  <c r="A48" i="6"/>
  <c r="F212" i="6"/>
  <c r="C212" i="6"/>
  <c r="A212" i="6"/>
  <c r="E212" i="6"/>
  <c r="F207" i="6"/>
  <c r="C207" i="6"/>
  <c r="A207" i="6"/>
  <c r="G207" i="6"/>
  <c r="E207" i="6"/>
  <c r="C227" i="6"/>
  <c r="A227" i="6"/>
  <c r="E227" i="6"/>
  <c r="A505" i="6"/>
  <c r="C505" i="6"/>
  <c r="G243" i="6"/>
  <c r="F243" i="6"/>
  <c r="E243" i="6"/>
  <c r="C243" i="6"/>
  <c r="A243" i="6"/>
  <c r="A590" i="6"/>
  <c r="C590" i="6"/>
  <c r="G320" i="6"/>
  <c r="E320" i="6"/>
  <c r="C320" i="6"/>
  <c r="A320" i="6"/>
  <c r="F85" i="6"/>
  <c r="A589" i="6"/>
  <c r="C589" i="6"/>
  <c r="F234" i="6"/>
  <c r="A234" i="6"/>
  <c r="E234" i="6"/>
  <c r="G234" i="6"/>
  <c r="C234" i="6"/>
  <c r="A641" i="6"/>
  <c r="C641" i="6"/>
  <c r="C642" i="6"/>
  <c r="A642" i="6"/>
  <c r="F257" i="6"/>
  <c r="C257" i="6"/>
  <c r="E257" i="6"/>
  <c r="G257" i="6"/>
  <c r="A257" i="6"/>
  <c r="C128" i="6"/>
  <c r="E85" i="6"/>
  <c r="AF16" i="1"/>
  <c r="AH16" i="1" s="1"/>
  <c r="F205" i="6"/>
  <c r="G205" i="6"/>
  <c r="A205" i="6"/>
  <c r="E205" i="6"/>
  <c r="C205" i="6"/>
  <c r="F220" i="6"/>
  <c r="E220" i="6"/>
  <c r="C220" i="6"/>
  <c r="A220" i="6"/>
  <c r="E305" i="6"/>
  <c r="A305" i="6"/>
  <c r="C305" i="6"/>
  <c r="A278" i="6"/>
  <c r="E278" i="6"/>
  <c r="C278" i="6"/>
  <c r="C308" i="6"/>
  <c r="E308" i="6"/>
  <c r="A308" i="6"/>
  <c r="C446" i="6"/>
  <c r="A50" i="6"/>
  <c r="G100" i="6"/>
  <c r="F50" i="6"/>
  <c r="F72" i="6"/>
  <c r="G269" i="6"/>
  <c r="G312" i="6"/>
  <c r="G236" i="6"/>
  <c r="E236" i="6"/>
  <c r="C236" i="6"/>
  <c r="A236" i="6"/>
  <c r="F236" i="6"/>
  <c r="C627" i="6"/>
  <c r="A627" i="6"/>
  <c r="A594" i="6"/>
  <c r="C594" i="6"/>
  <c r="C523" i="6"/>
  <c r="A523" i="6"/>
  <c r="A285" i="6"/>
  <c r="E285" i="6"/>
  <c r="C285" i="6"/>
  <c r="G266" i="6"/>
  <c r="F266" i="6"/>
  <c r="E266" i="6"/>
  <c r="A266" i="6"/>
  <c r="C266" i="6"/>
  <c r="C653" i="6"/>
  <c r="A653" i="6"/>
  <c r="C625" i="6"/>
  <c r="A625" i="6"/>
  <c r="A47" i="6"/>
  <c r="A87" i="6"/>
  <c r="F312" i="6"/>
  <c r="F228" i="6"/>
  <c r="C228" i="6"/>
  <c r="A228" i="6"/>
  <c r="E228" i="6"/>
  <c r="C583" i="6"/>
  <c r="A583" i="6"/>
  <c r="G152" i="6"/>
  <c r="E152" i="6"/>
  <c r="C152" i="6"/>
  <c r="A152" i="6"/>
  <c r="A406" i="6"/>
  <c r="C406" i="6"/>
  <c r="F155" i="6"/>
  <c r="E155" i="6"/>
  <c r="C155" i="6"/>
  <c r="A155" i="6"/>
  <c r="E84" i="6"/>
  <c r="C84" i="6"/>
  <c r="A84" i="6"/>
  <c r="A665" i="6"/>
  <c r="C665" i="6"/>
  <c r="A306" i="6"/>
  <c r="C306" i="6"/>
  <c r="E306" i="6"/>
  <c r="A591" i="6"/>
  <c r="C591" i="6"/>
  <c r="F279" i="6"/>
  <c r="C279" i="6"/>
  <c r="E279" i="6"/>
  <c r="G279" i="6"/>
  <c r="A279" i="6"/>
  <c r="G108" i="6"/>
  <c r="A412" i="6"/>
  <c r="F158" i="6"/>
  <c r="P184" i="1"/>
  <c r="AD184" i="1" s="1"/>
  <c r="I345" i="6" s="1"/>
  <c r="P185" i="1"/>
  <c r="AD185" i="1" s="1"/>
  <c r="I346" i="6" s="1"/>
  <c r="P205" i="1"/>
  <c r="AD205" i="1" s="1"/>
  <c r="I366" i="6" s="1"/>
  <c r="F206" i="6"/>
  <c r="C206" i="6"/>
  <c r="A206" i="6"/>
  <c r="E206" i="6"/>
  <c r="F249" i="6"/>
  <c r="G249" i="6"/>
  <c r="C249" i="6"/>
  <c r="A249" i="6"/>
  <c r="E249" i="6"/>
  <c r="A288" i="6"/>
  <c r="E288" i="6"/>
  <c r="C288" i="6"/>
  <c r="F267" i="6"/>
  <c r="G267" i="6"/>
  <c r="E267" i="6"/>
  <c r="C267" i="6"/>
  <c r="A267" i="6"/>
  <c r="C304" i="6"/>
  <c r="A304" i="6"/>
  <c r="E304" i="6"/>
  <c r="F124" i="6"/>
  <c r="E124" i="6"/>
  <c r="A124" i="6"/>
  <c r="C525" i="6"/>
  <c r="A525" i="6"/>
  <c r="A587" i="6"/>
  <c r="C587" i="6"/>
  <c r="C640" i="6"/>
  <c r="A640" i="6"/>
  <c r="C643" i="6"/>
  <c r="A643" i="6"/>
  <c r="G330" i="6"/>
  <c r="E330" i="6"/>
  <c r="C330" i="6"/>
  <c r="A330" i="6"/>
  <c r="C86" i="6"/>
  <c r="A86" i="6"/>
  <c r="G150" i="6"/>
  <c r="F150" i="6"/>
  <c r="A150" i="6"/>
  <c r="C150" i="6"/>
  <c r="E150" i="6"/>
  <c r="E83" i="6"/>
  <c r="C83" i="6"/>
  <c r="A83" i="6"/>
  <c r="C607" i="6"/>
  <c r="A607" i="6"/>
  <c r="C674" i="6"/>
  <c r="A674" i="6"/>
  <c r="F128" i="6"/>
  <c r="E128" i="6"/>
  <c r="A128" i="6"/>
  <c r="F276" i="6"/>
  <c r="G276" i="6"/>
  <c r="E276" i="6"/>
  <c r="C276" i="6"/>
  <c r="A276" i="6"/>
  <c r="C666" i="6"/>
  <c r="A666" i="6"/>
  <c r="A522" i="6"/>
  <c r="C522" i="6"/>
  <c r="A615" i="6"/>
  <c r="C615" i="6"/>
  <c r="A655" i="6"/>
  <c r="C655" i="6"/>
  <c r="F55" i="6"/>
  <c r="F81" i="6"/>
  <c r="A76" i="6"/>
  <c r="E76" i="6"/>
  <c r="C76" i="6"/>
  <c r="C652" i="6"/>
  <c r="A652" i="6"/>
  <c r="A603" i="6"/>
  <c r="C603" i="6"/>
  <c r="E72" i="6"/>
  <c r="C96" i="6"/>
  <c r="G50" i="6"/>
  <c r="G48" i="6"/>
  <c r="C431" i="6"/>
  <c r="A610" i="6"/>
  <c r="C610" i="6"/>
  <c r="F200" i="6"/>
  <c r="E200" i="6"/>
  <c r="C200" i="6"/>
  <c r="A200" i="6"/>
  <c r="G169" i="6"/>
  <c r="C169" i="6"/>
  <c r="A169" i="6"/>
  <c r="E169" i="6"/>
  <c r="G254" i="6"/>
  <c r="E254" i="6"/>
  <c r="A254" i="6"/>
  <c r="C254" i="6"/>
  <c r="C100" i="6"/>
  <c r="C634" i="6"/>
  <c r="A634" i="6"/>
  <c r="G149" i="6"/>
  <c r="C149" i="6"/>
  <c r="E149" i="6"/>
  <c r="A149" i="6"/>
  <c r="F154" i="6"/>
  <c r="G154" i="6"/>
  <c r="E154" i="6"/>
  <c r="A154" i="6"/>
  <c r="C154" i="6"/>
  <c r="C676" i="6"/>
  <c r="A676" i="6"/>
  <c r="F320" i="6"/>
  <c r="P182" i="1"/>
  <c r="AD182" i="1" s="1"/>
  <c r="I343" i="6" s="1"/>
  <c r="G32" i="6"/>
  <c r="A32" i="6"/>
  <c r="E32" i="6"/>
  <c r="C32" i="6"/>
  <c r="C664" i="6"/>
  <c r="A664" i="6"/>
  <c r="F255" i="6"/>
  <c r="A255" i="6"/>
  <c r="E255" i="6"/>
  <c r="C255" i="6"/>
  <c r="E329" i="6"/>
  <c r="C329" i="6"/>
  <c r="A329" i="6"/>
  <c r="G87" i="6"/>
  <c r="A119" i="6"/>
  <c r="G212" i="6"/>
  <c r="G158" i="6"/>
  <c r="P181" i="1"/>
  <c r="Q181" i="1" s="1"/>
  <c r="P193" i="1"/>
  <c r="AD193" i="1" s="1"/>
  <c r="I354" i="6" s="1"/>
  <c r="G177" i="6"/>
  <c r="C177" i="6"/>
  <c r="E177" i="6"/>
  <c r="A177" i="6"/>
  <c r="C635" i="6"/>
  <c r="A635" i="6"/>
  <c r="F253" i="6"/>
  <c r="C253" i="6"/>
  <c r="E253" i="6"/>
  <c r="A253" i="6"/>
  <c r="A317" i="6"/>
  <c r="C317" i="6"/>
  <c r="E317" i="6"/>
  <c r="F241" i="6"/>
  <c r="A241" i="6"/>
  <c r="G241" i="6"/>
  <c r="C241" i="6"/>
  <c r="E241" i="6"/>
  <c r="G242" i="6"/>
  <c r="F242" i="6"/>
  <c r="E242" i="6"/>
  <c r="C242" i="6"/>
  <c r="A242" i="6"/>
  <c r="E52" i="6"/>
  <c r="C112" i="6"/>
  <c r="A123" i="6"/>
  <c r="E48" i="6"/>
  <c r="G86" i="6"/>
  <c r="F86" i="6"/>
  <c r="E100" i="6"/>
  <c r="G220" i="6"/>
  <c r="F169" i="6"/>
  <c r="P176" i="1"/>
  <c r="Q176" i="1" s="1"/>
  <c r="R176" i="1" s="1"/>
  <c r="P195" i="1"/>
  <c r="Q195" i="1" s="1"/>
  <c r="P196" i="1"/>
  <c r="Q196" i="1" s="1"/>
  <c r="P178" i="1"/>
  <c r="AD178" i="1" s="1"/>
  <c r="I339" i="6" s="1"/>
  <c r="C432" i="6"/>
  <c r="A432" i="6"/>
  <c r="F214" i="6"/>
  <c r="E214" i="6"/>
  <c r="C214" i="6"/>
  <c r="A214" i="6"/>
  <c r="E300" i="6"/>
  <c r="A300" i="6"/>
  <c r="C300" i="6"/>
  <c r="C671" i="6"/>
  <c r="A671" i="6"/>
  <c r="C318" i="6"/>
  <c r="E318" i="6"/>
  <c r="A318" i="6"/>
  <c r="C638" i="6"/>
  <c r="A638" i="6"/>
  <c r="F265" i="6"/>
  <c r="A265" i="6"/>
  <c r="G265" i="6"/>
  <c r="C265" i="6"/>
  <c r="E265" i="6"/>
  <c r="A598" i="6"/>
  <c r="C598" i="6"/>
  <c r="A601" i="6"/>
  <c r="C601" i="6"/>
  <c r="C292" i="6"/>
  <c r="A292" i="6"/>
  <c r="E292" i="6"/>
  <c r="E293" i="6"/>
  <c r="C293" i="6"/>
  <c r="A293" i="6"/>
  <c r="F245" i="6"/>
  <c r="C245" i="6"/>
  <c r="A245" i="6"/>
  <c r="E245" i="6"/>
  <c r="C654" i="6"/>
  <c r="A654" i="6"/>
  <c r="C678" i="6"/>
  <c r="A678" i="6"/>
  <c r="A72" i="6"/>
  <c r="C72" i="6"/>
  <c r="G161" i="6"/>
  <c r="E161" i="6"/>
  <c r="A161" i="6"/>
  <c r="C161" i="6"/>
  <c r="A413" i="6"/>
  <c r="C413" i="6"/>
  <c r="C632" i="6"/>
  <c r="A632" i="6"/>
  <c r="E294" i="6"/>
  <c r="A294" i="6"/>
  <c r="C294" i="6"/>
  <c r="F48" i="6"/>
  <c r="E96" i="6"/>
  <c r="F161" i="6"/>
  <c r="G83" i="6"/>
  <c r="C646" i="6"/>
  <c r="A646" i="6"/>
  <c r="C599" i="6"/>
  <c r="A599" i="6"/>
  <c r="C677" i="6"/>
  <c r="A677" i="6"/>
  <c r="A52" i="6"/>
  <c r="F87" i="6"/>
  <c r="A55" i="6"/>
  <c r="C85" i="6"/>
  <c r="F32" i="6"/>
  <c r="X66" i="2"/>
  <c r="X22" i="2" s="1"/>
  <c r="B289" i="1" s="1"/>
  <c r="F203" i="6"/>
  <c r="C203" i="6"/>
  <c r="G203" i="6"/>
  <c r="A203" i="6"/>
  <c r="E203" i="6"/>
  <c r="C99" i="6"/>
  <c r="G119" i="6"/>
  <c r="G85" i="6"/>
  <c r="G52" i="6"/>
  <c r="F119" i="6"/>
  <c r="C397" i="6"/>
  <c r="G43" i="6"/>
  <c r="G305" i="6"/>
  <c r="G294" i="6"/>
  <c r="F76" i="6"/>
  <c r="P194" i="1"/>
  <c r="AD194" i="1" s="1"/>
  <c r="I355" i="6" s="1"/>
  <c r="P203" i="1"/>
  <c r="AD203" i="1" s="1"/>
  <c r="I364" i="6" s="1"/>
  <c r="P208" i="1"/>
  <c r="Q208" i="1" s="1"/>
  <c r="P189" i="1"/>
  <c r="Q189" i="1" s="1"/>
  <c r="R189" i="1" s="1"/>
  <c r="G258" i="6"/>
  <c r="F258" i="6"/>
  <c r="E258" i="6"/>
  <c r="A258" i="6"/>
  <c r="C258" i="6"/>
  <c r="A34" i="6"/>
  <c r="C34" i="6"/>
  <c r="C429" i="6"/>
  <c r="A429" i="6"/>
  <c r="A427" i="6"/>
  <c r="C427" i="6"/>
  <c r="F261" i="6"/>
  <c r="A261" i="6"/>
  <c r="E261" i="6"/>
  <c r="C261" i="6"/>
  <c r="G324" i="6"/>
  <c r="E324" i="6"/>
  <c r="C324" i="6"/>
  <c r="A324" i="6"/>
  <c r="F240" i="6"/>
  <c r="G240" i="6"/>
  <c r="C240" i="6"/>
  <c r="A240" i="6"/>
  <c r="E240" i="6"/>
  <c r="E316" i="6"/>
  <c r="C316" i="6"/>
  <c r="A316" i="6"/>
  <c r="A650" i="6"/>
  <c r="C650" i="6"/>
  <c r="C622" i="6"/>
  <c r="A622" i="6"/>
  <c r="F277" i="6"/>
  <c r="E277" i="6"/>
  <c r="A277" i="6"/>
  <c r="C277" i="6"/>
  <c r="A296" i="6"/>
  <c r="E296" i="6"/>
  <c r="C296" i="6"/>
  <c r="C602" i="6"/>
  <c r="A602" i="6"/>
  <c r="P183" i="1"/>
  <c r="Q183" i="1" s="1"/>
  <c r="P179" i="1"/>
  <c r="Q179" i="1" s="1"/>
  <c r="P180" i="1"/>
  <c r="Q180" i="1" s="1"/>
  <c r="P207" i="1"/>
  <c r="Q207" i="1" s="1"/>
  <c r="P204" i="1"/>
  <c r="Q204" i="1" s="1"/>
  <c r="P192" i="1"/>
  <c r="AD192" i="1" s="1"/>
  <c r="I353" i="6" s="1"/>
  <c r="P201" i="1"/>
  <c r="AD201" i="1" s="1"/>
  <c r="I362" i="6" s="1"/>
  <c r="H160" i="1"/>
  <c r="I161" i="1"/>
  <c r="I322" i="6" s="1"/>
  <c r="H161" i="1"/>
  <c r="H148" i="1"/>
  <c r="I258" i="6" s="1"/>
  <c r="P65" i="2"/>
  <c r="P66" i="2" s="1"/>
  <c r="P22" i="2" s="1"/>
  <c r="B321" i="1" s="1"/>
  <c r="I172" i="1"/>
  <c r="I333" i="6" s="1"/>
  <c r="I140" i="1"/>
  <c r="I301" i="6" s="1"/>
  <c r="H172" i="1"/>
  <c r="I282" i="6" s="1"/>
  <c r="I166" i="1"/>
  <c r="I327" i="6" s="1"/>
  <c r="H159" i="1"/>
  <c r="I269" i="6" s="1"/>
  <c r="R197" i="1"/>
  <c r="P51" i="2"/>
  <c r="P21" i="2" s="1"/>
  <c r="B320" i="1" s="1"/>
  <c r="H51" i="2"/>
  <c r="H21" i="2" s="1"/>
  <c r="B304" i="1" s="1"/>
  <c r="F291" i="6"/>
  <c r="G291" i="6"/>
  <c r="E291" i="6"/>
  <c r="C291" i="6"/>
  <c r="A291" i="6"/>
  <c r="G327" i="6"/>
  <c r="F327" i="6"/>
  <c r="E327" i="6"/>
  <c r="A327" i="6"/>
  <c r="C327" i="6"/>
  <c r="F272" i="6"/>
  <c r="G272" i="6"/>
  <c r="A272" i="6"/>
  <c r="E272" i="6"/>
  <c r="C272" i="6"/>
  <c r="F295" i="6"/>
  <c r="G295" i="6"/>
  <c r="E295" i="6"/>
  <c r="C295" i="6"/>
  <c r="A295" i="6"/>
  <c r="F303" i="6"/>
  <c r="G303" i="6"/>
  <c r="E303" i="6"/>
  <c r="C303" i="6"/>
  <c r="A303" i="6"/>
  <c r="F311" i="6"/>
  <c r="G311" i="6"/>
  <c r="E311" i="6"/>
  <c r="C311" i="6"/>
  <c r="A311" i="6"/>
  <c r="F319" i="6"/>
  <c r="G319" i="6"/>
  <c r="E319" i="6"/>
  <c r="C319" i="6"/>
  <c r="A319" i="6"/>
  <c r="C60" i="6"/>
  <c r="G60" i="6"/>
  <c r="E60" i="6"/>
  <c r="F209" i="6"/>
  <c r="G209" i="6"/>
  <c r="C209" i="6"/>
  <c r="E209" i="6"/>
  <c r="A209" i="6"/>
  <c r="F217" i="6"/>
  <c r="G217" i="6"/>
  <c r="C217" i="6"/>
  <c r="E217" i="6"/>
  <c r="A217" i="6"/>
  <c r="F225" i="6"/>
  <c r="G225" i="6"/>
  <c r="C225" i="6"/>
  <c r="E225" i="6"/>
  <c r="A225" i="6"/>
  <c r="A410" i="6"/>
  <c r="G244" i="6"/>
  <c r="F244" i="6"/>
  <c r="C244" i="6"/>
  <c r="E244" i="6"/>
  <c r="A244" i="6"/>
  <c r="F252" i="6"/>
  <c r="G252" i="6"/>
  <c r="C252" i="6"/>
  <c r="A252" i="6"/>
  <c r="E252" i="6"/>
  <c r="G260" i="6"/>
  <c r="F260" i="6"/>
  <c r="A260" i="6"/>
  <c r="E260" i="6"/>
  <c r="C260" i="6"/>
  <c r="F268" i="6"/>
  <c r="G268" i="6"/>
  <c r="A268" i="6"/>
  <c r="E268" i="6"/>
  <c r="C268" i="6"/>
  <c r="F29" i="6"/>
  <c r="G29" i="6"/>
  <c r="A29" i="6"/>
  <c r="C29" i="6"/>
  <c r="E29" i="6"/>
  <c r="F67" i="6"/>
  <c r="C67" i="6"/>
  <c r="A67" i="6"/>
  <c r="F164" i="6"/>
  <c r="G164" i="6"/>
  <c r="E164" i="6"/>
  <c r="A164" i="6"/>
  <c r="C164" i="6"/>
  <c r="F172" i="6"/>
  <c r="G172" i="6"/>
  <c r="E172" i="6"/>
  <c r="C172" i="6"/>
  <c r="A172" i="6"/>
  <c r="A112" i="6"/>
  <c r="E112" i="6"/>
  <c r="F31" i="6"/>
  <c r="G31" i="6"/>
  <c r="C31" i="6"/>
  <c r="E31" i="6"/>
  <c r="A31" i="6"/>
  <c r="X37" i="2"/>
  <c r="X20" i="2" s="1"/>
  <c r="B287" i="1" s="1"/>
  <c r="G331" i="6"/>
  <c r="F331" i="6"/>
  <c r="E331" i="6"/>
  <c r="A331" i="6"/>
  <c r="C331" i="6"/>
  <c r="F299" i="6"/>
  <c r="G299" i="6"/>
  <c r="E299" i="6"/>
  <c r="C299" i="6"/>
  <c r="A299" i="6"/>
  <c r="F307" i="6"/>
  <c r="G307" i="6"/>
  <c r="E307" i="6"/>
  <c r="C307" i="6"/>
  <c r="A307" i="6"/>
  <c r="F315" i="6"/>
  <c r="G315" i="6"/>
  <c r="E315" i="6"/>
  <c r="C315" i="6"/>
  <c r="A315" i="6"/>
  <c r="G33" i="6"/>
  <c r="A33" i="6"/>
  <c r="C33" i="6"/>
  <c r="E33" i="6"/>
  <c r="F213" i="6"/>
  <c r="G213" i="6"/>
  <c r="C213" i="6"/>
  <c r="E213" i="6"/>
  <c r="A213" i="6"/>
  <c r="F221" i="6"/>
  <c r="G221" i="6"/>
  <c r="C221" i="6"/>
  <c r="A221" i="6"/>
  <c r="E221" i="6"/>
  <c r="F229" i="6"/>
  <c r="G229" i="6"/>
  <c r="C229" i="6"/>
  <c r="E229" i="6"/>
  <c r="A229" i="6"/>
  <c r="H66" i="2"/>
  <c r="H22" i="2" s="1"/>
  <c r="B305" i="1" s="1"/>
  <c r="G132" i="6"/>
  <c r="E50" i="6"/>
  <c r="F287" i="6"/>
  <c r="G287" i="6"/>
  <c r="E287" i="6"/>
  <c r="C287" i="6"/>
  <c r="A287" i="6"/>
  <c r="G323" i="6"/>
  <c r="F323" i="6"/>
  <c r="E323" i="6"/>
  <c r="A323" i="6"/>
  <c r="C323" i="6"/>
  <c r="F248" i="6"/>
  <c r="G248" i="6"/>
  <c r="C248" i="6"/>
  <c r="A248" i="6"/>
  <c r="E248" i="6"/>
  <c r="F256" i="6"/>
  <c r="G256" i="6"/>
  <c r="C256" i="6"/>
  <c r="E256" i="6"/>
  <c r="A256" i="6"/>
  <c r="F264" i="6"/>
  <c r="G264" i="6"/>
  <c r="C264" i="6"/>
  <c r="E264" i="6"/>
  <c r="A264" i="6"/>
  <c r="F160" i="6"/>
  <c r="G160" i="6"/>
  <c r="E160" i="6"/>
  <c r="A160" i="6"/>
  <c r="C160" i="6"/>
  <c r="F168" i="6"/>
  <c r="G168" i="6"/>
  <c r="E168" i="6"/>
  <c r="A168" i="6"/>
  <c r="C168" i="6"/>
  <c r="F176" i="6"/>
  <c r="G176" i="6"/>
  <c r="E176" i="6"/>
  <c r="C176" i="6"/>
  <c r="A176" i="6"/>
  <c r="G79" i="6"/>
  <c r="F79" i="6"/>
  <c r="A79" i="6"/>
  <c r="E79" i="6"/>
  <c r="C79" i="6"/>
  <c r="G35" i="6"/>
  <c r="F35" i="6"/>
  <c r="C35" i="6"/>
  <c r="A35" i="6"/>
  <c r="E35" i="6"/>
  <c r="I23" i="1"/>
  <c r="I82" i="6" s="1"/>
  <c r="H24" i="1"/>
  <c r="I25" i="1"/>
  <c r="I84" i="6" s="1"/>
  <c r="H27" i="1"/>
  <c r="H29" i="1"/>
  <c r="H31" i="1"/>
  <c r="H33" i="1"/>
  <c r="H35" i="1"/>
  <c r="I36" i="1"/>
  <c r="I95" i="6" s="1"/>
  <c r="I38" i="1"/>
  <c r="I97" i="6" s="1"/>
  <c r="I40" i="1"/>
  <c r="I99" i="6" s="1"/>
  <c r="I42" i="1"/>
  <c r="I101" i="6" s="1"/>
  <c r="I44" i="1"/>
  <c r="I103" i="6" s="1"/>
  <c r="I46" i="1"/>
  <c r="I105" i="6" s="1"/>
  <c r="I48" i="1"/>
  <c r="I107" i="6" s="1"/>
  <c r="I50" i="1"/>
  <c r="I109" i="6" s="1"/>
  <c r="I52" i="1"/>
  <c r="I111" i="6" s="1"/>
  <c r="I54" i="1"/>
  <c r="I113" i="6" s="1"/>
  <c r="H56" i="1"/>
  <c r="H58" i="1"/>
  <c r="H60" i="1"/>
  <c r="H62" i="1"/>
  <c r="I69" i="6" s="1"/>
  <c r="H64" i="1"/>
  <c r="H66" i="1"/>
  <c r="I69" i="1"/>
  <c r="I128" i="6" s="1"/>
  <c r="I21" i="1"/>
  <c r="I80" i="6" s="1"/>
  <c r="I22" i="1"/>
  <c r="I81" i="6" s="1"/>
  <c r="H26" i="1"/>
  <c r="H28" i="1"/>
  <c r="H30" i="1"/>
  <c r="H32" i="1"/>
  <c r="H34" i="1"/>
  <c r="I37" i="1"/>
  <c r="I96" i="6" s="1"/>
  <c r="I39" i="1"/>
  <c r="I98" i="6" s="1"/>
  <c r="I41" i="1"/>
  <c r="I100" i="6" s="1"/>
  <c r="I43" i="1"/>
  <c r="I102" i="6" s="1"/>
  <c r="I45" i="1"/>
  <c r="I104" i="6" s="1"/>
  <c r="I47" i="1"/>
  <c r="I106" i="6" s="1"/>
  <c r="I49" i="1"/>
  <c r="I108" i="6" s="1"/>
  <c r="H21" i="1"/>
  <c r="H25" i="1"/>
  <c r="I28" i="1"/>
  <c r="I87" i="6" s="1"/>
  <c r="I32" i="1"/>
  <c r="I91" i="6" s="1"/>
  <c r="H36" i="1"/>
  <c r="H40" i="1"/>
  <c r="H44" i="1"/>
  <c r="H48" i="1"/>
  <c r="I51" i="1"/>
  <c r="I110" i="6" s="1"/>
  <c r="H54" i="1"/>
  <c r="I56" i="1"/>
  <c r="I115" i="6" s="1"/>
  <c r="H59" i="1"/>
  <c r="I61" i="1"/>
  <c r="I120" i="6" s="1"/>
  <c r="I64" i="1"/>
  <c r="I123" i="6" s="1"/>
  <c r="H67" i="1"/>
  <c r="H69" i="1"/>
  <c r="H20" i="1"/>
  <c r="H22" i="1"/>
  <c r="I29" i="1"/>
  <c r="I88" i="6" s="1"/>
  <c r="I33" i="1"/>
  <c r="I92" i="6" s="1"/>
  <c r="H37" i="1"/>
  <c r="H41" i="1"/>
  <c r="H45" i="1"/>
  <c r="H49" i="1"/>
  <c r="H52" i="1"/>
  <c r="H57" i="1"/>
  <c r="I59" i="1"/>
  <c r="I118" i="6" s="1"/>
  <c r="I62" i="1"/>
  <c r="H65" i="1"/>
  <c r="I67" i="1"/>
  <c r="I126" i="6" s="1"/>
  <c r="I20" i="1"/>
  <c r="I79" i="6" s="1"/>
  <c r="H23" i="1"/>
  <c r="I26" i="1"/>
  <c r="I85" i="6" s="1"/>
  <c r="I30" i="1"/>
  <c r="I89" i="6" s="1"/>
  <c r="I34" i="1"/>
  <c r="I93" i="6" s="1"/>
  <c r="H38" i="1"/>
  <c r="H42" i="1"/>
  <c r="H46" i="1"/>
  <c r="H50" i="1"/>
  <c r="H53" i="1"/>
  <c r="H55" i="1"/>
  <c r="I57" i="1"/>
  <c r="I116" i="6" s="1"/>
  <c r="I60" i="1"/>
  <c r="I119" i="6" s="1"/>
  <c r="H63" i="1"/>
  <c r="I65" i="1"/>
  <c r="I124" i="6" s="1"/>
  <c r="H68" i="1"/>
  <c r="I24" i="1"/>
  <c r="I83" i="6" s="1"/>
  <c r="I27" i="1"/>
  <c r="I86" i="6" s="1"/>
  <c r="I31" i="1"/>
  <c r="I90" i="6" s="1"/>
  <c r="I35" i="1"/>
  <c r="I94" i="6" s="1"/>
  <c r="H39" i="1"/>
  <c r="H43" i="1"/>
  <c r="H47" i="1"/>
  <c r="H51" i="1"/>
  <c r="I53" i="1"/>
  <c r="I112" i="6" s="1"/>
  <c r="I55" i="1"/>
  <c r="I114" i="6" s="1"/>
  <c r="I58" i="1"/>
  <c r="I117" i="6" s="1"/>
  <c r="H61" i="1"/>
  <c r="I63" i="1"/>
  <c r="I122" i="6" s="1"/>
  <c r="I66" i="1"/>
  <c r="I125" i="6" s="1"/>
  <c r="I68" i="1"/>
  <c r="I127" i="6" s="1"/>
  <c r="P3" i="1"/>
  <c r="H74" i="1"/>
  <c r="I75" i="1"/>
  <c r="I185" i="6" s="1"/>
  <c r="H78" i="1"/>
  <c r="I74" i="1"/>
  <c r="I184" i="6" s="1"/>
  <c r="H76" i="1"/>
  <c r="I79" i="1"/>
  <c r="I189" i="6" s="1"/>
  <c r="H82" i="1"/>
  <c r="I83" i="1"/>
  <c r="I193" i="6" s="1"/>
  <c r="H86" i="1"/>
  <c r="I87" i="1"/>
  <c r="I197" i="6" s="1"/>
  <c r="H90" i="1"/>
  <c r="I91" i="1"/>
  <c r="I201" i="6" s="1"/>
  <c r="H94" i="1"/>
  <c r="I95" i="1"/>
  <c r="I205" i="6" s="1"/>
  <c r="H98" i="1"/>
  <c r="I99" i="1"/>
  <c r="I209" i="6" s="1"/>
  <c r="H102" i="1"/>
  <c r="I103" i="1"/>
  <c r="I213" i="6" s="1"/>
  <c r="H106" i="1"/>
  <c r="I107" i="1"/>
  <c r="I217" i="6" s="1"/>
  <c r="H110" i="1"/>
  <c r="I111" i="1"/>
  <c r="I221" i="6" s="1"/>
  <c r="H114" i="1"/>
  <c r="I115" i="1"/>
  <c r="I225" i="6" s="1"/>
  <c r="H118" i="1"/>
  <c r="I119" i="1"/>
  <c r="I229" i="6" s="1"/>
  <c r="I72" i="1"/>
  <c r="I182" i="6" s="1"/>
  <c r="H73" i="1"/>
  <c r="I76" i="1"/>
  <c r="I186" i="6" s="1"/>
  <c r="I78" i="1"/>
  <c r="I188" i="6" s="1"/>
  <c r="H81" i="1"/>
  <c r="I82" i="1"/>
  <c r="I192" i="6" s="1"/>
  <c r="H85" i="1"/>
  <c r="I86" i="1"/>
  <c r="I196" i="6" s="1"/>
  <c r="H89" i="1"/>
  <c r="I90" i="1"/>
  <c r="I200" i="6" s="1"/>
  <c r="H93" i="1"/>
  <c r="I94" i="1"/>
  <c r="I204" i="6" s="1"/>
  <c r="H97" i="1"/>
  <c r="I98" i="1"/>
  <c r="I208" i="6" s="1"/>
  <c r="H101" i="1"/>
  <c r="I102" i="1"/>
  <c r="I212" i="6" s="1"/>
  <c r="H105" i="1"/>
  <c r="I106" i="1"/>
  <c r="I216" i="6" s="1"/>
  <c r="H109" i="1"/>
  <c r="I110" i="1"/>
  <c r="I220" i="6" s="1"/>
  <c r="H113" i="1"/>
  <c r="I114" i="1"/>
  <c r="I224" i="6" s="1"/>
  <c r="H117" i="1"/>
  <c r="I118" i="1"/>
  <c r="I228" i="6" s="1"/>
  <c r="H121" i="1"/>
  <c r="I73" i="1"/>
  <c r="I183" i="6" s="1"/>
  <c r="H75" i="1"/>
  <c r="H77" i="1"/>
  <c r="H80" i="1"/>
  <c r="I81" i="1"/>
  <c r="I191" i="6" s="1"/>
  <c r="H84" i="1"/>
  <c r="I85" i="1"/>
  <c r="I195" i="6" s="1"/>
  <c r="H88" i="1"/>
  <c r="I89" i="1"/>
  <c r="I199" i="6" s="1"/>
  <c r="H92" i="1"/>
  <c r="I93" i="1"/>
  <c r="I203" i="6" s="1"/>
  <c r="H96" i="1"/>
  <c r="I97" i="1"/>
  <c r="I207" i="6" s="1"/>
  <c r="H100" i="1"/>
  <c r="I101" i="1"/>
  <c r="I211" i="6" s="1"/>
  <c r="H104" i="1"/>
  <c r="I105" i="1"/>
  <c r="I215" i="6" s="1"/>
  <c r="H108" i="1"/>
  <c r="I109" i="1"/>
  <c r="I219" i="6" s="1"/>
  <c r="H112" i="1"/>
  <c r="I113" i="1"/>
  <c r="I223" i="6" s="1"/>
  <c r="H116" i="1"/>
  <c r="I117" i="1"/>
  <c r="I227" i="6" s="1"/>
  <c r="H120" i="1"/>
  <c r="I121" i="1"/>
  <c r="I231" i="6" s="1"/>
  <c r="I77" i="1"/>
  <c r="I187" i="6" s="1"/>
  <c r="H79" i="1"/>
  <c r="I80" i="1"/>
  <c r="I190" i="6" s="1"/>
  <c r="H83" i="1"/>
  <c r="I84" i="1"/>
  <c r="I194" i="6" s="1"/>
  <c r="H87" i="1"/>
  <c r="I88" i="1"/>
  <c r="I198" i="6" s="1"/>
  <c r="H91" i="1"/>
  <c r="I92" i="1"/>
  <c r="I202" i="6" s="1"/>
  <c r="H95" i="1"/>
  <c r="I96" i="1"/>
  <c r="I206" i="6" s="1"/>
  <c r="H99" i="1"/>
  <c r="I100" i="1"/>
  <c r="I210" i="6" s="1"/>
  <c r="H103" i="1"/>
  <c r="I104" i="1"/>
  <c r="I214" i="6" s="1"/>
  <c r="H107" i="1"/>
  <c r="I108" i="1"/>
  <c r="I218" i="6" s="1"/>
  <c r="H111" i="1"/>
  <c r="I112" i="1"/>
  <c r="I222" i="6" s="1"/>
  <c r="H115" i="1"/>
  <c r="I116" i="1"/>
  <c r="I226" i="6" s="1"/>
  <c r="H119" i="1"/>
  <c r="I120" i="1"/>
  <c r="I230" i="6" s="1"/>
  <c r="H72" i="1"/>
  <c r="T3" i="1"/>
  <c r="O1" i="10"/>
  <c r="AD197" i="1"/>
  <c r="I358" i="6" s="1"/>
  <c r="A469" i="6"/>
  <c r="C469" i="6"/>
  <c r="A71" i="6"/>
  <c r="F71" i="6"/>
  <c r="E71" i="6"/>
  <c r="F47" i="6"/>
  <c r="A63" i="6"/>
  <c r="F43" i="6"/>
  <c r="E43" i="6"/>
  <c r="F96" i="6"/>
  <c r="C437" i="6"/>
  <c r="A437" i="6"/>
  <c r="C462" i="6"/>
  <c r="E123" i="6"/>
  <c r="C43" i="6"/>
  <c r="G96" i="6"/>
  <c r="F123" i="6"/>
  <c r="G63" i="6"/>
  <c r="G123" i="6"/>
  <c r="A385" i="6"/>
  <c r="C64" i="6"/>
  <c r="E64" i="6"/>
  <c r="F64" i="6"/>
  <c r="G64" i="6"/>
  <c r="A64" i="6"/>
  <c r="C445" i="6"/>
  <c r="A445" i="6"/>
  <c r="A386" i="6"/>
  <c r="C386" i="6"/>
  <c r="G39" i="6"/>
  <c r="C39" i="6"/>
  <c r="A39" i="6"/>
  <c r="F39" i="6"/>
  <c r="E39" i="6"/>
  <c r="F120" i="6"/>
  <c r="E120" i="6"/>
  <c r="A120" i="6"/>
  <c r="A434" i="6"/>
  <c r="C434" i="6"/>
  <c r="A466" i="6"/>
  <c r="C466" i="6"/>
  <c r="A108" i="6"/>
  <c r="F108" i="6"/>
  <c r="E108" i="6"/>
  <c r="G47" i="6"/>
  <c r="A411" i="6"/>
  <c r="C411" i="6"/>
  <c r="G56" i="6"/>
  <c r="C56" i="6"/>
  <c r="E56" i="6"/>
  <c r="C461" i="6"/>
  <c r="A461" i="6"/>
  <c r="F92" i="6"/>
  <c r="A92" i="6"/>
  <c r="E92" i="6"/>
  <c r="A394" i="6"/>
  <c r="C394" i="6"/>
  <c r="A450" i="6"/>
  <c r="C450" i="6"/>
  <c r="N211" i="1"/>
  <c r="R214" i="1" s="1"/>
  <c r="C47" i="6"/>
  <c r="A444" i="6"/>
  <c r="C444" i="6"/>
  <c r="G89" i="6"/>
  <c r="E89" i="6"/>
  <c r="F89" i="6"/>
  <c r="C89" i="6"/>
  <c r="A89" i="6"/>
  <c r="G90" i="6"/>
  <c r="A90" i="6"/>
  <c r="F90" i="6"/>
  <c r="C90" i="6"/>
  <c r="E90" i="6"/>
  <c r="G98" i="6"/>
  <c r="E98" i="6"/>
  <c r="A98" i="6"/>
  <c r="F98" i="6"/>
  <c r="C98" i="6"/>
  <c r="G126" i="6"/>
  <c r="C126" i="6"/>
  <c r="E126" i="6"/>
  <c r="F126" i="6"/>
  <c r="A126" i="6"/>
  <c r="X30" i="1"/>
  <c r="C41" i="6"/>
  <c r="G41" i="6"/>
  <c r="E41" i="6"/>
  <c r="F41" i="6"/>
  <c r="A41" i="6"/>
  <c r="A69" i="6"/>
  <c r="F69" i="6"/>
  <c r="E69" i="6"/>
  <c r="G69" i="6"/>
  <c r="C69" i="6"/>
  <c r="F62" i="6"/>
  <c r="E62" i="6"/>
  <c r="A62" i="6"/>
  <c r="G62" i="6"/>
  <c r="C62" i="6"/>
  <c r="C439" i="6"/>
  <c r="A439" i="6"/>
  <c r="C455" i="6"/>
  <c r="A455" i="6"/>
  <c r="C471" i="6"/>
  <c r="A471" i="6"/>
  <c r="A383" i="6"/>
  <c r="C383" i="6"/>
  <c r="C420" i="6"/>
  <c r="A420" i="6"/>
  <c r="G101" i="6"/>
  <c r="E101" i="6"/>
  <c r="F101" i="6"/>
  <c r="A101" i="6"/>
  <c r="C101" i="6"/>
  <c r="G117" i="6"/>
  <c r="E117" i="6"/>
  <c r="F117" i="6"/>
  <c r="A117" i="6"/>
  <c r="C117" i="6"/>
  <c r="F74" i="6"/>
  <c r="E74" i="6"/>
  <c r="G74" i="6"/>
  <c r="C74" i="6"/>
  <c r="A74" i="6"/>
  <c r="C392" i="6"/>
  <c r="A392" i="6"/>
  <c r="A399" i="6"/>
  <c r="C399" i="6"/>
  <c r="X68" i="1"/>
  <c r="G106" i="6"/>
  <c r="A106" i="6"/>
  <c r="F106" i="6"/>
  <c r="C106" i="6"/>
  <c r="E106" i="6"/>
  <c r="G114" i="6"/>
  <c r="E114" i="6"/>
  <c r="A114" i="6"/>
  <c r="C114" i="6"/>
  <c r="F114" i="6"/>
  <c r="F38" i="6"/>
  <c r="A38" i="6"/>
  <c r="E38" i="6"/>
  <c r="G38" i="6"/>
  <c r="C38" i="6"/>
  <c r="F54" i="6"/>
  <c r="E54" i="6"/>
  <c r="G54" i="6"/>
  <c r="A54" i="6"/>
  <c r="C54" i="6"/>
  <c r="A440" i="6"/>
  <c r="C440" i="6"/>
  <c r="A468" i="6"/>
  <c r="C468" i="6"/>
  <c r="A387" i="6"/>
  <c r="C387" i="6"/>
  <c r="A415" i="6"/>
  <c r="C415" i="6"/>
  <c r="C443" i="6"/>
  <c r="A443" i="6"/>
  <c r="G105" i="6"/>
  <c r="E105" i="6"/>
  <c r="F105" i="6"/>
  <c r="C105" i="6"/>
  <c r="A105" i="6"/>
  <c r="X31" i="1"/>
  <c r="A448" i="6"/>
  <c r="C448" i="6"/>
  <c r="C435" i="6"/>
  <c r="A435" i="6"/>
  <c r="C451" i="6"/>
  <c r="A451" i="6"/>
  <c r="C467" i="6"/>
  <c r="A467" i="6"/>
  <c r="A407" i="6"/>
  <c r="C407" i="6"/>
  <c r="A460" i="6"/>
  <c r="C460" i="6"/>
  <c r="C384" i="6"/>
  <c r="A384" i="6"/>
  <c r="G97" i="6"/>
  <c r="E97" i="6"/>
  <c r="F97" i="6"/>
  <c r="A97" i="6"/>
  <c r="C97" i="6"/>
  <c r="G113" i="6"/>
  <c r="E113" i="6"/>
  <c r="F113" i="6"/>
  <c r="A113" i="6"/>
  <c r="C113" i="6"/>
  <c r="A403" i="6"/>
  <c r="C403" i="6"/>
  <c r="C388" i="6"/>
  <c r="A388" i="6"/>
  <c r="G94" i="6"/>
  <c r="C94" i="6"/>
  <c r="E94" i="6"/>
  <c r="F94" i="6"/>
  <c r="A94" i="6"/>
  <c r="F70" i="6"/>
  <c r="E70" i="6"/>
  <c r="A70" i="6"/>
  <c r="G70" i="6"/>
  <c r="C70" i="6"/>
  <c r="A464" i="6"/>
  <c r="C464" i="6"/>
  <c r="C416" i="6"/>
  <c r="A416" i="6"/>
  <c r="E73" i="6"/>
  <c r="C73" i="6"/>
  <c r="A73" i="6"/>
  <c r="G73" i="6"/>
  <c r="F73" i="6"/>
  <c r="P8" i="1"/>
  <c r="Q8" i="1" s="1"/>
  <c r="C459" i="6"/>
  <c r="A459" i="6"/>
  <c r="G121" i="6"/>
  <c r="E121" i="6"/>
  <c r="F121" i="6"/>
  <c r="C121" i="6"/>
  <c r="A121" i="6"/>
  <c r="C447" i="6"/>
  <c r="A447" i="6"/>
  <c r="C463" i="6"/>
  <c r="A463" i="6"/>
  <c r="A452" i="6"/>
  <c r="C452" i="6"/>
  <c r="G93" i="6"/>
  <c r="E93" i="6"/>
  <c r="F93" i="6"/>
  <c r="C93" i="6"/>
  <c r="A93" i="6"/>
  <c r="G109" i="6"/>
  <c r="E109" i="6"/>
  <c r="F109" i="6"/>
  <c r="C109" i="6"/>
  <c r="A109" i="6"/>
  <c r="G125" i="6"/>
  <c r="E125" i="6"/>
  <c r="F125" i="6"/>
  <c r="C125" i="6"/>
  <c r="A125" i="6"/>
  <c r="F58" i="6"/>
  <c r="A58" i="6"/>
  <c r="G58" i="6"/>
  <c r="C58" i="6"/>
  <c r="E58" i="6"/>
  <c r="X45" i="1"/>
  <c r="G110" i="6"/>
  <c r="C110" i="6"/>
  <c r="F110" i="6"/>
  <c r="A110" i="6"/>
  <c r="E110" i="6"/>
  <c r="G118" i="6"/>
  <c r="C118" i="6"/>
  <c r="F118" i="6"/>
  <c r="E118" i="6"/>
  <c r="A118" i="6"/>
  <c r="A456" i="6"/>
  <c r="C456" i="6"/>
  <c r="X52" i="1"/>
  <c r="C419" i="6"/>
  <c r="A419" i="6"/>
  <c r="A183" i="6"/>
  <c r="E183" i="6"/>
  <c r="A132" i="6"/>
  <c r="C132" i="6"/>
  <c r="C183" i="6"/>
  <c r="D529" i="6"/>
  <c r="C529" i="6" s="1"/>
  <c r="F132" i="6"/>
  <c r="G9" i="6"/>
  <c r="F9" i="6"/>
  <c r="A9" i="6"/>
  <c r="E9" i="6"/>
  <c r="C9" i="6"/>
  <c r="P9" i="1"/>
  <c r="H16" i="6"/>
  <c r="O211" i="1"/>
  <c r="H124" i="1" l="1"/>
  <c r="I234" i="6" s="1"/>
  <c r="H153" i="1"/>
  <c r="I263" i="6" s="1"/>
  <c r="I139" i="1"/>
  <c r="I300" i="6" s="1"/>
  <c r="H150" i="1"/>
  <c r="I260" i="6" s="1"/>
  <c r="I155" i="1"/>
  <c r="I316" i="6" s="1"/>
  <c r="H132" i="1"/>
  <c r="I242" i="6" s="1"/>
  <c r="I127" i="1"/>
  <c r="I288" i="6" s="1"/>
  <c r="I132" i="1"/>
  <c r="I293" i="6" s="1"/>
  <c r="I133" i="1"/>
  <c r="I294" i="6" s="1"/>
  <c r="H135" i="1"/>
  <c r="I245" i="6" s="1"/>
  <c r="H171" i="1"/>
  <c r="I281" i="6" s="1"/>
  <c r="H142" i="1"/>
  <c r="I252" i="6" s="1"/>
  <c r="H151" i="1"/>
  <c r="I261" i="6" s="1"/>
  <c r="I167" i="1"/>
  <c r="I328" i="6" s="1"/>
  <c r="H158" i="1"/>
  <c r="I268" i="6" s="1"/>
  <c r="H167" i="1"/>
  <c r="I277" i="6" s="1"/>
  <c r="T4" i="1"/>
  <c r="I124" i="1"/>
  <c r="I285" i="6" s="1"/>
  <c r="I147" i="1"/>
  <c r="I308" i="6" s="1"/>
  <c r="I164" i="1"/>
  <c r="I325" i="6" s="1"/>
  <c r="I165" i="1"/>
  <c r="I326" i="6" s="1"/>
  <c r="H129" i="1"/>
  <c r="I156" i="1"/>
  <c r="I317" i="6" s="1"/>
  <c r="H137" i="1"/>
  <c r="I247" i="6" s="1"/>
  <c r="I126" i="1"/>
  <c r="I287" i="6" s="1"/>
  <c r="I134" i="1"/>
  <c r="I295" i="6" s="1"/>
  <c r="I158" i="1"/>
  <c r="I319" i="6" s="1"/>
  <c r="I162" i="1"/>
  <c r="I323" i="6" s="1"/>
  <c r="I169" i="1"/>
  <c r="I330" i="6" s="1"/>
  <c r="I173" i="1"/>
  <c r="I334" i="6" s="1"/>
  <c r="I149" i="1"/>
  <c r="I310" i="6" s="1"/>
  <c r="H139" i="1"/>
  <c r="H152" i="1"/>
  <c r="I262" i="6" s="1"/>
  <c r="I137" i="1"/>
  <c r="I298" i="6" s="1"/>
  <c r="H173" i="1"/>
  <c r="I283" i="6" s="1"/>
  <c r="H164" i="1"/>
  <c r="I274" i="6" s="1"/>
  <c r="H126" i="1"/>
  <c r="I236" i="6" s="1"/>
  <c r="H141" i="1"/>
  <c r="I251" i="6" s="1"/>
  <c r="H136" i="1"/>
  <c r="I246" i="6" s="1"/>
  <c r="I130" i="1"/>
  <c r="I291" i="6" s="1"/>
  <c r="I171" i="1"/>
  <c r="I332" i="6" s="1"/>
  <c r="I138" i="1"/>
  <c r="I299" i="6" s="1"/>
  <c r="I141" i="1"/>
  <c r="I302" i="6" s="1"/>
  <c r="I131" i="1"/>
  <c r="I292" i="6" s="1"/>
  <c r="H134" i="1"/>
  <c r="I244" i="6" s="1"/>
  <c r="I148" i="1"/>
  <c r="I309" i="6" s="1"/>
  <c r="H155" i="1"/>
  <c r="I265" i="6" s="1"/>
  <c r="I129" i="1"/>
  <c r="I290" i="6" s="1"/>
  <c r="H168" i="1"/>
  <c r="I278" i="6" s="1"/>
  <c r="H130" i="1"/>
  <c r="I240" i="6" s="1"/>
  <c r="I136" i="1"/>
  <c r="I297" i="6" s="1"/>
  <c r="H128" i="1"/>
  <c r="I238" i="6" s="1"/>
  <c r="H149" i="1"/>
  <c r="I259" i="6" s="1"/>
  <c r="H144" i="1"/>
  <c r="I254" i="6" s="1"/>
  <c r="H145" i="1"/>
  <c r="I255" i="6" s="1"/>
  <c r="H140" i="1"/>
  <c r="I250" i="6" s="1"/>
  <c r="I142" i="1"/>
  <c r="I303" i="6" s="1"/>
  <c r="I163" i="1"/>
  <c r="I324" i="6" s="1"/>
  <c r="H166" i="1"/>
  <c r="I276" i="6" s="1"/>
  <c r="I125" i="1"/>
  <c r="I286" i="6" s="1"/>
  <c r="I135" i="1"/>
  <c r="I296" i="6" s="1"/>
  <c r="H138" i="1"/>
  <c r="I248" i="6" s="1"/>
  <c r="I152" i="1"/>
  <c r="I313" i="6" s="1"/>
  <c r="I144" i="1"/>
  <c r="I305" i="6" s="1"/>
  <c r="H143" i="1"/>
  <c r="I253" i="6" s="1"/>
  <c r="H165" i="1"/>
  <c r="I275" i="6" s="1"/>
  <c r="H156" i="1"/>
  <c r="I266" i="6" s="1"/>
  <c r="H125" i="1"/>
  <c r="I235" i="6" s="1"/>
  <c r="P174" i="1"/>
  <c r="Q174" i="1" s="1"/>
  <c r="R174" i="1" s="1"/>
  <c r="I150" i="1"/>
  <c r="I311" i="6" s="1"/>
  <c r="I157" i="1"/>
  <c r="I318" i="6" s="1"/>
  <c r="I151" i="1"/>
  <c r="I312" i="6" s="1"/>
  <c r="H154" i="1"/>
  <c r="I264" i="6" s="1"/>
  <c r="I168" i="1"/>
  <c r="I329" i="6" s="1"/>
  <c r="H147" i="1"/>
  <c r="I257" i="6" s="1"/>
  <c r="I159" i="1"/>
  <c r="I320" i="6" s="1"/>
  <c r="H162" i="1"/>
  <c r="I272" i="6" s="1"/>
  <c r="H169" i="1"/>
  <c r="I279" i="6" s="1"/>
  <c r="H163" i="1"/>
  <c r="I273" i="6" s="1"/>
  <c r="H157" i="1"/>
  <c r="I267" i="6" s="1"/>
  <c r="I154" i="1"/>
  <c r="I315" i="6" s="1"/>
  <c r="P20" i="1"/>
  <c r="AD209" i="1"/>
  <c r="I370" i="6" s="1"/>
  <c r="Q206" i="1"/>
  <c r="R206" i="1" s="1"/>
  <c r="Q185" i="1"/>
  <c r="R185" i="1" s="1"/>
  <c r="I143" i="1"/>
  <c r="I304" i="6" s="1"/>
  <c r="H146" i="1"/>
  <c r="I256" i="6" s="1"/>
  <c r="I128" i="1"/>
  <c r="I289" i="6" s="1"/>
  <c r="I146" i="1"/>
  <c r="I307" i="6" s="1"/>
  <c r="I170" i="1"/>
  <c r="I331" i="6" s="1"/>
  <c r="H170" i="1"/>
  <c r="H133" i="1"/>
  <c r="I243" i="6" s="1"/>
  <c r="Q202" i="1"/>
  <c r="R202" i="1" s="1"/>
  <c r="Q201" i="1"/>
  <c r="R201" i="1" s="1"/>
  <c r="I153" i="1"/>
  <c r="I314" i="6" s="1"/>
  <c r="I145" i="1"/>
  <c r="I306" i="6" s="1"/>
  <c r="K24" i="14"/>
  <c r="AD177" i="1"/>
  <c r="I338" i="6" s="1"/>
  <c r="AD181" i="1"/>
  <c r="I342" i="6" s="1"/>
  <c r="AF186" i="1"/>
  <c r="Q205" i="1"/>
  <c r="AF205" i="1" s="1"/>
  <c r="AH205" i="1" s="1"/>
  <c r="Q193" i="1"/>
  <c r="AF193" i="1" s="1"/>
  <c r="AH193" i="1" s="1"/>
  <c r="AD196" i="1"/>
  <c r="I357" i="6" s="1"/>
  <c r="AD195" i="1"/>
  <c r="I356" i="6" s="1"/>
  <c r="Q200" i="1"/>
  <c r="R200" i="1" s="1"/>
  <c r="Q184" i="1"/>
  <c r="R184" i="1" s="1"/>
  <c r="AD183" i="1"/>
  <c r="I344" i="6" s="1"/>
  <c r="AD208" i="1"/>
  <c r="I369" i="6" s="1"/>
  <c r="Q203" i="1"/>
  <c r="R203" i="1" s="1"/>
  <c r="I160" i="1"/>
  <c r="I321" i="6" s="1"/>
  <c r="H131" i="1"/>
  <c r="I241" i="6" s="1"/>
  <c r="P161" i="1"/>
  <c r="AD161" i="1" s="1"/>
  <c r="AD204" i="1"/>
  <c r="I365" i="6" s="1"/>
  <c r="Q178" i="1"/>
  <c r="R178" i="1" s="1"/>
  <c r="P172" i="1"/>
  <c r="Q172" i="1" s="1"/>
  <c r="AD207" i="1"/>
  <c r="I368" i="6" s="1"/>
  <c r="A529" i="6"/>
  <c r="Q182" i="1"/>
  <c r="AF182" i="1" s="1"/>
  <c r="AH182" i="1" s="1"/>
  <c r="AD180" i="1"/>
  <c r="I341" i="6" s="1"/>
  <c r="I271" i="6"/>
  <c r="I270" i="6"/>
  <c r="Q194" i="1"/>
  <c r="AF194" i="1" s="1"/>
  <c r="AH194" i="1" s="1"/>
  <c r="Q192" i="1"/>
  <c r="AF192" i="1" s="1"/>
  <c r="AH192" i="1" s="1"/>
  <c r="AD179" i="1"/>
  <c r="I340" i="6" s="1"/>
  <c r="P120" i="1"/>
  <c r="I179" i="6"/>
  <c r="P112" i="1"/>
  <c r="I171" i="6"/>
  <c r="P104" i="1"/>
  <c r="I163" i="6"/>
  <c r="P96" i="1"/>
  <c r="I155" i="6"/>
  <c r="P88" i="1"/>
  <c r="I147" i="6"/>
  <c r="P80" i="1"/>
  <c r="I139" i="6"/>
  <c r="P121" i="1"/>
  <c r="I180" i="6"/>
  <c r="P113" i="1"/>
  <c r="I172" i="6"/>
  <c r="P105" i="1"/>
  <c r="I164" i="6"/>
  <c r="P97" i="1"/>
  <c r="I156" i="6"/>
  <c r="P89" i="1"/>
  <c r="I148" i="6"/>
  <c r="P81" i="1"/>
  <c r="I140" i="6"/>
  <c r="I173" i="6"/>
  <c r="P114" i="1"/>
  <c r="I165" i="6"/>
  <c r="P106" i="1"/>
  <c r="I157" i="6"/>
  <c r="P98" i="1"/>
  <c r="I149" i="6"/>
  <c r="P90" i="1"/>
  <c r="I141" i="6"/>
  <c r="P82" i="1"/>
  <c r="I137" i="6"/>
  <c r="P78" i="1"/>
  <c r="I54" i="6"/>
  <c r="P47" i="1"/>
  <c r="P55" i="1"/>
  <c r="I62" i="6"/>
  <c r="I49" i="6"/>
  <c r="P42" i="1"/>
  <c r="P65" i="1"/>
  <c r="I72" i="6"/>
  <c r="P52" i="1"/>
  <c r="I59" i="6"/>
  <c r="I44" i="6"/>
  <c r="P37" i="1"/>
  <c r="I27" i="6"/>
  <c r="I43" i="6"/>
  <c r="P36" i="1"/>
  <c r="P21" i="1"/>
  <c r="I28" i="6"/>
  <c r="I41" i="6"/>
  <c r="P34" i="1"/>
  <c r="P26" i="1"/>
  <c r="I33" i="6"/>
  <c r="I73" i="6"/>
  <c r="P66" i="1"/>
  <c r="I65" i="6"/>
  <c r="P58" i="1"/>
  <c r="P35" i="1"/>
  <c r="I42" i="6"/>
  <c r="P27" i="1"/>
  <c r="I34" i="6"/>
  <c r="AF181" i="1"/>
  <c r="AH181" i="1" s="1"/>
  <c r="R181" i="1"/>
  <c r="AF207" i="1"/>
  <c r="AH207" i="1" s="1"/>
  <c r="R207" i="1"/>
  <c r="R179" i="1"/>
  <c r="AF179" i="1"/>
  <c r="AH179" i="1" s="1"/>
  <c r="AF196" i="1"/>
  <c r="AH196" i="1" s="1"/>
  <c r="R196" i="1"/>
  <c r="Q768" i="10"/>
  <c r="S768" i="10" s="1"/>
  <c r="Q760" i="10"/>
  <c r="S760" i="10" s="1"/>
  <c r="Q752" i="10"/>
  <c r="S752" i="10" s="1"/>
  <c r="Q744" i="10"/>
  <c r="S744" i="10" s="1"/>
  <c r="Q736" i="10"/>
  <c r="S736" i="10" s="1"/>
  <c r="Q728" i="10"/>
  <c r="S728" i="10" s="1"/>
  <c r="Q720" i="10"/>
  <c r="S720" i="10" s="1"/>
  <c r="Q712" i="10"/>
  <c r="S712" i="10" s="1"/>
  <c r="Q704" i="10"/>
  <c r="S704" i="10" s="1"/>
  <c r="Q696" i="10"/>
  <c r="S696" i="10" s="1"/>
  <c r="Q688" i="10"/>
  <c r="S688" i="10" s="1"/>
  <c r="Q680" i="10"/>
  <c r="S680" i="10" s="1"/>
  <c r="Q672" i="10"/>
  <c r="S672" i="10" s="1"/>
  <c r="Q664" i="10"/>
  <c r="S664" i="10" s="1"/>
  <c r="Q656" i="10"/>
  <c r="S656" i="10" s="1"/>
  <c r="Q648" i="10"/>
  <c r="S648" i="10" s="1"/>
  <c r="Q640" i="10"/>
  <c r="S640" i="10" s="1"/>
  <c r="Q632" i="10"/>
  <c r="S632" i="10" s="1"/>
  <c r="Q624" i="10"/>
  <c r="S624" i="10" s="1"/>
  <c r="Q616" i="10"/>
  <c r="S616" i="10" s="1"/>
  <c r="Q608" i="10"/>
  <c r="S608" i="10" s="1"/>
  <c r="Q600" i="10"/>
  <c r="S600" i="10" s="1"/>
  <c r="Q592" i="10"/>
  <c r="S592" i="10" s="1"/>
  <c r="Q584" i="10"/>
  <c r="S584" i="10" s="1"/>
  <c r="Q576" i="10"/>
  <c r="S576" i="10" s="1"/>
  <c r="Q568" i="10"/>
  <c r="S568" i="10" s="1"/>
  <c r="Q560" i="10"/>
  <c r="S560" i="10" s="1"/>
  <c r="Q552" i="10"/>
  <c r="S552" i="10" s="1"/>
  <c r="Q544" i="10"/>
  <c r="S544" i="10" s="1"/>
  <c r="Q536" i="10"/>
  <c r="S536" i="10" s="1"/>
  <c r="Q528" i="10"/>
  <c r="S528" i="10" s="1"/>
  <c r="Q520" i="10"/>
  <c r="S520" i="10" s="1"/>
  <c r="Q512" i="10"/>
  <c r="S512" i="10" s="1"/>
  <c r="Q504" i="10"/>
  <c r="S504" i="10" s="1"/>
  <c r="Q496" i="10"/>
  <c r="S496" i="10" s="1"/>
  <c r="Q488" i="10"/>
  <c r="S488" i="10" s="1"/>
  <c r="Q480" i="10"/>
  <c r="S480" i="10" s="1"/>
  <c r="Q472" i="10"/>
  <c r="S472" i="10" s="1"/>
  <c r="Q464" i="10"/>
  <c r="S464" i="10" s="1"/>
  <c r="Q456" i="10"/>
  <c r="S456" i="10" s="1"/>
  <c r="Q448" i="10"/>
  <c r="S448" i="10" s="1"/>
  <c r="Q440" i="10"/>
  <c r="S440" i="10" s="1"/>
  <c r="Q432" i="10"/>
  <c r="S432" i="10" s="1"/>
  <c r="Q424" i="10"/>
  <c r="S424" i="10" s="1"/>
  <c r="Q416" i="10"/>
  <c r="S416" i="10" s="1"/>
  <c r="Q408" i="10"/>
  <c r="S408" i="10" s="1"/>
  <c r="Q400" i="10"/>
  <c r="S400" i="10" s="1"/>
  <c r="Q275" i="10"/>
  <c r="S275" i="10" s="1"/>
  <c r="Q267" i="10"/>
  <c r="S267" i="10" s="1"/>
  <c r="Q259" i="10"/>
  <c r="S259" i="10" s="1"/>
  <c r="Q251" i="10"/>
  <c r="S251" i="10" s="1"/>
  <c r="Q243" i="10"/>
  <c r="S243" i="10" s="1"/>
  <c r="Q235" i="10"/>
  <c r="S235" i="10" s="1"/>
  <c r="Q227" i="10"/>
  <c r="S227" i="10" s="1"/>
  <c r="Q219" i="10"/>
  <c r="S219" i="10" s="1"/>
  <c r="Q211" i="10"/>
  <c r="S211" i="10" s="1"/>
  <c r="Q203" i="10"/>
  <c r="S203" i="10" s="1"/>
  <c r="Q195" i="10"/>
  <c r="S195" i="10" s="1"/>
  <c r="Q187" i="10"/>
  <c r="S187" i="10" s="1"/>
  <c r="Q179" i="10"/>
  <c r="S179" i="10" s="1"/>
  <c r="Q171" i="10"/>
  <c r="S171" i="10" s="1"/>
  <c r="Q163" i="10"/>
  <c r="S163" i="10" s="1"/>
  <c r="Q155" i="10"/>
  <c r="S155" i="10" s="1"/>
  <c r="Q147" i="10"/>
  <c r="S147" i="10" s="1"/>
  <c r="Q139" i="10"/>
  <c r="S139" i="10" s="1"/>
  <c r="Q131" i="10"/>
  <c r="S131" i="10" s="1"/>
  <c r="Q123" i="10"/>
  <c r="S123" i="10" s="1"/>
  <c r="Q115" i="10"/>
  <c r="S115" i="10" s="1"/>
  <c r="Q107" i="10"/>
  <c r="S107" i="10" s="1"/>
  <c r="Q99" i="10"/>
  <c r="S99" i="10" s="1"/>
  <c r="Q91" i="10"/>
  <c r="S91" i="10" s="1"/>
  <c r="Q83" i="10"/>
  <c r="S83" i="10" s="1"/>
  <c r="Q75" i="10"/>
  <c r="S75" i="10" s="1"/>
  <c r="Q67" i="10"/>
  <c r="S67" i="10" s="1"/>
  <c r="Q59" i="10"/>
  <c r="S59" i="10" s="1"/>
  <c r="Q51" i="10"/>
  <c r="S51" i="10" s="1"/>
  <c r="Q43" i="10"/>
  <c r="S43" i="10" s="1"/>
  <c r="Q35" i="10"/>
  <c r="S35" i="10" s="1"/>
  <c r="Q27" i="10"/>
  <c r="S27" i="10" s="1"/>
  <c r="Q9" i="10"/>
  <c r="S9" i="10" s="1"/>
  <c r="Q825" i="10"/>
  <c r="S825" i="10" s="1"/>
  <c r="Q758" i="10"/>
  <c r="S758" i="10" s="1"/>
  <c r="Q630" i="10"/>
  <c r="S630" i="10" s="1"/>
  <c r="Q550" i="10"/>
  <c r="S550" i="10" s="1"/>
  <c r="Q470" i="10"/>
  <c r="S470" i="10" s="1"/>
  <c r="Q241" i="10"/>
  <c r="S241" i="10" s="1"/>
  <c r="Q129" i="10"/>
  <c r="S129" i="10" s="1"/>
  <c r="Q33" i="10"/>
  <c r="S33" i="10" s="1"/>
  <c r="Q775" i="10"/>
  <c r="S775" i="10" s="1"/>
  <c r="Q374" i="10"/>
  <c r="S374" i="10" s="1"/>
  <c r="Q342" i="10"/>
  <c r="S342" i="10" s="1"/>
  <c r="Q310" i="10"/>
  <c r="S310" i="10" s="1"/>
  <c r="Q820" i="10"/>
  <c r="S820" i="10" s="1"/>
  <c r="Q766" i="10"/>
  <c r="S766" i="10" s="1"/>
  <c r="Q734" i="10"/>
  <c r="S734" i="10" s="1"/>
  <c r="Q702" i="10"/>
  <c r="S702" i="10" s="1"/>
  <c r="Q670" i="10"/>
  <c r="S670" i="10" s="1"/>
  <c r="Q638" i="10"/>
  <c r="S638" i="10" s="1"/>
  <c r="Q606" i="10"/>
  <c r="S606" i="10" s="1"/>
  <c r="Q574" i="10"/>
  <c r="S574" i="10" s="1"/>
  <c r="Q542" i="10"/>
  <c r="S542" i="10" s="1"/>
  <c r="Q510" i="10"/>
  <c r="S510" i="10" s="1"/>
  <c r="Q478" i="10"/>
  <c r="S478" i="10" s="1"/>
  <c r="Q446" i="10"/>
  <c r="S446" i="10" s="1"/>
  <c r="Q414" i="10"/>
  <c r="S414" i="10" s="1"/>
  <c r="Q265" i="10"/>
  <c r="S265" i="10" s="1"/>
  <c r="Q233" i="10"/>
  <c r="S233" i="10" s="1"/>
  <c r="Q201" i="10"/>
  <c r="S201" i="10" s="1"/>
  <c r="Q169" i="10"/>
  <c r="S169" i="10" s="1"/>
  <c r="Q137" i="10"/>
  <c r="S137" i="10" s="1"/>
  <c r="Q105" i="10"/>
  <c r="S105" i="10" s="1"/>
  <c r="Q73" i="10"/>
  <c r="S73" i="10" s="1"/>
  <c r="Q41" i="10"/>
  <c r="S41" i="10" s="1"/>
  <c r="Q823" i="10"/>
  <c r="S823" i="10" s="1"/>
  <c r="Q726" i="10"/>
  <c r="S726" i="10" s="1"/>
  <c r="Q646" i="10"/>
  <c r="S646" i="10" s="1"/>
  <c r="Q518" i="10"/>
  <c r="S518" i="10" s="1"/>
  <c r="Q273" i="10"/>
  <c r="S273" i="10" s="1"/>
  <c r="Q161" i="10"/>
  <c r="S161" i="10" s="1"/>
  <c r="Q49" i="10"/>
  <c r="S49" i="10" s="1"/>
  <c r="Q783" i="10"/>
  <c r="S783" i="10" s="1"/>
  <c r="Q843" i="10"/>
  <c r="S843" i="10" s="1"/>
  <c r="Q832" i="10"/>
  <c r="S832" i="10" s="1"/>
  <c r="Q842" i="10"/>
  <c r="S842" i="10" s="1"/>
  <c r="Q833" i="10"/>
  <c r="S833" i="10" s="1"/>
  <c r="Q836" i="10"/>
  <c r="S836" i="10" s="1"/>
  <c r="Q859" i="10"/>
  <c r="S859" i="10" s="1"/>
  <c r="Q858" i="10"/>
  <c r="S858" i="10" s="1"/>
  <c r="Q861" i="10"/>
  <c r="S861" i="10" s="1"/>
  <c r="Q862" i="10"/>
  <c r="S862" i="10" s="1"/>
  <c r="Q802" i="10"/>
  <c r="S802" i="10" s="1"/>
  <c r="Q16" i="10"/>
  <c r="S16" i="10" s="1"/>
  <c r="Q387" i="10"/>
  <c r="S387" i="10" s="1"/>
  <c r="Q367" i="10"/>
  <c r="S367" i="10" s="1"/>
  <c r="Q355" i="10"/>
  <c r="S355" i="10" s="1"/>
  <c r="Q335" i="10"/>
  <c r="S335" i="10" s="1"/>
  <c r="Q323" i="10"/>
  <c r="S323" i="10" s="1"/>
  <c r="Q303" i="10"/>
  <c r="S303" i="10" s="1"/>
  <c r="Q291" i="10"/>
  <c r="S291" i="10" s="1"/>
  <c r="Q793" i="10"/>
  <c r="S793" i="10" s="1"/>
  <c r="Q839" i="10"/>
  <c r="S839" i="10" s="1"/>
  <c r="Q840" i="10"/>
  <c r="S840" i="10" s="1"/>
  <c r="Q838" i="10"/>
  <c r="S838" i="10" s="1"/>
  <c r="Q837" i="10"/>
  <c r="S837" i="10" s="1"/>
  <c r="Q849" i="10"/>
  <c r="S849" i="10" s="1"/>
  <c r="Q853" i="10"/>
  <c r="S853" i="10" s="1"/>
  <c r="Q860" i="10"/>
  <c r="S860" i="10" s="1"/>
  <c r="Q863" i="10"/>
  <c r="S863" i="10" s="1"/>
  <c r="Q866" i="10"/>
  <c r="S866" i="10" s="1"/>
  <c r="Q792" i="10"/>
  <c r="S792" i="10" s="1"/>
  <c r="Q20" i="10"/>
  <c r="S20" i="10" s="1"/>
  <c r="Q383" i="10"/>
  <c r="S383" i="10" s="1"/>
  <c r="Q371" i="10"/>
  <c r="S371" i="10" s="1"/>
  <c r="Q351" i="10"/>
  <c r="S351" i="10" s="1"/>
  <c r="Q339" i="10"/>
  <c r="S339" i="10" s="1"/>
  <c r="Q319" i="10"/>
  <c r="S319" i="10" s="1"/>
  <c r="Q307" i="10"/>
  <c r="S307" i="10" s="1"/>
  <c r="Q287" i="10"/>
  <c r="S287" i="10" s="1"/>
  <c r="Q808" i="10"/>
  <c r="S808" i="10" s="1"/>
  <c r="Q776" i="10"/>
  <c r="S776" i="10" s="1"/>
  <c r="Q763" i="10"/>
  <c r="S763" i="10" s="1"/>
  <c r="Q743" i="10"/>
  <c r="S743" i="10" s="1"/>
  <c r="Q731" i="10"/>
  <c r="S731" i="10" s="1"/>
  <c r="Q711" i="10"/>
  <c r="S711" i="10" s="1"/>
  <c r="Q699" i="10"/>
  <c r="S699" i="10" s="1"/>
  <c r="Q679" i="10"/>
  <c r="S679" i="10" s="1"/>
  <c r="Q667" i="10"/>
  <c r="S667" i="10" s="1"/>
  <c r="Q647" i="10"/>
  <c r="S647" i="10" s="1"/>
  <c r="Q635" i="10"/>
  <c r="S635" i="10" s="1"/>
  <c r="Q615" i="10"/>
  <c r="S615" i="10" s="1"/>
  <c r="Q603" i="10"/>
  <c r="S603" i="10" s="1"/>
  <c r="Q583" i="10"/>
  <c r="S583" i="10" s="1"/>
  <c r="Q571" i="10"/>
  <c r="S571" i="10" s="1"/>
  <c r="Q551" i="10"/>
  <c r="S551" i="10" s="1"/>
  <c r="Q539" i="10"/>
  <c r="S539" i="10" s="1"/>
  <c r="Q519" i="10"/>
  <c r="S519" i="10" s="1"/>
  <c r="Q507" i="10"/>
  <c r="S507" i="10" s="1"/>
  <c r="Q487" i="10"/>
  <c r="S487" i="10" s="1"/>
  <c r="Q475" i="10"/>
  <c r="S475" i="10" s="1"/>
  <c r="Q455" i="10"/>
  <c r="S455" i="10" s="1"/>
  <c r="Q443" i="10"/>
  <c r="S443" i="10" s="1"/>
  <c r="Q423" i="10"/>
  <c r="S423" i="10" s="1"/>
  <c r="Q411" i="10"/>
  <c r="S411" i="10" s="1"/>
  <c r="Q274" i="10"/>
  <c r="S274" i="10" s="1"/>
  <c r="Q262" i="10"/>
  <c r="S262" i="10" s="1"/>
  <c r="Q242" i="10"/>
  <c r="S242" i="10" s="1"/>
  <c r="Q230" i="10"/>
  <c r="S230" i="10" s="1"/>
  <c r="Q210" i="10"/>
  <c r="S210" i="10" s="1"/>
  <c r="Q198" i="10"/>
  <c r="S198" i="10" s="1"/>
  <c r="Q178" i="10"/>
  <c r="S178" i="10" s="1"/>
  <c r="Q166" i="10"/>
  <c r="S166" i="10" s="1"/>
  <c r="Q146" i="10"/>
  <c r="S146" i="10" s="1"/>
  <c r="Q134" i="10"/>
  <c r="S134" i="10" s="1"/>
  <c r="Q114" i="10"/>
  <c r="S114" i="10" s="1"/>
  <c r="Q102" i="10"/>
  <c r="S102" i="10" s="1"/>
  <c r="Q82" i="10"/>
  <c r="S82" i="10" s="1"/>
  <c r="Q70" i="10"/>
  <c r="S70" i="10" s="1"/>
  <c r="Q50" i="10"/>
  <c r="S50" i="10" s="1"/>
  <c r="Q38" i="10"/>
  <c r="S38" i="10" s="1"/>
  <c r="Q8" i="10"/>
  <c r="S8" i="10" s="1"/>
  <c r="Q821" i="10"/>
  <c r="S821" i="10" s="1"/>
  <c r="Q778" i="10"/>
  <c r="S778" i="10" s="1"/>
  <c r="Q13" i="10"/>
  <c r="S13" i="10" s="1"/>
  <c r="Q376" i="10"/>
  <c r="S376" i="10" s="1"/>
  <c r="Q364" i="10"/>
  <c r="S364" i="10" s="1"/>
  <c r="Q344" i="10"/>
  <c r="S344" i="10" s="1"/>
  <c r="Q332" i="10"/>
  <c r="S332" i="10" s="1"/>
  <c r="Q312" i="10"/>
  <c r="S312" i="10" s="1"/>
  <c r="Q300" i="10"/>
  <c r="S300" i="10" s="1"/>
  <c r="Q280" i="10"/>
  <c r="S280" i="10" s="1"/>
  <c r="Q780" i="10"/>
  <c r="S780" i="10" s="1"/>
  <c r="Q748" i="10"/>
  <c r="S748" i="10" s="1"/>
  <c r="Q716" i="10"/>
  <c r="S716" i="10" s="1"/>
  <c r="Q684" i="10"/>
  <c r="S684" i="10" s="1"/>
  <c r="Q652" i="10"/>
  <c r="S652" i="10" s="1"/>
  <c r="Q620" i="10"/>
  <c r="S620" i="10" s="1"/>
  <c r="Q588" i="10"/>
  <c r="S588" i="10" s="1"/>
  <c r="Q556" i="10"/>
  <c r="S556" i="10" s="1"/>
  <c r="Q524" i="10"/>
  <c r="S524" i="10" s="1"/>
  <c r="Q492" i="10"/>
  <c r="S492" i="10" s="1"/>
  <c r="Q460" i="10"/>
  <c r="S460" i="10" s="1"/>
  <c r="Q428" i="10"/>
  <c r="S428" i="10" s="1"/>
  <c r="Q396" i="10"/>
  <c r="S396" i="10" s="1"/>
  <c r="Q247" i="10"/>
  <c r="S247" i="10" s="1"/>
  <c r="Q215" i="10"/>
  <c r="S215" i="10" s="1"/>
  <c r="Q183" i="10"/>
  <c r="S183" i="10" s="1"/>
  <c r="Q151" i="10"/>
  <c r="S151" i="10" s="1"/>
  <c r="Q119" i="10"/>
  <c r="S119" i="10" s="1"/>
  <c r="Q87" i="10"/>
  <c r="S87" i="10" s="1"/>
  <c r="Q55" i="10"/>
  <c r="S55" i="10" s="1"/>
  <c r="Q851" i="10"/>
  <c r="S851" i="10" s="1"/>
  <c r="Q848" i="10"/>
  <c r="S848" i="10" s="1"/>
  <c r="Q850" i="10"/>
  <c r="S850" i="10" s="1"/>
  <c r="Q841" i="10"/>
  <c r="S841" i="10" s="1"/>
  <c r="Q855" i="10"/>
  <c r="S855" i="10" s="1"/>
  <c r="Q857" i="10"/>
  <c r="S857" i="10" s="1"/>
  <c r="Q852" i="10"/>
  <c r="S852" i="10" s="1"/>
  <c r="Q864" i="10"/>
  <c r="S864" i="10" s="1"/>
  <c r="Q810" i="10"/>
  <c r="S810" i="10" s="1"/>
  <c r="Q784" i="10"/>
  <c r="S784" i="10" s="1"/>
  <c r="Q391" i="10"/>
  <c r="S391" i="10" s="1"/>
  <c r="Q379" i="10"/>
  <c r="S379" i="10" s="1"/>
  <c r="Q359" i="10"/>
  <c r="S359" i="10" s="1"/>
  <c r="Q347" i="10"/>
  <c r="S347" i="10" s="1"/>
  <c r="Q327" i="10"/>
  <c r="S327" i="10" s="1"/>
  <c r="Q315" i="10"/>
  <c r="S315" i="10" s="1"/>
  <c r="Q295" i="10"/>
  <c r="S295" i="10" s="1"/>
  <c r="Q283" i="10"/>
  <c r="S283" i="10" s="1"/>
  <c r="Q804" i="10"/>
  <c r="S804" i="10" s="1"/>
  <c r="Q771" i="10"/>
  <c r="S771" i="10" s="1"/>
  <c r="Q751" i="10"/>
  <c r="S751" i="10" s="1"/>
  <c r="Q739" i="10"/>
  <c r="S739" i="10" s="1"/>
  <c r="Q719" i="10"/>
  <c r="S719" i="10" s="1"/>
  <c r="Q707" i="10"/>
  <c r="S707" i="10" s="1"/>
  <c r="Q687" i="10"/>
  <c r="S687" i="10" s="1"/>
  <c r="Q675" i="10"/>
  <c r="S675" i="10" s="1"/>
  <c r="Q655" i="10"/>
  <c r="S655" i="10" s="1"/>
  <c r="Q643" i="10"/>
  <c r="S643" i="10" s="1"/>
  <c r="Q623" i="10"/>
  <c r="S623" i="10" s="1"/>
  <c r="Q611" i="10"/>
  <c r="S611" i="10" s="1"/>
  <c r="Q591" i="10"/>
  <c r="S591" i="10" s="1"/>
  <c r="Q579" i="10"/>
  <c r="S579" i="10" s="1"/>
  <c r="Q559" i="10"/>
  <c r="S559" i="10" s="1"/>
  <c r="Q547" i="10"/>
  <c r="S547" i="10" s="1"/>
  <c r="Q527" i="10"/>
  <c r="S527" i="10" s="1"/>
  <c r="Q515" i="10"/>
  <c r="S515" i="10" s="1"/>
  <c r="Q495" i="10"/>
  <c r="S495" i="10" s="1"/>
  <c r="Q483" i="10"/>
  <c r="S483" i="10" s="1"/>
  <c r="Q463" i="10"/>
  <c r="S463" i="10" s="1"/>
  <c r="Q451" i="10"/>
  <c r="S451" i="10" s="1"/>
  <c r="Q431" i="10"/>
  <c r="S431" i="10" s="1"/>
  <c r="Q419" i="10"/>
  <c r="S419" i="10" s="1"/>
  <c r="Q399" i="10"/>
  <c r="S399" i="10" s="1"/>
  <c r="Q270" i="10"/>
  <c r="S270" i="10" s="1"/>
  <c r="Q250" i="10"/>
  <c r="S250" i="10" s="1"/>
  <c r="Q238" i="10"/>
  <c r="S238" i="10" s="1"/>
  <c r="Q218" i="10"/>
  <c r="S218" i="10" s="1"/>
  <c r="Q206" i="10"/>
  <c r="S206" i="10" s="1"/>
  <c r="Q186" i="10"/>
  <c r="S186" i="10" s="1"/>
  <c r="Q174" i="10"/>
  <c r="S174" i="10" s="1"/>
  <c r="Q154" i="10"/>
  <c r="S154" i="10" s="1"/>
  <c r="Q142" i="10"/>
  <c r="S142" i="10" s="1"/>
  <c r="Q122" i="10"/>
  <c r="S122" i="10" s="1"/>
  <c r="Q110" i="10"/>
  <c r="S110" i="10" s="1"/>
  <c r="Q90" i="10"/>
  <c r="S90" i="10" s="1"/>
  <c r="Q78" i="10"/>
  <c r="S78" i="10" s="1"/>
  <c r="Q58" i="10"/>
  <c r="S58" i="10" s="1"/>
  <c r="Q46" i="10"/>
  <c r="S46" i="10" s="1"/>
  <c r="Q26" i="10"/>
  <c r="S26" i="10" s="1"/>
  <c r="Q828" i="10"/>
  <c r="S828" i="10" s="1"/>
  <c r="Q795" i="10"/>
  <c r="S795" i="10" s="1"/>
  <c r="Q21" i="10"/>
  <c r="S21" i="10" s="1"/>
  <c r="Q384" i="10"/>
  <c r="S384" i="10" s="1"/>
  <c r="Q372" i="10"/>
  <c r="S372" i="10" s="1"/>
  <c r="Q352" i="10"/>
  <c r="S352" i="10" s="1"/>
  <c r="Q340" i="10"/>
  <c r="S340" i="10" s="1"/>
  <c r="Q320" i="10"/>
  <c r="S320" i="10" s="1"/>
  <c r="Q308" i="10"/>
  <c r="S308" i="10" s="1"/>
  <c r="Q288" i="10"/>
  <c r="S288" i="10" s="1"/>
  <c r="Q812" i="10"/>
  <c r="S812" i="10" s="1"/>
  <c r="Q779" i="10"/>
  <c r="S779" i="10" s="1"/>
  <c r="Q756" i="10"/>
  <c r="S756" i="10" s="1"/>
  <c r="Q724" i="10"/>
  <c r="S724" i="10" s="1"/>
  <c r="Q692" i="10"/>
  <c r="S692" i="10" s="1"/>
  <c r="Q660" i="10"/>
  <c r="S660" i="10" s="1"/>
  <c r="Q628" i="10"/>
  <c r="S628" i="10" s="1"/>
  <c r="Q596" i="10"/>
  <c r="S596" i="10" s="1"/>
  <c r="Q564" i="10"/>
  <c r="S564" i="10" s="1"/>
  <c r="Q532" i="10"/>
  <c r="S532" i="10" s="1"/>
  <c r="Q500" i="10"/>
  <c r="S500" i="10" s="1"/>
  <c r="Q468" i="10"/>
  <c r="S468" i="10" s="1"/>
  <c r="Q436" i="10"/>
  <c r="S436" i="10" s="1"/>
  <c r="Q404" i="10"/>
  <c r="S404" i="10" s="1"/>
  <c r="Q255" i="10"/>
  <c r="S255" i="10" s="1"/>
  <c r="Q223" i="10"/>
  <c r="S223" i="10" s="1"/>
  <c r="Q191" i="10"/>
  <c r="S191" i="10" s="1"/>
  <c r="Q159" i="10"/>
  <c r="S159" i="10" s="1"/>
  <c r="Q127" i="10"/>
  <c r="S127" i="10" s="1"/>
  <c r="Q95" i="10"/>
  <c r="S95" i="10" s="1"/>
  <c r="Q63" i="10"/>
  <c r="S63" i="10" s="1"/>
  <c r="Q847" i="10"/>
  <c r="S847" i="10" s="1"/>
  <c r="Q854" i="10"/>
  <c r="S854" i="10" s="1"/>
  <c r="Q818" i="10"/>
  <c r="S818" i="10" s="1"/>
  <c r="Q343" i="10"/>
  <c r="S343" i="10" s="1"/>
  <c r="Q299" i="10"/>
  <c r="S299" i="10" s="1"/>
  <c r="Q789" i="10"/>
  <c r="S789" i="10" s="1"/>
  <c r="Q759" i="10"/>
  <c r="S759" i="10" s="1"/>
  <c r="Q715" i="10"/>
  <c r="S715" i="10" s="1"/>
  <c r="Q695" i="10"/>
  <c r="S695" i="10" s="1"/>
  <c r="Q651" i="10"/>
  <c r="S651" i="10" s="1"/>
  <c r="Q631" i="10"/>
  <c r="S631" i="10" s="1"/>
  <c r="Q587" i="10"/>
  <c r="S587" i="10" s="1"/>
  <c r="Q567" i="10"/>
  <c r="S567" i="10" s="1"/>
  <c r="Q523" i="10"/>
  <c r="S523" i="10" s="1"/>
  <c r="Q503" i="10"/>
  <c r="S503" i="10" s="1"/>
  <c r="Q459" i="10"/>
  <c r="S459" i="10" s="1"/>
  <c r="Q439" i="10"/>
  <c r="S439" i="10" s="1"/>
  <c r="T439" i="10" s="1"/>
  <c r="Q395" i="10"/>
  <c r="S395" i="10" s="1"/>
  <c r="Q258" i="10"/>
  <c r="S258" i="10" s="1"/>
  <c r="Q214" i="10"/>
  <c r="S214" i="10" s="1"/>
  <c r="Q194" i="10"/>
  <c r="S194" i="10" s="1"/>
  <c r="Q150" i="10"/>
  <c r="S150" i="10" s="1"/>
  <c r="Q130" i="10"/>
  <c r="S130" i="10" s="1"/>
  <c r="T130" i="10" s="1"/>
  <c r="Q86" i="10"/>
  <c r="S86" i="10" s="1"/>
  <c r="Q66" i="10"/>
  <c r="S66" i="10" s="1"/>
  <c r="Q22" i="10"/>
  <c r="S22" i="10" s="1"/>
  <c r="Q811" i="10"/>
  <c r="S811" i="10" s="1"/>
  <c r="Q380" i="10"/>
  <c r="S380" i="10" s="1"/>
  <c r="Q360" i="10"/>
  <c r="S360" i="10" s="1"/>
  <c r="Q316" i="10"/>
  <c r="S316" i="10" s="1"/>
  <c r="Q296" i="10"/>
  <c r="S296" i="10" s="1"/>
  <c r="Q772" i="10"/>
  <c r="S772" i="10" s="1"/>
  <c r="T772" i="10" s="1"/>
  <c r="Q732" i="10"/>
  <c r="S732" i="10" s="1"/>
  <c r="Q668" i="10"/>
  <c r="S668" i="10" s="1"/>
  <c r="Q604" i="10"/>
  <c r="S604" i="10" s="1"/>
  <c r="Q540" i="10"/>
  <c r="S540" i="10" s="1"/>
  <c r="Q476" i="10"/>
  <c r="S476" i="10" s="1"/>
  <c r="Q412" i="10"/>
  <c r="S412" i="10" s="1"/>
  <c r="Q231" i="10"/>
  <c r="S231" i="10" s="1"/>
  <c r="Q167" i="10"/>
  <c r="S167" i="10" s="1"/>
  <c r="Q103" i="10"/>
  <c r="S103" i="10" s="1"/>
  <c r="Q39" i="10"/>
  <c r="S39" i="10" s="1"/>
  <c r="Q822" i="10"/>
  <c r="S822" i="10" s="1"/>
  <c r="Q788" i="10"/>
  <c r="S788" i="10" s="1"/>
  <c r="Q18" i="10"/>
  <c r="S18" i="10" s="1"/>
  <c r="Q381" i="10"/>
  <c r="S381" i="10" s="1"/>
  <c r="Q369" i="10"/>
  <c r="S369" i="10" s="1"/>
  <c r="Q845" i="10"/>
  <c r="S845" i="10" s="1"/>
  <c r="Q856" i="10"/>
  <c r="S856" i="10" s="1"/>
  <c r="Q375" i="10"/>
  <c r="S375" i="10" s="1"/>
  <c r="Q331" i="10"/>
  <c r="S331" i="10" s="1"/>
  <c r="Q755" i="10"/>
  <c r="S755" i="10" s="1"/>
  <c r="Q735" i="10"/>
  <c r="S735" i="10" s="1"/>
  <c r="Q691" i="10"/>
  <c r="S691" i="10" s="1"/>
  <c r="Q671" i="10"/>
  <c r="S671" i="10" s="1"/>
  <c r="Q627" i="10"/>
  <c r="S627" i="10" s="1"/>
  <c r="Q607" i="10"/>
  <c r="S607" i="10" s="1"/>
  <c r="Q563" i="10"/>
  <c r="S563" i="10" s="1"/>
  <c r="Q543" i="10"/>
  <c r="S543" i="10" s="1"/>
  <c r="Q499" i="10"/>
  <c r="S499" i="10" s="1"/>
  <c r="Q479" i="10"/>
  <c r="S479" i="10" s="1"/>
  <c r="Q435" i="10"/>
  <c r="S435" i="10" s="1"/>
  <c r="Q415" i="10"/>
  <c r="S415" i="10" s="1"/>
  <c r="Q254" i="10"/>
  <c r="S254" i="10" s="1"/>
  <c r="Q234" i="10"/>
  <c r="S234" i="10" s="1"/>
  <c r="Q190" i="10"/>
  <c r="S190" i="10" s="1"/>
  <c r="Q170" i="10"/>
  <c r="S170" i="10" s="1"/>
  <c r="Q126" i="10"/>
  <c r="S126" i="10" s="1"/>
  <c r="Q106" i="10"/>
  <c r="S106" i="10" s="1"/>
  <c r="Q62" i="10"/>
  <c r="S62" i="10" s="1"/>
  <c r="Q42" i="10"/>
  <c r="S42" i="10" s="1"/>
  <c r="Q803" i="10"/>
  <c r="S803" i="10" s="1"/>
  <c r="Q17" i="10"/>
  <c r="S17" i="10" s="1"/>
  <c r="Q356" i="10"/>
  <c r="S356" i="10" s="1"/>
  <c r="Q336" i="10"/>
  <c r="S336" i="10" s="1"/>
  <c r="Q292" i="10"/>
  <c r="S292" i="10" s="1"/>
  <c r="Q798" i="10"/>
  <c r="S798" i="10" s="1"/>
  <c r="Q708" i="10"/>
  <c r="S708" i="10" s="1"/>
  <c r="Q644" i="10"/>
  <c r="S644" i="10" s="1"/>
  <c r="Q580" i="10"/>
  <c r="S580" i="10" s="1"/>
  <c r="Q516" i="10"/>
  <c r="S516" i="10" s="1"/>
  <c r="Q452" i="10"/>
  <c r="S452" i="10" s="1"/>
  <c r="Q271" i="10"/>
  <c r="S271" i="10" s="1"/>
  <c r="Q207" i="10"/>
  <c r="S207" i="10" s="1"/>
  <c r="Q143" i="10"/>
  <c r="S143" i="10" s="1"/>
  <c r="Q79" i="10"/>
  <c r="S79" i="10" s="1"/>
  <c r="Q829" i="10"/>
  <c r="S829" i="10" s="1"/>
  <c r="Q806" i="10"/>
  <c r="S806" i="10" s="1"/>
  <c r="Q781" i="10"/>
  <c r="S781" i="10" s="1"/>
  <c r="Q389" i="10"/>
  <c r="S389" i="10" s="1"/>
  <c r="Q377" i="10"/>
  <c r="S377" i="10" s="1"/>
  <c r="Q834" i="10"/>
  <c r="S834" i="10" s="1"/>
  <c r="Q844" i="10"/>
  <c r="S844" i="10" s="1"/>
  <c r="Q777" i="10"/>
  <c r="S777" i="10" s="1"/>
  <c r="Q363" i="10"/>
  <c r="S363" i="10" s="1"/>
  <c r="Q279" i="10"/>
  <c r="S279" i="10" s="1"/>
  <c r="Q747" i="10"/>
  <c r="S747" i="10" s="1"/>
  <c r="Q727" i="10"/>
  <c r="S727" i="10" s="1"/>
  <c r="Q683" i="10"/>
  <c r="S683" i="10" s="1"/>
  <c r="Q663" i="10"/>
  <c r="S663" i="10" s="1"/>
  <c r="Q619" i="10"/>
  <c r="S619" i="10" s="1"/>
  <c r="Q599" i="10"/>
  <c r="S599" i="10" s="1"/>
  <c r="Q555" i="10"/>
  <c r="S555" i="10" s="1"/>
  <c r="Q535" i="10"/>
  <c r="S535" i="10" s="1"/>
  <c r="Q491" i="10"/>
  <c r="S491" i="10" s="1"/>
  <c r="Q471" i="10"/>
  <c r="S471" i="10" s="1"/>
  <c r="Q427" i="10"/>
  <c r="S427" i="10" s="1"/>
  <c r="Q407" i="10"/>
  <c r="S407" i="10" s="1"/>
  <c r="Q246" i="10"/>
  <c r="S246" i="10" s="1"/>
  <c r="Q226" i="10"/>
  <c r="S226" i="10" s="1"/>
  <c r="Q182" i="10"/>
  <c r="S182" i="10" s="1"/>
  <c r="Q162" i="10"/>
  <c r="S162" i="10" s="1"/>
  <c r="Q118" i="10"/>
  <c r="S118" i="10" s="1"/>
  <c r="Q98" i="10"/>
  <c r="S98" i="10" s="1"/>
  <c r="Q54" i="10"/>
  <c r="S54" i="10" s="1"/>
  <c r="Q34" i="10"/>
  <c r="S34" i="10" s="1"/>
  <c r="Q787" i="10"/>
  <c r="S787" i="10" s="1"/>
  <c r="Q392" i="10"/>
  <c r="S392" i="10" s="1"/>
  <c r="Q348" i="10"/>
  <c r="S348" i="10" s="1"/>
  <c r="Q328" i="10"/>
  <c r="S328" i="10" s="1"/>
  <c r="Q284" i="10"/>
  <c r="S284" i="10" s="1"/>
  <c r="Q809" i="10"/>
  <c r="S809" i="10" s="1"/>
  <c r="Q764" i="10"/>
  <c r="S764" i="10" s="1"/>
  <c r="Q700" i="10"/>
  <c r="S700" i="10" s="1"/>
  <c r="Q636" i="10"/>
  <c r="S636" i="10" s="1"/>
  <c r="Q572" i="10"/>
  <c r="S572" i="10" s="1"/>
  <c r="Q508" i="10"/>
  <c r="S508" i="10" s="1"/>
  <c r="Q444" i="10"/>
  <c r="S444" i="10" s="1"/>
  <c r="Q263" i="10"/>
  <c r="S263" i="10" s="1"/>
  <c r="Q199" i="10"/>
  <c r="S199" i="10" s="1"/>
  <c r="Q135" i="10"/>
  <c r="S135" i="10" s="1"/>
  <c r="Q71" i="10"/>
  <c r="S71" i="10" s="1"/>
  <c r="Q23" i="10"/>
  <c r="S23" i="10" s="1"/>
  <c r="Q796" i="10"/>
  <c r="S796" i="10" s="1"/>
  <c r="Q14" i="10"/>
  <c r="S14" i="10" s="1"/>
  <c r="Q385" i="10"/>
  <c r="S385" i="10" s="1"/>
  <c r="Q365" i="10"/>
  <c r="S365" i="10" s="1"/>
  <c r="Q353" i="10"/>
  <c r="S353" i="10" s="1"/>
  <c r="Q835" i="10"/>
  <c r="S835" i="10" s="1"/>
  <c r="Q846" i="10"/>
  <c r="S846" i="10" s="1"/>
  <c r="Q865" i="10"/>
  <c r="S865" i="10" s="1"/>
  <c r="Q12" i="10"/>
  <c r="S12" i="10" s="1"/>
  <c r="Q311" i="10"/>
  <c r="S311" i="10" s="1"/>
  <c r="Q819" i="10"/>
  <c r="S819" i="10" s="1"/>
  <c r="Q767" i="10"/>
  <c r="S767" i="10" s="1"/>
  <c r="Q723" i="10"/>
  <c r="S723" i="10" s="1"/>
  <c r="Q703" i="10"/>
  <c r="S703" i="10" s="1"/>
  <c r="Q659" i="10"/>
  <c r="S659" i="10" s="1"/>
  <c r="Q639" i="10"/>
  <c r="S639" i="10" s="1"/>
  <c r="Q595" i="10"/>
  <c r="S595" i="10" s="1"/>
  <c r="Q575" i="10"/>
  <c r="S575" i="10" s="1"/>
  <c r="Q531" i="10"/>
  <c r="S531" i="10" s="1"/>
  <c r="Q511" i="10"/>
  <c r="S511" i="10" s="1"/>
  <c r="Q467" i="10"/>
  <c r="S467" i="10" s="1"/>
  <c r="Q447" i="10"/>
  <c r="S447" i="10" s="1"/>
  <c r="Q403" i="10"/>
  <c r="S403" i="10" s="1"/>
  <c r="Q266" i="10"/>
  <c r="S266" i="10" s="1"/>
  <c r="Q222" i="10"/>
  <c r="S222" i="10" s="1"/>
  <c r="Q202" i="10"/>
  <c r="S202" i="10" s="1"/>
  <c r="Q158" i="10"/>
  <c r="S158" i="10" s="1"/>
  <c r="Q138" i="10"/>
  <c r="S138" i="10" s="1"/>
  <c r="Q94" i="10"/>
  <c r="S94" i="10" s="1"/>
  <c r="Q74" i="10"/>
  <c r="S74" i="10" s="1"/>
  <c r="Q30" i="10"/>
  <c r="S30" i="10" s="1"/>
  <c r="Q824" i="10"/>
  <c r="S824" i="10" s="1"/>
  <c r="Q388" i="10"/>
  <c r="S388" i="10" s="1"/>
  <c r="Q368" i="10"/>
  <c r="S368" i="10" s="1"/>
  <c r="Q324" i="10"/>
  <c r="S324" i="10" s="1"/>
  <c r="Q304" i="10"/>
  <c r="S304" i="10" s="1"/>
  <c r="Q794" i="10"/>
  <c r="S794" i="10" s="1"/>
  <c r="Q740" i="10"/>
  <c r="S740" i="10" s="1"/>
  <c r="Q676" i="10"/>
  <c r="S676" i="10" s="1"/>
  <c r="Q612" i="10"/>
  <c r="S612" i="10" s="1"/>
  <c r="Q548" i="10"/>
  <c r="S548" i="10" s="1"/>
  <c r="Q484" i="10"/>
  <c r="S484" i="10" s="1"/>
  <c r="Q420" i="10"/>
  <c r="S420" i="10" s="1"/>
  <c r="Q239" i="10"/>
  <c r="S239" i="10" s="1"/>
  <c r="Q175" i="10"/>
  <c r="S175" i="10" s="1"/>
  <c r="Q111" i="10"/>
  <c r="S111" i="10" s="1"/>
  <c r="Q47" i="10"/>
  <c r="S47" i="10" s="1"/>
  <c r="Q31" i="10"/>
  <c r="S31" i="10" s="1"/>
  <c r="Q814" i="10"/>
  <c r="S814" i="10" s="1"/>
  <c r="Q774" i="10"/>
  <c r="S774" i="10" s="1"/>
  <c r="Q393" i="10"/>
  <c r="S393" i="10" s="1"/>
  <c r="Q373" i="10"/>
  <c r="S373" i="10" s="1"/>
  <c r="Q361" i="10"/>
  <c r="S361" i="10" s="1"/>
  <c r="Q333" i="10"/>
  <c r="S333" i="10" s="1"/>
  <c r="Q321" i="10"/>
  <c r="S321" i="10" s="1"/>
  <c r="Q301" i="10"/>
  <c r="S301" i="10" s="1"/>
  <c r="Q289" i="10"/>
  <c r="S289" i="10" s="1"/>
  <c r="Q786" i="10"/>
  <c r="S786" i="10" s="1"/>
  <c r="Q782" i="10"/>
  <c r="S782" i="10" s="1"/>
  <c r="Q757" i="10"/>
  <c r="S757" i="10" s="1"/>
  <c r="Q745" i="10"/>
  <c r="S745" i="10" s="1"/>
  <c r="Q725" i="10"/>
  <c r="S725" i="10" s="1"/>
  <c r="Q713" i="10"/>
  <c r="S713" i="10" s="1"/>
  <c r="Q693" i="10"/>
  <c r="S693" i="10" s="1"/>
  <c r="Q681" i="10"/>
  <c r="S681" i="10" s="1"/>
  <c r="Q661" i="10"/>
  <c r="S661" i="10" s="1"/>
  <c r="Q649" i="10"/>
  <c r="S649" i="10" s="1"/>
  <c r="Q629" i="10"/>
  <c r="S629" i="10" s="1"/>
  <c r="Q617" i="10"/>
  <c r="S617" i="10" s="1"/>
  <c r="Q597" i="10"/>
  <c r="S597" i="10" s="1"/>
  <c r="Q585" i="10"/>
  <c r="S585" i="10" s="1"/>
  <c r="Q565" i="10"/>
  <c r="S565" i="10" s="1"/>
  <c r="Q553" i="10"/>
  <c r="S553" i="10" s="1"/>
  <c r="Q533" i="10"/>
  <c r="S533" i="10" s="1"/>
  <c r="Q521" i="10"/>
  <c r="S521" i="10" s="1"/>
  <c r="Q501" i="10"/>
  <c r="S501" i="10" s="1"/>
  <c r="Q489" i="10"/>
  <c r="S489" i="10" s="1"/>
  <c r="Q469" i="10"/>
  <c r="S469" i="10" s="1"/>
  <c r="Q457" i="10"/>
  <c r="S457" i="10" s="1"/>
  <c r="Q437" i="10"/>
  <c r="S437" i="10" s="1"/>
  <c r="Q425" i="10"/>
  <c r="S425" i="10" s="1"/>
  <c r="Q405" i="10"/>
  <c r="S405" i="10" s="1"/>
  <c r="Q276" i="10"/>
  <c r="S276" i="10" s="1"/>
  <c r="Q256" i="10"/>
  <c r="S256" i="10" s="1"/>
  <c r="Q244" i="10"/>
  <c r="S244" i="10" s="1"/>
  <c r="Q224" i="10"/>
  <c r="S224" i="10" s="1"/>
  <c r="Q212" i="10"/>
  <c r="S212" i="10" s="1"/>
  <c r="Q192" i="10"/>
  <c r="S192" i="10" s="1"/>
  <c r="Q180" i="10"/>
  <c r="S180" i="10" s="1"/>
  <c r="Q160" i="10"/>
  <c r="S160" i="10" s="1"/>
  <c r="Q148" i="10"/>
  <c r="S148" i="10" s="1"/>
  <c r="Q128" i="10"/>
  <c r="S128" i="10" s="1"/>
  <c r="Q116" i="10"/>
  <c r="S116" i="10" s="1"/>
  <c r="Q96" i="10"/>
  <c r="S96" i="10" s="1"/>
  <c r="Q84" i="10"/>
  <c r="S84" i="10" s="1"/>
  <c r="Q64" i="10"/>
  <c r="S64" i="10" s="1"/>
  <c r="Q52" i="10"/>
  <c r="S52" i="10" s="1"/>
  <c r="Q32" i="10"/>
  <c r="S32" i="10" s="1"/>
  <c r="Q10" i="10"/>
  <c r="S10" i="10" s="1"/>
  <c r="Q386" i="10"/>
  <c r="S386" i="10" s="1"/>
  <c r="Q338" i="10"/>
  <c r="S338" i="10" s="1"/>
  <c r="Q785" i="10"/>
  <c r="S785" i="10" s="1"/>
  <c r="Q730" i="10"/>
  <c r="S730" i="10" s="1"/>
  <c r="Q650" i="10"/>
  <c r="S650" i="10" s="1"/>
  <c r="Q602" i="10"/>
  <c r="S602" i="10" s="1"/>
  <c r="Q522" i="10"/>
  <c r="S522" i="10" s="1"/>
  <c r="Q474" i="10"/>
  <c r="S474" i="10" s="1"/>
  <c r="Q277" i="10"/>
  <c r="S277" i="10" s="1"/>
  <c r="Q229" i="10"/>
  <c r="S229" i="10" s="1"/>
  <c r="Q149" i="10"/>
  <c r="S149" i="10" s="1"/>
  <c r="Q101" i="10"/>
  <c r="S101" i="10" s="1"/>
  <c r="Q11" i="10"/>
  <c r="S11" i="10" s="1"/>
  <c r="Q582" i="10"/>
  <c r="S582" i="10" s="1"/>
  <c r="Q81" i="10"/>
  <c r="S81" i="10" s="1"/>
  <c r="Q326" i="10"/>
  <c r="S326" i="10" s="1"/>
  <c r="Q718" i="10"/>
  <c r="S718" i="10" s="1"/>
  <c r="Q590" i="10"/>
  <c r="S590" i="10" s="1"/>
  <c r="Q462" i="10"/>
  <c r="S462" i="10" s="1"/>
  <c r="Q217" i="10"/>
  <c r="S217" i="10" s="1"/>
  <c r="Q89" i="10"/>
  <c r="S89" i="10" s="1"/>
  <c r="Q678" i="10"/>
  <c r="S678" i="10" s="1"/>
  <c r="Q113" i="10"/>
  <c r="S113" i="10" s="1"/>
  <c r="Q346" i="10"/>
  <c r="S346" i="10" s="1"/>
  <c r="Q816" i="10"/>
  <c r="S816" i="10" s="1"/>
  <c r="Q738" i="10"/>
  <c r="S738" i="10" s="1"/>
  <c r="Q658" i="10"/>
  <c r="S658" i="10" s="1"/>
  <c r="Q610" i="10"/>
  <c r="S610" i="10" s="1"/>
  <c r="Q530" i="10"/>
  <c r="S530" i="10" s="1"/>
  <c r="Q482" i="10"/>
  <c r="S482" i="10" s="1"/>
  <c r="Q402" i="10"/>
  <c r="S402" i="10" s="1"/>
  <c r="Q237" i="10"/>
  <c r="S237" i="10" s="1"/>
  <c r="Q157" i="10"/>
  <c r="S157" i="10" s="1"/>
  <c r="Q109" i="10"/>
  <c r="S109" i="10" s="1"/>
  <c r="Q29" i="10"/>
  <c r="S29" i="10" s="1"/>
  <c r="Q382" i="10"/>
  <c r="S382" i="10" s="1"/>
  <c r="Q302" i="10"/>
  <c r="S302" i="10" s="1"/>
  <c r="Q773" i="10"/>
  <c r="S773" i="10" s="1"/>
  <c r="Q566" i="10"/>
  <c r="S566" i="10" s="1"/>
  <c r="Q438" i="10"/>
  <c r="S438" i="10" s="1"/>
  <c r="Q357" i="10"/>
  <c r="S357" i="10" s="1"/>
  <c r="Q341" i="10"/>
  <c r="S341" i="10" s="1"/>
  <c r="Q329" i="10"/>
  <c r="S329" i="10" s="1"/>
  <c r="Q309" i="10"/>
  <c r="S309" i="10" s="1"/>
  <c r="Q297" i="10"/>
  <c r="S297" i="10" s="1"/>
  <c r="Q817" i="10"/>
  <c r="S817" i="10" s="1"/>
  <c r="Q813" i="10"/>
  <c r="S813" i="10" s="1"/>
  <c r="Q765" i="10"/>
  <c r="S765" i="10" s="1"/>
  <c r="Q753" i="10"/>
  <c r="S753" i="10" s="1"/>
  <c r="Q733" i="10"/>
  <c r="S733" i="10" s="1"/>
  <c r="Q721" i="10"/>
  <c r="S721" i="10" s="1"/>
  <c r="Q701" i="10"/>
  <c r="S701" i="10" s="1"/>
  <c r="Q689" i="10"/>
  <c r="S689" i="10" s="1"/>
  <c r="Q669" i="10"/>
  <c r="S669" i="10" s="1"/>
  <c r="Q657" i="10"/>
  <c r="S657" i="10" s="1"/>
  <c r="Q637" i="10"/>
  <c r="S637" i="10" s="1"/>
  <c r="Q625" i="10"/>
  <c r="S625" i="10" s="1"/>
  <c r="Q605" i="10"/>
  <c r="S605" i="10" s="1"/>
  <c r="Q593" i="10"/>
  <c r="S593" i="10" s="1"/>
  <c r="Q573" i="10"/>
  <c r="S573" i="10" s="1"/>
  <c r="Q561" i="10"/>
  <c r="S561" i="10" s="1"/>
  <c r="Q541" i="10"/>
  <c r="S541" i="10" s="1"/>
  <c r="Q529" i="10"/>
  <c r="S529" i="10" s="1"/>
  <c r="Q509" i="10"/>
  <c r="S509" i="10" s="1"/>
  <c r="Q497" i="10"/>
  <c r="S497" i="10" s="1"/>
  <c r="Q477" i="10"/>
  <c r="S477" i="10" s="1"/>
  <c r="Q465" i="10"/>
  <c r="S465" i="10" s="1"/>
  <c r="Q445" i="10"/>
  <c r="S445" i="10" s="1"/>
  <c r="Q433" i="10"/>
  <c r="S433" i="10" s="1"/>
  <c r="Q413" i="10"/>
  <c r="S413" i="10" s="1"/>
  <c r="Q401" i="10"/>
  <c r="S401" i="10" s="1"/>
  <c r="Q264" i="10"/>
  <c r="S264" i="10" s="1"/>
  <c r="Q252" i="10"/>
  <c r="S252" i="10" s="1"/>
  <c r="Q232" i="10"/>
  <c r="S232" i="10" s="1"/>
  <c r="Q220" i="10"/>
  <c r="S220" i="10" s="1"/>
  <c r="Q200" i="10"/>
  <c r="S200" i="10" s="1"/>
  <c r="Q188" i="10"/>
  <c r="S188" i="10" s="1"/>
  <c r="Q168" i="10"/>
  <c r="S168" i="10" s="1"/>
  <c r="Q156" i="10"/>
  <c r="S156" i="10" s="1"/>
  <c r="Q136" i="10"/>
  <c r="S136" i="10" s="1"/>
  <c r="Q124" i="10"/>
  <c r="S124" i="10" s="1"/>
  <c r="Q104" i="10"/>
  <c r="S104" i="10" s="1"/>
  <c r="Q92" i="10"/>
  <c r="S92" i="10" s="1"/>
  <c r="Q72" i="10"/>
  <c r="S72" i="10" s="1"/>
  <c r="Q60" i="10"/>
  <c r="S60" i="10" s="1"/>
  <c r="Q40" i="10"/>
  <c r="S40" i="10" s="1"/>
  <c r="Q28" i="10"/>
  <c r="S28" i="10" s="1"/>
  <c r="Q799" i="10"/>
  <c r="S799" i="10" s="1"/>
  <c r="Q370" i="10"/>
  <c r="S370" i="10" s="1"/>
  <c r="Q290" i="10"/>
  <c r="S290" i="10" s="1"/>
  <c r="Q762" i="10"/>
  <c r="S762" i="10" s="1"/>
  <c r="Q682" i="10"/>
  <c r="S682" i="10" s="1"/>
  <c r="Q634" i="10"/>
  <c r="S634" i="10" s="1"/>
  <c r="Q554" i="10"/>
  <c r="S554" i="10" s="1"/>
  <c r="Q506" i="10"/>
  <c r="S506" i="10" s="1"/>
  <c r="Q426" i="10"/>
  <c r="S426" i="10" s="1"/>
  <c r="Q261" i="10"/>
  <c r="S261" i="10" s="1"/>
  <c r="Q181" i="10"/>
  <c r="S181" i="10" s="1"/>
  <c r="Q133" i="10"/>
  <c r="S133" i="10" s="1"/>
  <c r="Q53" i="10"/>
  <c r="S53" i="10" s="1"/>
  <c r="Q694" i="10"/>
  <c r="S694" i="10" s="1"/>
  <c r="Q193" i="10"/>
  <c r="S193" i="10" s="1"/>
  <c r="Q358" i="10"/>
  <c r="S358" i="10" s="1"/>
  <c r="Q750" i="10"/>
  <c r="S750" i="10" s="1"/>
  <c r="Q622" i="10"/>
  <c r="S622" i="10" s="1"/>
  <c r="Q494" i="10"/>
  <c r="S494" i="10" s="1"/>
  <c r="Q249" i="10"/>
  <c r="S249" i="10" s="1"/>
  <c r="Q121" i="10"/>
  <c r="S121" i="10" s="1"/>
  <c r="Q791" i="10"/>
  <c r="S791" i="10" s="1"/>
  <c r="Q225" i="10"/>
  <c r="S225" i="10" s="1"/>
  <c r="Q378" i="10"/>
  <c r="S378" i="10" s="1"/>
  <c r="Q298" i="10"/>
  <c r="S298" i="10" s="1"/>
  <c r="Q770" i="10"/>
  <c r="S770" i="10" s="1"/>
  <c r="Q690" i="10"/>
  <c r="S690" i="10" s="1"/>
  <c r="Q642" i="10"/>
  <c r="S642" i="10" s="1"/>
  <c r="Q562" i="10"/>
  <c r="S562" i="10" s="1"/>
  <c r="Q514" i="10"/>
  <c r="S514" i="10" s="1"/>
  <c r="Q434" i="10"/>
  <c r="S434" i="10" s="1"/>
  <c r="Q269" i="10"/>
  <c r="S269" i="10" s="1"/>
  <c r="Q189" i="10"/>
  <c r="S189" i="10" s="1"/>
  <c r="Q141" i="10"/>
  <c r="S141" i="10" s="1"/>
  <c r="Q61" i="10"/>
  <c r="S61" i="10" s="1"/>
  <c r="Q827" i="10"/>
  <c r="S827" i="10" s="1"/>
  <c r="Q334" i="10"/>
  <c r="S334" i="10" s="1"/>
  <c r="Q286" i="10"/>
  <c r="S286" i="10" s="1"/>
  <c r="Q662" i="10"/>
  <c r="S662" i="10" s="1"/>
  <c r="Q534" i="10"/>
  <c r="S534" i="10" s="1"/>
  <c r="Q209" i="10"/>
  <c r="S209" i="10" s="1"/>
  <c r="Q145" i="10"/>
  <c r="S145" i="10" s="1"/>
  <c r="Q65" i="10"/>
  <c r="S65" i="10" s="1"/>
  <c r="Q6" i="10"/>
  <c r="Q870" i="10"/>
  <c r="S870" i="10" s="1"/>
  <c r="Q868" i="10"/>
  <c r="S868" i="10" s="1"/>
  <c r="Q349" i="10"/>
  <c r="S349" i="10" s="1"/>
  <c r="Q337" i="10"/>
  <c r="S337" i="10" s="1"/>
  <c r="Q317" i="10"/>
  <c r="S317" i="10" s="1"/>
  <c r="Q305" i="10"/>
  <c r="S305" i="10" s="1"/>
  <c r="Q285" i="10"/>
  <c r="S285" i="10" s="1"/>
  <c r="Q801" i="10"/>
  <c r="S801" i="10" s="1"/>
  <c r="Q831" i="10"/>
  <c r="S831" i="10" s="1"/>
  <c r="Q761" i="10"/>
  <c r="S761" i="10" s="1"/>
  <c r="Q741" i="10"/>
  <c r="S741" i="10" s="1"/>
  <c r="Q729" i="10"/>
  <c r="S729" i="10" s="1"/>
  <c r="Q709" i="10"/>
  <c r="S709" i="10" s="1"/>
  <c r="Q697" i="10"/>
  <c r="S697" i="10" s="1"/>
  <c r="Q677" i="10"/>
  <c r="S677" i="10" s="1"/>
  <c r="Q665" i="10"/>
  <c r="S665" i="10" s="1"/>
  <c r="Q645" i="10"/>
  <c r="S645" i="10" s="1"/>
  <c r="Q633" i="10"/>
  <c r="S633" i="10" s="1"/>
  <c r="Q613" i="10"/>
  <c r="S613" i="10" s="1"/>
  <c r="Q601" i="10"/>
  <c r="S601" i="10" s="1"/>
  <c r="Q581" i="10"/>
  <c r="S581" i="10" s="1"/>
  <c r="Q569" i="10"/>
  <c r="S569" i="10" s="1"/>
  <c r="Q549" i="10"/>
  <c r="S549" i="10" s="1"/>
  <c r="Q537" i="10"/>
  <c r="S537" i="10" s="1"/>
  <c r="Q517" i="10"/>
  <c r="S517" i="10" s="1"/>
  <c r="Q505" i="10"/>
  <c r="S505" i="10" s="1"/>
  <c r="Q485" i="10"/>
  <c r="S485" i="10" s="1"/>
  <c r="Q473" i="10"/>
  <c r="S473" i="10" s="1"/>
  <c r="Q453" i="10"/>
  <c r="S453" i="10" s="1"/>
  <c r="Q441" i="10"/>
  <c r="S441" i="10" s="1"/>
  <c r="Q421" i="10"/>
  <c r="S421" i="10" s="1"/>
  <c r="Q409" i="10"/>
  <c r="S409" i="10" s="1"/>
  <c r="Q272" i="10"/>
  <c r="S272" i="10" s="1"/>
  <c r="Q260" i="10"/>
  <c r="S260" i="10" s="1"/>
  <c r="Q240" i="10"/>
  <c r="S240" i="10" s="1"/>
  <c r="Q228" i="10"/>
  <c r="S228" i="10" s="1"/>
  <c r="Q208" i="10"/>
  <c r="S208" i="10" s="1"/>
  <c r="Q196" i="10"/>
  <c r="S196" i="10" s="1"/>
  <c r="Q176" i="10"/>
  <c r="S176" i="10" s="1"/>
  <c r="Q164" i="10"/>
  <c r="S164" i="10" s="1"/>
  <c r="Q144" i="10"/>
  <c r="S144" i="10" s="1"/>
  <c r="Q132" i="10"/>
  <c r="S132" i="10" s="1"/>
  <c r="Q112" i="10"/>
  <c r="S112" i="10" s="1"/>
  <c r="Q100" i="10"/>
  <c r="S100" i="10" s="1"/>
  <c r="Q80" i="10"/>
  <c r="S80" i="10" s="1"/>
  <c r="Q68" i="10"/>
  <c r="S68" i="10" s="1"/>
  <c r="Q48" i="10"/>
  <c r="S48" i="10" s="1"/>
  <c r="Q36" i="10"/>
  <c r="S36" i="10" s="1"/>
  <c r="Q830" i="10"/>
  <c r="S830" i="10" s="1"/>
  <c r="Q19" i="10"/>
  <c r="S19" i="10" s="1"/>
  <c r="Q322" i="10"/>
  <c r="S322" i="10" s="1"/>
  <c r="Q805" i="10"/>
  <c r="S805" i="10" s="1"/>
  <c r="Q714" i="10"/>
  <c r="S714" i="10" s="1"/>
  <c r="Q666" i="10"/>
  <c r="S666" i="10" s="1"/>
  <c r="Q586" i="10"/>
  <c r="S586" i="10" s="1"/>
  <c r="Q538" i="10"/>
  <c r="S538" i="10" s="1"/>
  <c r="Q458" i="10"/>
  <c r="S458" i="10" s="1"/>
  <c r="Q410" i="10"/>
  <c r="S410" i="10" s="1"/>
  <c r="Q213" i="10"/>
  <c r="S213" i="10" s="1"/>
  <c r="Q165" i="10"/>
  <c r="S165" i="10" s="1"/>
  <c r="Q85" i="10"/>
  <c r="S85" i="10" s="1"/>
  <c r="Q37" i="10"/>
  <c r="S37" i="10" s="1"/>
  <c r="Q15" i="10"/>
  <c r="S15" i="10" s="1"/>
  <c r="Q422" i="10"/>
  <c r="S422" i="10" s="1"/>
  <c r="Q390" i="10"/>
  <c r="S390" i="10" s="1"/>
  <c r="Q800" i="10"/>
  <c r="S800" i="10" s="1"/>
  <c r="Q654" i="10"/>
  <c r="S654" i="10" s="1"/>
  <c r="Q526" i="10"/>
  <c r="S526" i="10" s="1"/>
  <c r="Q398" i="10"/>
  <c r="S398" i="10" s="1"/>
  <c r="Q153" i="10"/>
  <c r="S153" i="10" s="1"/>
  <c r="Q25" i="10"/>
  <c r="S25" i="10" s="1"/>
  <c r="Q454" i="10"/>
  <c r="S454" i="10" s="1"/>
  <c r="Q394" i="10"/>
  <c r="S394" i="10" s="1"/>
  <c r="Q330" i="10"/>
  <c r="S330" i="10" s="1"/>
  <c r="Q282" i="10"/>
  <c r="S282" i="10" s="1"/>
  <c r="Q722" i="10"/>
  <c r="S722" i="10" s="1"/>
  <c r="Q674" i="10"/>
  <c r="S674" i="10" s="1"/>
  <c r="Q594" i="10"/>
  <c r="S594" i="10" s="1"/>
  <c r="Q546" i="10"/>
  <c r="S546" i="10" s="1"/>
  <c r="Q466" i="10"/>
  <c r="S466" i="10" s="1"/>
  <c r="Q418" i="10"/>
  <c r="S418" i="10" s="1"/>
  <c r="Q221" i="10"/>
  <c r="S221" i="10" s="1"/>
  <c r="Q173" i="10"/>
  <c r="S173" i="10" s="1"/>
  <c r="Q93" i="10"/>
  <c r="S93" i="10" s="1"/>
  <c r="Q45" i="10"/>
  <c r="S45" i="10" s="1"/>
  <c r="Q366" i="10"/>
  <c r="S366" i="10" s="1"/>
  <c r="Q318" i="10"/>
  <c r="S318" i="10" s="1"/>
  <c r="Q742" i="10"/>
  <c r="S742" i="10" s="1"/>
  <c r="Q614" i="10"/>
  <c r="S614" i="10" s="1"/>
  <c r="Q406" i="10"/>
  <c r="S406" i="10" s="1"/>
  <c r="Q345" i="10"/>
  <c r="S345" i="10" s="1"/>
  <c r="Q325" i="10"/>
  <c r="S325" i="10" s="1"/>
  <c r="Q313" i="10"/>
  <c r="S313" i="10" s="1"/>
  <c r="Q293" i="10"/>
  <c r="S293" i="10" s="1"/>
  <c r="Q281" i="10"/>
  <c r="S281" i="10" s="1"/>
  <c r="Q797" i="10"/>
  <c r="S797" i="10" s="1"/>
  <c r="Q769" i="10"/>
  <c r="S769" i="10" s="1"/>
  <c r="Q749" i="10"/>
  <c r="S749" i="10" s="1"/>
  <c r="Q737" i="10"/>
  <c r="S737" i="10" s="1"/>
  <c r="Q717" i="10"/>
  <c r="S717" i="10" s="1"/>
  <c r="Q705" i="10"/>
  <c r="S705" i="10" s="1"/>
  <c r="Q685" i="10"/>
  <c r="S685" i="10" s="1"/>
  <c r="Q673" i="10"/>
  <c r="S673" i="10" s="1"/>
  <c r="Q653" i="10"/>
  <c r="S653" i="10" s="1"/>
  <c r="Q641" i="10"/>
  <c r="S641" i="10" s="1"/>
  <c r="Q621" i="10"/>
  <c r="S621" i="10" s="1"/>
  <c r="Q609" i="10"/>
  <c r="S609" i="10" s="1"/>
  <c r="Q589" i="10"/>
  <c r="S589" i="10" s="1"/>
  <c r="Q577" i="10"/>
  <c r="S577" i="10" s="1"/>
  <c r="Q557" i="10"/>
  <c r="S557" i="10" s="1"/>
  <c r="Q545" i="10"/>
  <c r="S545" i="10" s="1"/>
  <c r="Q525" i="10"/>
  <c r="S525" i="10" s="1"/>
  <c r="Q513" i="10"/>
  <c r="S513" i="10" s="1"/>
  <c r="Q493" i="10"/>
  <c r="S493" i="10" s="1"/>
  <c r="Q481" i="10"/>
  <c r="S481" i="10" s="1"/>
  <c r="Q461" i="10"/>
  <c r="S461" i="10" s="1"/>
  <c r="Q449" i="10"/>
  <c r="S449" i="10" s="1"/>
  <c r="Q429" i="10"/>
  <c r="S429" i="10" s="1"/>
  <c r="Q417" i="10"/>
  <c r="S417" i="10" s="1"/>
  <c r="Q397" i="10"/>
  <c r="S397" i="10" s="1"/>
  <c r="Q268" i="10"/>
  <c r="S268" i="10" s="1"/>
  <c r="Q248" i="10"/>
  <c r="S248" i="10" s="1"/>
  <c r="Q236" i="10"/>
  <c r="S236" i="10" s="1"/>
  <c r="Q216" i="10"/>
  <c r="S216" i="10" s="1"/>
  <c r="Q204" i="10"/>
  <c r="S204" i="10" s="1"/>
  <c r="Q184" i="10"/>
  <c r="S184" i="10" s="1"/>
  <c r="Q172" i="10"/>
  <c r="S172" i="10" s="1"/>
  <c r="Q152" i="10"/>
  <c r="S152" i="10" s="1"/>
  <c r="Q140" i="10"/>
  <c r="S140" i="10" s="1"/>
  <c r="Q120" i="10"/>
  <c r="S120" i="10" s="1"/>
  <c r="Q108" i="10"/>
  <c r="S108" i="10" s="1"/>
  <c r="Q88" i="10"/>
  <c r="S88" i="10" s="1"/>
  <c r="Q76" i="10"/>
  <c r="S76" i="10" s="1"/>
  <c r="Q56" i="10"/>
  <c r="S56" i="10" s="1"/>
  <c r="Q44" i="10"/>
  <c r="S44" i="10" s="1"/>
  <c r="Q24" i="10"/>
  <c r="S24" i="10" s="1"/>
  <c r="Q826" i="10"/>
  <c r="S826" i="10" s="1"/>
  <c r="Q354" i="10"/>
  <c r="S354" i="10" s="1"/>
  <c r="Q306" i="10"/>
  <c r="S306" i="10" s="1"/>
  <c r="Q746" i="10"/>
  <c r="S746" i="10" s="1"/>
  <c r="Q698" i="10"/>
  <c r="S698" i="10" s="1"/>
  <c r="Q618" i="10"/>
  <c r="S618" i="10" s="1"/>
  <c r="Q570" i="10"/>
  <c r="S570" i="10" s="1"/>
  <c r="Q490" i="10"/>
  <c r="S490" i="10" s="1"/>
  <c r="Q442" i="10"/>
  <c r="S442" i="10" s="1"/>
  <c r="Q245" i="10"/>
  <c r="S245" i="10" s="1"/>
  <c r="Q197" i="10"/>
  <c r="S197" i="10" s="1"/>
  <c r="Q117" i="10"/>
  <c r="S117" i="10" s="1"/>
  <c r="Q69" i="10"/>
  <c r="S69" i="10" s="1"/>
  <c r="Q502" i="10"/>
  <c r="S502" i="10" s="1"/>
  <c r="Q807" i="10"/>
  <c r="S807" i="10" s="1"/>
  <c r="Q294" i="10"/>
  <c r="S294" i="10" s="1"/>
  <c r="Q686" i="10"/>
  <c r="S686" i="10" s="1"/>
  <c r="Q558" i="10"/>
  <c r="S558" i="10" s="1"/>
  <c r="Q430" i="10"/>
  <c r="S430" i="10" s="1"/>
  <c r="Q185" i="10"/>
  <c r="S185" i="10" s="1"/>
  <c r="Q57" i="10"/>
  <c r="S57" i="10" s="1"/>
  <c r="Q598" i="10"/>
  <c r="S598" i="10" s="1"/>
  <c r="Q815" i="10"/>
  <c r="S815" i="10" s="1"/>
  <c r="Q362" i="10"/>
  <c r="S362" i="10" s="1"/>
  <c r="Q314" i="10"/>
  <c r="S314" i="10" s="1"/>
  <c r="Q754" i="10"/>
  <c r="S754" i="10" s="1"/>
  <c r="Q706" i="10"/>
  <c r="S706" i="10" s="1"/>
  <c r="Q626" i="10"/>
  <c r="S626" i="10" s="1"/>
  <c r="Q578" i="10"/>
  <c r="S578" i="10" s="1"/>
  <c r="Q498" i="10"/>
  <c r="S498" i="10" s="1"/>
  <c r="Q450" i="10"/>
  <c r="S450" i="10" s="1"/>
  <c r="Q253" i="10"/>
  <c r="S253" i="10" s="1"/>
  <c r="Q205" i="10"/>
  <c r="S205" i="10" s="1"/>
  <c r="Q125" i="10"/>
  <c r="S125" i="10" s="1"/>
  <c r="Q77" i="10"/>
  <c r="S77" i="10" s="1"/>
  <c r="Q278" i="10"/>
  <c r="S278" i="10" s="1"/>
  <c r="Q350" i="10"/>
  <c r="S350" i="10" s="1"/>
  <c r="Q790" i="10"/>
  <c r="S790" i="10" s="1"/>
  <c r="Q710" i="10"/>
  <c r="S710" i="10" s="1"/>
  <c r="Q486" i="10"/>
  <c r="S486" i="10" s="1"/>
  <c r="Q257" i="10"/>
  <c r="S257" i="10" s="1"/>
  <c r="Q177" i="10"/>
  <c r="S177" i="10" s="1"/>
  <c r="Q97" i="10"/>
  <c r="S97" i="10" s="1"/>
  <c r="Q7" i="10"/>
  <c r="S7" i="10" s="1"/>
  <c r="Q867" i="10"/>
  <c r="S867" i="10" s="1"/>
  <c r="Q871" i="10"/>
  <c r="S871" i="10" s="1"/>
  <c r="Q869" i="10"/>
  <c r="S869" i="10" s="1"/>
  <c r="P119" i="1"/>
  <c r="I178" i="6"/>
  <c r="P111" i="1"/>
  <c r="I170" i="6"/>
  <c r="P103" i="1"/>
  <c r="I162" i="6"/>
  <c r="P95" i="1"/>
  <c r="I154" i="6"/>
  <c r="P87" i="1"/>
  <c r="I146" i="6"/>
  <c r="P79" i="1"/>
  <c r="I138" i="6"/>
  <c r="P77" i="1"/>
  <c r="I136" i="6"/>
  <c r="P43" i="1"/>
  <c r="I50" i="6"/>
  <c r="P63" i="1"/>
  <c r="I70" i="6"/>
  <c r="I60" i="6"/>
  <c r="P53" i="1"/>
  <c r="P38" i="1"/>
  <c r="I45" i="6"/>
  <c r="P23" i="1"/>
  <c r="I30" i="6"/>
  <c r="P62" i="1"/>
  <c r="I121" i="6"/>
  <c r="I56" i="6"/>
  <c r="P49" i="1"/>
  <c r="I76" i="6"/>
  <c r="P69" i="1"/>
  <c r="P59" i="1"/>
  <c r="I66" i="6"/>
  <c r="P48" i="1"/>
  <c r="I55" i="6"/>
  <c r="I39" i="6"/>
  <c r="P32" i="1"/>
  <c r="I71" i="6"/>
  <c r="P64" i="1"/>
  <c r="P56" i="1"/>
  <c r="I63" i="6"/>
  <c r="P33" i="1"/>
  <c r="I40" i="6"/>
  <c r="AF177" i="1"/>
  <c r="AH177" i="1" s="1"/>
  <c r="R177" i="1"/>
  <c r="R195" i="1"/>
  <c r="AF195" i="1"/>
  <c r="AH195" i="1" s="1"/>
  <c r="AF201" i="1"/>
  <c r="AH201" i="1" s="1"/>
  <c r="R183" i="1"/>
  <c r="AF183" i="1"/>
  <c r="AH183" i="1" s="1"/>
  <c r="AF209" i="1"/>
  <c r="AH209" i="1" s="1"/>
  <c r="R209" i="1"/>
  <c r="P116" i="1"/>
  <c r="I175" i="6"/>
  <c r="P108" i="1"/>
  <c r="I167" i="6"/>
  <c r="P100" i="1"/>
  <c r="I159" i="6"/>
  <c r="P92" i="1"/>
  <c r="I151" i="6"/>
  <c r="P84" i="1"/>
  <c r="I143" i="6"/>
  <c r="P75" i="1"/>
  <c r="I134" i="6"/>
  <c r="P117" i="1"/>
  <c r="I176" i="6"/>
  <c r="P109" i="1"/>
  <c r="I168" i="6"/>
  <c r="P101" i="1"/>
  <c r="I160" i="6"/>
  <c r="P93" i="1"/>
  <c r="I152" i="6"/>
  <c r="P85" i="1"/>
  <c r="I144" i="6"/>
  <c r="I177" i="6"/>
  <c r="P118" i="1"/>
  <c r="I169" i="6"/>
  <c r="P110" i="1"/>
  <c r="I161" i="6"/>
  <c r="P102" i="1"/>
  <c r="I153" i="6"/>
  <c r="P94" i="1"/>
  <c r="I145" i="6"/>
  <c r="P86" i="1"/>
  <c r="P76" i="1"/>
  <c r="I135" i="6"/>
  <c r="P74" i="1"/>
  <c r="I133" i="6"/>
  <c r="P39" i="1"/>
  <c r="I46" i="6"/>
  <c r="I57" i="6"/>
  <c r="P50" i="1"/>
  <c r="I52" i="6"/>
  <c r="P45" i="1"/>
  <c r="P67" i="1"/>
  <c r="I74" i="6"/>
  <c r="I51" i="6"/>
  <c r="P44" i="1"/>
  <c r="I37" i="6"/>
  <c r="P30" i="1"/>
  <c r="P31" i="1"/>
  <c r="I38" i="6"/>
  <c r="P24" i="1"/>
  <c r="I31" i="6"/>
  <c r="AF200" i="1"/>
  <c r="AH200" i="1" s="1"/>
  <c r="R208" i="1"/>
  <c r="AF208" i="1"/>
  <c r="AH208" i="1" s="1"/>
  <c r="AF204" i="1"/>
  <c r="AH204" i="1" s="1"/>
  <c r="R204" i="1"/>
  <c r="R180" i="1"/>
  <c r="AF180" i="1"/>
  <c r="AH180" i="1" s="1"/>
  <c r="P72" i="1"/>
  <c r="I131" i="6"/>
  <c r="P115" i="1"/>
  <c r="I174" i="6"/>
  <c r="P107" i="1"/>
  <c r="I166" i="6"/>
  <c r="P99" i="1"/>
  <c r="I158" i="6"/>
  <c r="P91" i="1"/>
  <c r="I150" i="6"/>
  <c r="P83" i="1"/>
  <c r="I142" i="6"/>
  <c r="I132" i="6"/>
  <c r="P73" i="1"/>
  <c r="I68" i="6"/>
  <c r="P61" i="1"/>
  <c r="I58" i="6"/>
  <c r="P51" i="1"/>
  <c r="I75" i="6"/>
  <c r="P68" i="1"/>
  <c r="I53" i="6"/>
  <c r="P46" i="1"/>
  <c r="P57" i="1"/>
  <c r="I64" i="6"/>
  <c r="I48" i="6"/>
  <c r="P41" i="1"/>
  <c r="P22" i="1"/>
  <c r="I29" i="6"/>
  <c r="P54" i="1"/>
  <c r="I61" i="6"/>
  <c r="I47" i="6"/>
  <c r="P40" i="1"/>
  <c r="P25" i="1"/>
  <c r="I32" i="6"/>
  <c r="P28" i="1"/>
  <c r="I35" i="6"/>
  <c r="P60" i="1"/>
  <c r="I67" i="6"/>
  <c r="P29" i="1"/>
  <c r="I36" i="6"/>
  <c r="R205" i="1"/>
  <c r="AD8" i="1"/>
  <c r="I15" i="6"/>
  <c r="AD9" i="1"/>
  <c r="I16" i="6"/>
  <c r="Q9" i="1"/>
  <c r="R8" i="1"/>
  <c r="AF8" i="1"/>
  <c r="AH8" i="1" s="1"/>
  <c r="P124" i="1" l="1"/>
  <c r="Q124" i="1" s="1"/>
  <c r="R124" i="1" s="1"/>
  <c r="P139" i="1"/>
  <c r="AD139" i="1" s="1"/>
  <c r="P162" i="1"/>
  <c r="Q162" i="1" s="1"/>
  <c r="R162" i="1" s="1"/>
  <c r="P127" i="1"/>
  <c r="P132" i="1"/>
  <c r="AD132" i="1" s="1"/>
  <c r="P130" i="1"/>
  <c r="Q130" i="1" s="1"/>
  <c r="AF130" i="1" s="1"/>
  <c r="AH130" i="1" s="1"/>
  <c r="P129" i="1"/>
  <c r="AD129" i="1" s="1"/>
  <c r="I249" i="6"/>
  <c r="P140" i="1"/>
  <c r="Q140" i="1" s="1"/>
  <c r="R140" i="1" s="1"/>
  <c r="P165" i="1"/>
  <c r="Q165" i="1" s="1"/>
  <c r="AF165" i="1" s="1"/>
  <c r="AH165" i="1" s="1"/>
  <c r="P148" i="1"/>
  <c r="AD148" i="1" s="1"/>
  <c r="P134" i="1"/>
  <c r="Q134" i="1" s="1"/>
  <c r="AF134" i="1" s="1"/>
  <c r="AH134" i="1" s="1"/>
  <c r="P151" i="1"/>
  <c r="Q151" i="1" s="1"/>
  <c r="R151" i="1" s="1"/>
  <c r="P164" i="1"/>
  <c r="AD164" i="1" s="1"/>
  <c r="P135" i="1"/>
  <c r="Q135" i="1" s="1"/>
  <c r="AF135" i="1" s="1"/>
  <c r="AH135" i="1" s="1"/>
  <c r="I239" i="6"/>
  <c r="P137" i="1"/>
  <c r="Q137" i="1" s="1"/>
  <c r="AF137" i="1" s="1"/>
  <c r="AH137" i="1" s="1"/>
  <c r="P158" i="1"/>
  <c r="AD158" i="1" s="1"/>
  <c r="P149" i="1"/>
  <c r="AD149" i="1" s="1"/>
  <c r="P147" i="1"/>
  <c r="AD147" i="1" s="1"/>
  <c r="P166" i="1"/>
  <c r="Q166" i="1" s="1"/>
  <c r="P136" i="1"/>
  <c r="Q136" i="1" s="1"/>
  <c r="R136" i="1" s="1"/>
  <c r="P169" i="1"/>
  <c r="AD169" i="1" s="1"/>
  <c r="P167" i="1"/>
  <c r="AD167" i="1" s="1"/>
  <c r="P141" i="1"/>
  <c r="AD141" i="1" s="1"/>
  <c r="P150" i="1"/>
  <c r="Q150" i="1" s="1"/>
  <c r="R150" i="1" s="1"/>
  <c r="P173" i="1"/>
  <c r="AD173" i="1" s="1"/>
  <c r="P156" i="1"/>
  <c r="Q156" i="1" s="1"/>
  <c r="AF156" i="1" s="1"/>
  <c r="AH156" i="1" s="1"/>
  <c r="P168" i="1"/>
  <c r="Q168" i="1" s="1"/>
  <c r="R168" i="1" s="1"/>
  <c r="P171" i="1"/>
  <c r="AD171" i="1" s="1"/>
  <c r="P154" i="1"/>
  <c r="Q154" i="1" s="1"/>
  <c r="R154" i="1" s="1"/>
  <c r="P125" i="1"/>
  <c r="AD125" i="1" s="1"/>
  <c r="P152" i="1"/>
  <c r="AD152" i="1" s="1"/>
  <c r="P155" i="1"/>
  <c r="Q155" i="1" s="1"/>
  <c r="AF155" i="1" s="1"/>
  <c r="AH155" i="1" s="1"/>
  <c r="P126" i="1"/>
  <c r="Q126" i="1" s="1"/>
  <c r="R126" i="1" s="1"/>
  <c r="P159" i="1"/>
  <c r="AD159" i="1" s="1"/>
  <c r="P157" i="1"/>
  <c r="Q157" i="1" s="1"/>
  <c r="P163" i="1"/>
  <c r="Q163" i="1" s="1"/>
  <c r="R163" i="1" s="1"/>
  <c r="P138" i="1"/>
  <c r="AD138" i="1" s="1"/>
  <c r="P144" i="1"/>
  <c r="AD144" i="1" s="1"/>
  <c r="P142" i="1"/>
  <c r="Q142" i="1" s="1"/>
  <c r="AF142" i="1" s="1"/>
  <c r="AH142" i="1" s="1"/>
  <c r="AF206" i="1"/>
  <c r="AH206" i="1" s="1"/>
  <c r="R194" i="1"/>
  <c r="AF185" i="1"/>
  <c r="AH185" i="1" s="1"/>
  <c r="AF178" i="1"/>
  <c r="AH178" i="1" s="1"/>
  <c r="Q139" i="1"/>
  <c r="AF139" i="1" s="1"/>
  <c r="AH139" i="1" s="1"/>
  <c r="P143" i="1"/>
  <c r="Q143" i="1" s="1"/>
  <c r="AF143" i="1" s="1"/>
  <c r="AH143" i="1" s="1"/>
  <c r="R193" i="1"/>
  <c r="P128" i="1"/>
  <c r="Q128" i="1" s="1"/>
  <c r="AF128" i="1" s="1"/>
  <c r="AH128" i="1" s="1"/>
  <c r="Q161" i="1"/>
  <c r="R161" i="1" s="1"/>
  <c r="P133" i="1"/>
  <c r="AD133" i="1" s="1"/>
  <c r="AF202" i="1"/>
  <c r="AH202" i="1" s="1"/>
  <c r="P146" i="1"/>
  <c r="P145" i="1"/>
  <c r="P153" i="1"/>
  <c r="AD153" i="1" s="1"/>
  <c r="I280" i="6"/>
  <c r="P170" i="1"/>
  <c r="AF203" i="1"/>
  <c r="AH203" i="1" s="1"/>
  <c r="AF184" i="1"/>
  <c r="AH184" i="1" s="1"/>
  <c r="R182" i="1"/>
  <c r="P160" i="1"/>
  <c r="P131" i="1"/>
  <c r="AD168" i="1"/>
  <c r="AD172" i="1"/>
  <c r="R192" i="1"/>
  <c r="AD25" i="1"/>
  <c r="Q25" i="1"/>
  <c r="AD40" i="1"/>
  <c r="Q40" i="1"/>
  <c r="Q68" i="1"/>
  <c r="AD68" i="1"/>
  <c r="Q61" i="1"/>
  <c r="AD61" i="1"/>
  <c r="Q30" i="1"/>
  <c r="AD30" i="1"/>
  <c r="AD50" i="1"/>
  <c r="Q50" i="1"/>
  <c r="AD86" i="1"/>
  <c r="Q86" i="1"/>
  <c r="AD102" i="1"/>
  <c r="Q102" i="1"/>
  <c r="Q118" i="1"/>
  <c r="AD118" i="1"/>
  <c r="Q32" i="1"/>
  <c r="AD32" i="1"/>
  <c r="Q49" i="1"/>
  <c r="AD49" i="1"/>
  <c r="AD53" i="1"/>
  <c r="Q53" i="1"/>
  <c r="AD66" i="1"/>
  <c r="Q66" i="1"/>
  <c r="Q34" i="1"/>
  <c r="AD34" i="1"/>
  <c r="Q36" i="1"/>
  <c r="AD36" i="1"/>
  <c r="AD37" i="1"/>
  <c r="Q37" i="1"/>
  <c r="Q78" i="1"/>
  <c r="AD78" i="1"/>
  <c r="Q90" i="1"/>
  <c r="AD90" i="1"/>
  <c r="Q106" i="1"/>
  <c r="AD106" i="1"/>
  <c r="AD29" i="1"/>
  <c r="Q29" i="1"/>
  <c r="Q22" i="1"/>
  <c r="AD22" i="1"/>
  <c r="AD57" i="1"/>
  <c r="Q57" i="1"/>
  <c r="Q83" i="1"/>
  <c r="AD83" i="1"/>
  <c r="AD99" i="1"/>
  <c r="Q99" i="1"/>
  <c r="Q115" i="1"/>
  <c r="AD115" i="1"/>
  <c r="Q24" i="1"/>
  <c r="AD24" i="1"/>
  <c r="AD67" i="1"/>
  <c r="Q67" i="1"/>
  <c r="Q74" i="1"/>
  <c r="AD74" i="1"/>
  <c r="Q93" i="1"/>
  <c r="AD93" i="1"/>
  <c r="Q109" i="1"/>
  <c r="AD109" i="1"/>
  <c r="AD75" i="1"/>
  <c r="Q75" i="1"/>
  <c r="Q92" i="1"/>
  <c r="AD92" i="1"/>
  <c r="Q108" i="1"/>
  <c r="AD108" i="1"/>
  <c r="Q56" i="1"/>
  <c r="AD56" i="1"/>
  <c r="Q59" i="1"/>
  <c r="AD59" i="1"/>
  <c r="AD23" i="1"/>
  <c r="Q23" i="1"/>
  <c r="Q43" i="1"/>
  <c r="AD43" i="1"/>
  <c r="Q79" i="1"/>
  <c r="AD79" i="1"/>
  <c r="Q95" i="1"/>
  <c r="AD95" i="1"/>
  <c r="Q111" i="1"/>
  <c r="AD111" i="1"/>
  <c r="Q35" i="1"/>
  <c r="AD35" i="1"/>
  <c r="AD65" i="1"/>
  <c r="Q65" i="1"/>
  <c r="Q55" i="1"/>
  <c r="AD55" i="1"/>
  <c r="AD81" i="1"/>
  <c r="Q81" i="1"/>
  <c r="AD97" i="1"/>
  <c r="Q97" i="1"/>
  <c r="Q113" i="1"/>
  <c r="AD113" i="1"/>
  <c r="Q80" i="1"/>
  <c r="AD80" i="1"/>
  <c r="AD96" i="1"/>
  <c r="Q96" i="1"/>
  <c r="AD112" i="1"/>
  <c r="Q112" i="1"/>
  <c r="Q28" i="1"/>
  <c r="AD28" i="1"/>
  <c r="AD41" i="1"/>
  <c r="Q41" i="1"/>
  <c r="AD46" i="1"/>
  <c r="Q46" i="1"/>
  <c r="Q51" i="1"/>
  <c r="AD51" i="1"/>
  <c r="Q73" i="1"/>
  <c r="AD73" i="1"/>
  <c r="Q44" i="1"/>
  <c r="AD44" i="1"/>
  <c r="Q45" i="1"/>
  <c r="AD45" i="1"/>
  <c r="Q94" i="1"/>
  <c r="AD94" i="1"/>
  <c r="Q110" i="1"/>
  <c r="AD110" i="1"/>
  <c r="Q64" i="1"/>
  <c r="AD64" i="1"/>
  <c r="AD69" i="1"/>
  <c r="Q69" i="1"/>
  <c r="Q58" i="1"/>
  <c r="AD58" i="1"/>
  <c r="Q42" i="1"/>
  <c r="AD42" i="1"/>
  <c r="AD47" i="1"/>
  <c r="Q47" i="1"/>
  <c r="AD82" i="1"/>
  <c r="Q82" i="1"/>
  <c r="Q98" i="1"/>
  <c r="AD98" i="1"/>
  <c r="Q114" i="1"/>
  <c r="AD114" i="1"/>
  <c r="Q60" i="1"/>
  <c r="AD60" i="1"/>
  <c r="Q54" i="1"/>
  <c r="AD54" i="1"/>
  <c r="Q91" i="1"/>
  <c r="AD91" i="1"/>
  <c r="Q107" i="1"/>
  <c r="AD107" i="1"/>
  <c r="AD72" i="1"/>
  <c r="Q72" i="1"/>
  <c r="Q31" i="1"/>
  <c r="AD31" i="1"/>
  <c r="AD39" i="1"/>
  <c r="Q39" i="1"/>
  <c r="AD76" i="1"/>
  <c r="Q76" i="1"/>
  <c r="AD85" i="1"/>
  <c r="Q85" i="1"/>
  <c r="AD101" i="1"/>
  <c r="Q101" i="1"/>
  <c r="Q117" i="1"/>
  <c r="AD117" i="1"/>
  <c r="Q84" i="1"/>
  <c r="AD84" i="1"/>
  <c r="AD100" i="1"/>
  <c r="Q100" i="1"/>
  <c r="AD116" i="1"/>
  <c r="Q116" i="1"/>
  <c r="AD33" i="1"/>
  <c r="Q33" i="1"/>
  <c r="AD48" i="1"/>
  <c r="Q48" i="1"/>
  <c r="AD62" i="1"/>
  <c r="Q62" i="1"/>
  <c r="Q38" i="1"/>
  <c r="AD38" i="1"/>
  <c r="Q63" i="1"/>
  <c r="AD63" i="1"/>
  <c r="Q77" i="1"/>
  <c r="AD77" i="1"/>
  <c r="AD87" i="1"/>
  <c r="Q87" i="1"/>
  <c r="AD103" i="1"/>
  <c r="Q103" i="1"/>
  <c r="Q119" i="1"/>
  <c r="AD119" i="1"/>
  <c r="Q872" i="10"/>
  <c r="S6" i="10"/>
  <c r="S872" i="10" s="1"/>
  <c r="Q27" i="1"/>
  <c r="AD27" i="1"/>
  <c r="Q26" i="1"/>
  <c r="AD26" i="1"/>
  <c r="Q21" i="1"/>
  <c r="AD21" i="1"/>
  <c r="Q20" i="1"/>
  <c r="AD20" i="1"/>
  <c r="Q52" i="1"/>
  <c r="AD52" i="1"/>
  <c r="Q89" i="1"/>
  <c r="AD89" i="1"/>
  <c r="Q105" i="1"/>
  <c r="AD105" i="1"/>
  <c r="Q121" i="1"/>
  <c r="AD121" i="1"/>
  <c r="Q88" i="1"/>
  <c r="AD88" i="1"/>
  <c r="AD104" i="1"/>
  <c r="Q104" i="1"/>
  <c r="Q120" i="1"/>
  <c r="AD120" i="1"/>
  <c r="R157" i="1"/>
  <c r="AF157" i="1"/>
  <c r="AH157" i="1" s="1"/>
  <c r="R135" i="1"/>
  <c r="R165" i="1"/>
  <c r="AF172" i="1"/>
  <c r="AH172" i="1" s="1"/>
  <c r="R172" i="1"/>
  <c r="AF168" i="1"/>
  <c r="AH168" i="1" s="1"/>
  <c r="AF166" i="1"/>
  <c r="AH166" i="1" s="1"/>
  <c r="R166" i="1"/>
  <c r="AF151" i="1"/>
  <c r="AH151" i="1" s="1"/>
  <c r="AF9" i="1"/>
  <c r="AH9" i="1" s="1"/>
  <c r="AK17" i="1" s="1"/>
  <c r="R9" i="1"/>
  <c r="AF136" i="1" l="1"/>
  <c r="AH136" i="1" s="1"/>
  <c r="AF124" i="1"/>
  <c r="AH124" i="1" s="1"/>
  <c r="AD124" i="1"/>
  <c r="R130" i="1"/>
  <c r="Q132" i="1"/>
  <c r="R132" i="1" s="1"/>
  <c r="AF154" i="1"/>
  <c r="AH154" i="1" s="1"/>
  <c r="AD166" i="1"/>
  <c r="AD157" i="1"/>
  <c r="R137" i="1"/>
  <c r="AF140" i="1"/>
  <c r="AH140" i="1" s="1"/>
  <c r="AD130" i="1"/>
  <c r="Q173" i="1"/>
  <c r="AF173" i="1" s="1"/>
  <c r="AH173" i="1" s="1"/>
  <c r="AF126" i="1"/>
  <c r="AH126" i="1" s="1"/>
  <c r="AF163" i="1"/>
  <c r="AH163" i="1" s="1"/>
  <c r="AF162" i="1"/>
  <c r="AH162" i="1" s="1"/>
  <c r="AD162" i="1"/>
  <c r="AD127" i="1"/>
  <c r="Q127" i="1"/>
  <c r="Q148" i="1"/>
  <c r="AF148" i="1" s="1"/>
  <c r="AH148" i="1" s="1"/>
  <c r="AD140" i="1"/>
  <c r="Q149" i="1"/>
  <c r="R149" i="1" s="1"/>
  <c r="R155" i="1"/>
  <c r="AD165" i="1"/>
  <c r="Q129" i="1"/>
  <c r="R129" i="1" s="1"/>
  <c r="R156" i="1"/>
  <c r="AD156" i="1"/>
  <c r="Q147" i="1"/>
  <c r="R147" i="1" s="1"/>
  <c r="R134" i="1"/>
  <c r="AD137" i="1"/>
  <c r="AD134" i="1"/>
  <c r="Q158" i="1"/>
  <c r="AF158" i="1" s="1"/>
  <c r="AH158" i="1" s="1"/>
  <c r="AD154" i="1"/>
  <c r="AD135" i="1"/>
  <c r="Q141" i="1"/>
  <c r="AF141" i="1" s="1"/>
  <c r="AH141" i="1" s="1"/>
  <c r="Q167" i="1"/>
  <c r="R167" i="1" s="1"/>
  <c r="Q164" i="1"/>
  <c r="AF164" i="1" s="1"/>
  <c r="AH164" i="1" s="1"/>
  <c r="R142" i="1"/>
  <c r="AD151" i="1"/>
  <c r="Q169" i="1"/>
  <c r="AF169" i="1" s="1"/>
  <c r="AH169" i="1" s="1"/>
  <c r="AD136" i="1"/>
  <c r="AD150" i="1"/>
  <c r="Q125" i="1"/>
  <c r="R125" i="1" s="1"/>
  <c r="AF150" i="1"/>
  <c r="AH150" i="1" s="1"/>
  <c r="Q171" i="1"/>
  <c r="AF171" i="1" s="1"/>
  <c r="AH171" i="1" s="1"/>
  <c r="Q159" i="1"/>
  <c r="R159" i="1" s="1"/>
  <c r="Q144" i="1"/>
  <c r="R144" i="1" s="1"/>
  <c r="AD126" i="1"/>
  <c r="Q152" i="1"/>
  <c r="R152" i="1" s="1"/>
  <c r="AD155" i="1"/>
  <c r="Q138" i="1"/>
  <c r="R138" i="1" s="1"/>
  <c r="AD163" i="1"/>
  <c r="AD142" i="1"/>
  <c r="R128" i="1"/>
  <c r="R139" i="1"/>
  <c r="AD128" i="1"/>
  <c r="R143" i="1"/>
  <c r="AD143" i="1"/>
  <c r="AF161" i="1"/>
  <c r="AH161" i="1" s="1"/>
  <c r="Q133" i="1"/>
  <c r="AF133" i="1" s="1"/>
  <c r="AH133" i="1" s="1"/>
  <c r="AK209" i="1"/>
  <c r="Q153" i="1"/>
  <c r="R153" i="1" s="1"/>
  <c r="Q145" i="1"/>
  <c r="AD145" i="1"/>
  <c r="Q146" i="1"/>
  <c r="AD146" i="1"/>
  <c r="Q170" i="1"/>
  <c r="AD170" i="1"/>
  <c r="T188" i="1"/>
  <c r="V188" i="1" s="1"/>
  <c r="AD188" i="1" s="1"/>
  <c r="I349" i="6" s="1"/>
  <c r="T190" i="1"/>
  <c r="V190" i="1" s="1"/>
  <c r="AD190" i="1" s="1"/>
  <c r="I351" i="6" s="1"/>
  <c r="P211" i="1"/>
  <c r="T189" i="1"/>
  <c r="V189" i="1" s="1"/>
  <c r="W189" i="1" s="1"/>
  <c r="X189" i="1" s="1"/>
  <c r="AD160" i="1"/>
  <c r="Q160" i="1"/>
  <c r="T176" i="1"/>
  <c r="V176" i="1" s="1"/>
  <c r="AD176" i="1" s="1"/>
  <c r="I337" i="6" s="1"/>
  <c r="T191" i="1"/>
  <c r="V191" i="1" s="1"/>
  <c r="W191" i="1" s="1"/>
  <c r="X191" i="1" s="1"/>
  <c r="AD131" i="1"/>
  <c r="Q131" i="1"/>
  <c r="R26" i="1"/>
  <c r="AF26" i="1"/>
  <c r="AH26" i="1" s="1"/>
  <c r="R120" i="1"/>
  <c r="AF120" i="1"/>
  <c r="AH120" i="1" s="1"/>
  <c r="R88" i="1"/>
  <c r="AF88" i="1"/>
  <c r="AH88" i="1" s="1"/>
  <c r="R105" i="1"/>
  <c r="AF105" i="1"/>
  <c r="AH105" i="1" s="1"/>
  <c r="R52" i="1"/>
  <c r="AF52" i="1"/>
  <c r="AH52" i="1" s="1"/>
  <c r="R21" i="1"/>
  <c r="AF21" i="1"/>
  <c r="AH21" i="1" s="1"/>
  <c r="R27" i="1"/>
  <c r="AF27" i="1"/>
  <c r="AH27" i="1" s="1"/>
  <c r="R119" i="1"/>
  <c r="AF119" i="1"/>
  <c r="AH119" i="1" s="1"/>
  <c r="R63" i="1"/>
  <c r="AF63" i="1"/>
  <c r="AH63" i="1" s="1"/>
  <c r="AF117" i="1"/>
  <c r="AH117" i="1" s="1"/>
  <c r="R117" i="1"/>
  <c r="R91" i="1"/>
  <c r="AF91" i="1"/>
  <c r="AH91" i="1" s="1"/>
  <c r="AF60" i="1"/>
  <c r="AH60" i="1" s="1"/>
  <c r="R60" i="1"/>
  <c r="AF98" i="1"/>
  <c r="AH98" i="1" s="1"/>
  <c r="R98" i="1"/>
  <c r="R58" i="1"/>
  <c r="AF58" i="1"/>
  <c r="AH58" i="1" s="1"/>
  <c r="R64" i="1"/>
  <c r="AF64" i="1"/>
  <c r="AH64" i="1" s="1"/>
  <c r="AF94" i="1"/>
  <c r="AH94" i="1" s="1"/>
  <c r="R94" i="1"/>
  <c r="R44" i="1"/>
  <c r="AF44" i="1"/>
  <c r="AH44" i="1" s="1"/>
  <c r="R51" i="1"/>
  <c r="AF51" i="1"/>
  <c r="AH51" i="1" s="1"/>
  <c r="AF112" i="1"/>
  <c r="AH112" i="1" s="1"/>
  <c r="R112" i="1"/>
  <c r="AF97" i="1"/>
  <c r="AH97" i="1" s="1"/>
  <c r="R97" i="1"/>
  <c r="AF75" i="1"/>
  <c r="AH75" i="1" s="1"/>
  <c r="R75" i="1"/>
  <c r="R67" i="1"/>
  <c r="AF67" i="1"/>
  <c r="AH67" i="1" s="1"/>
  <c r="R66" i="1"/>
  <c r="AF66" i="1"/>
  <c r="AH66" i="1" s="1"/>
  <c r="AF86" i="1"/>
  <c r="AH86" i="1" s="1"/>
  <c r="R86" i="1"/>
  <c r="R61" i="1"/>
  <c r="AF61" i="1"/>
  <c r="AH61" i="1" s="1"/>
  <c r="AF103" i="1"/>
  <c r="AH103" i="1" s="1"/>
  <c r="R103" i="1"/>
  <c r="R48" i="1"/>
  <c r="AF48" i="1"/>
  <c r="AH48" i="1" s="1"/>
  <c r="R116" i="1"/>
  <c r="AF116" i="1"/>
  <c r="AH116" i="1" s="1"/>
  <c r="AF101" i="1"/>
  <c r="AH101" i="1" s="1"/>
  <c r="R101" i="1"/>
  <c r="R76" i="1"/>
  <c r="AF76" i="1"/>
  <c r="AH76" i="1" s="1"/>
  <c r="AF82" i="1"/>
  <c r="AH82" i="1" s="1"/>
  <c r="R82" i="1"/>
  <c r="AF69" i="1"/>
  <c r="AH69" i="1" s="1"/>
  <c r="R69" i="1"/>
  <c r="R46" i="1"/>
  <c r="AF46" i="1"/>
  <c r="AH46" i="1" s="1"/>
  <c r="R80" i="1"/>
  <c r="AF80" i="1"/>
  <c r="AH80" i="1" s="1"/>
  <c r="R55" i="1"/>
  <c r="AF55" i="1"/>
  <c r="AH55" i="1" s="1"/>
  <c r="R35" i="1"/>
  <c r="AF35" i="1"/>
  <c r="AH35" i="1" s="1"/>
  <c r="AF95" i="1"/>
  <c r="AH95" i="1" s="1"/>
  <c r="R95" i="1"/>
  <c r="R43" i="1"/>
  <c r="AF43" i="1"/>
  <c r="AH43" i="1" s="1"/>
  <c r="R59" i="1"/>
  <c r="AF59" i="1"/>
  <c r="AH59" i="1" s="1"/>
  <c r="AF108" i="1"/>
  <c r="AH108" i="1" s="1"/>
  <c r="R108" i="1"/>
  <c r="R93" i="1"/>
  <c r="AF93" i="1"/>
  <c r="AH93" i="1" s="1"/>
  <c r="AF115" i="1"/>
  <c r="AH115" i="1" s="1"/>
  <c r="R115" i="1"/>
  <c r="AF83" i="1"/>
  <c r="AH83" i="1" s="1"/>
  <c r="R83" i="1"/>
  <c r="R22" i="1"/>
  <c r="AF22" i="1"/>
  <c r="AH22" i="1" s="1"/>
  <c r="R106" i="1"/>
  <c r="AF106" i="1"/>
  <c r="AH106" i="1" s="1"/>
  <c r="R78" i="1"/>
  <c r="AF78" i="1"/>
  <c r="AH78" i="1" s="1"/>
  <c r="R36" i="1"/>
  <c r="AF36" i="1"/>
  <c r="AH36" i="1" s="1"/>
  <c r="R49" i="1"/>
  <c r="AF49" i="1"/>
  <c r="AH49" i="1" s="1"/>
  <c r="AF118" i="1"/>
  <c r="AH118" i="1" s="1"/>
  <c r="R118" i="1"/>
  <c r="R30" i="1"/>
  <c r="AF30" i="1"/>
  <c r="AH30" i="1" s="1"/>
  <c r="R77" i="1"/>
  <c r="AF77" i="1"/>
  <c r="AH77" i="1" s="1"/>
  <c r="R38" i="1"/>
  <c r="AF38" i="1"/>
  <c r="AH38" i="1" s="1"/>
  <c r="AF84" i="1"/>
  <c r="AH84" i="1" s="1"/>
  <c r="R84" i="1"/>
  <c r="R31" i="1"/>
  <c r="AF31" i="1"/>
  <c r="AH31" i="1" s="1"/>
  <c r="AF107" i="1"/>
  <c r="AH107" i="1" s="1"/>
  <c r="R107" i="1"/>
  <c r="R54" i="1"/>
  <c r="AF54" i="1"/>
  <c r="AH54" i="1" s="1"/>
  <c r="R114" i="1"/>
  <c r="AF114" i="1"/>
  <c r="AH114" i="1" s="1"/>
  <c r="R42" i="1"/>
  <c r="AF42" i="1"/>
  <c r="AH42" i="1" s="1"/>
  <c r="AF110" i="1"/>
  <c r="AH110" i="1" s="1"/>
  <c r="R110" i="1"/>
  <c r="R45" i="1"/>
  <c r="AF45" i="1"/>
  <c r="AH45" i="1" s="1"/>
  <c r="R73" i="1"/>
  <c r="AF73" i="1"/>
  <c r="AH73" i="1" s="1"/>
  <c r="AF96" i="1"/>
  <c r="AH96" i="1" s="1"/>
  <c r="R96" i="1"/>
  <c r="AF81" i="1"/>
  <c r="AH81" i="1" s="1"/>
  <c r="R81" i="1"/>
  <c r="R65" i="1"/>
  <c r="AF65" i="1"/>
  <c r="AH65" i="1" s="1"/>
  <c r="AF23" i="1"/>
  <c r="AH23" i="1" s="1"/>
  <c r="R23" i="1"/>
  <c r="R99" i="1"/>
  <c r="AF99" i="1"/>
  <c r="AH99" i="1" s="1"/>
  <c r="R57" i="1"/>
  <c r="AF57" i="1"/>
  <c r="AH57" i="1" s="1"/>
  <c r="R29" i="1"/>
  <c r="AF29" i="1"/>
  <c r="AH29" i="1" s="1"/>
  <c r="R37" i="1"/>
  <c r="AF37" i="1"/>
  <c r="AH37" i="1" s="1"/>
  <c r="AF53" i="1"/>
  <c r="AH53" i="1" s="1"/>
  <c r="R53" i="1"/>
  <c r="AF102" i="1"/>
  <c r="AH102" i="1" s="1"/>
  <c r="R102" i="1"/>
  <c r="R50" i="1"/>
  <c r="AF50" i="1"/>
  <c r="AH50" i="1" s="1"/>
  <c r="R68" i="1"/>
  <c r="AF68" i="1"/>
  <c r="AH68" i="1" s="1"/>
  <c r="R25" i="1"/>
  <c r="AF25" i="1"/>
  <c r="AH25" i="1" s="1"/>
  <c r="R104" i="1"/>
  <c r="AF104" i="1"/>
  <c r="AH104" i="1" s="1"/>
  <c r="R121" i="1"/>
  <c r="AF121" i="1"/>
  <c r="AH121" i="1" s="1"/>
  <c r="R89" i="1"/>
  <c r="AF89" i="1"/>
  <c r="AH89" i="1" s="1"/>
  <c r="R20" i="1"/>
  <c r="AF20" i="1"/>
  <c r="AH20" i="1" s="1"/>
  <c r="AF87" i="1"/>
  <c r="AH87" i="1" s="1"/>
  <c r="R87" i="1"/>
  <c r="R62" i="1"/>
  <c r="AF62" i="1"/>
  <c r="AH62" i="1" s="1"/>
  <c r="R33" i="1"/>
  <c r="AF33" i="1"/>
  <c r="AH33" i="1" s="1"/>
  <c r="AF100" i="1"/>
  <c r="AH100" i="1" s="1"/>
  <c r="R100" i="1"/>
  <c r="AF85" i="1"/>
  <c r="AH85" i="1" s="1"/>
  <c r="R85" i="1"/>
  <c r="AF39" i="1"/>
  <c r="AH39" i="1" s="1"/>
  <c r="R39" i="1"/>
  <c r="AF72" i="1"/>
  <c r="AH72" i="1" s="1"/>
  <c r="R72" i="1"/>
  <c r="R47" i="1"/>
  <c r="AF47" i="1"/>
  <c r="AH47" i="1" s="1"/>
  <c r="R41" i="1"/>
  <c r="AF41" i="1"/>
  <c r="AH41" i="1" s="1"/>
  <c r="R28" i="1"/>
  <c r="AF28" i="1"/>
  <c r="AH28" i="1" s="1"/>
  <c r="R113" i="1"/>
  <c r="AF113" i="1"/>
  <c r="AH113" i="1" s="1"/>
  <c r="AF111" i="1"/>
  <c r="AH111" i="1" s="1"/>
  <c r="R111" i="1"/>
  <c r="AF79" i="1"/>
  <c r="AH79" i="1" s="1"/>
  <c r="R79" i="1"/>
  <c r="R56" i="1"/>
  <c r="AF56" i="1"/>
  <c r="AH56" i="1" s="1"/>
  <c r="AF92" i="1"/>
  <c r="AH92" i="1" s="1"/>
  <c r="R92" i="1"/>
  <c r="R109" i="1"/>
  <c r="AF109" i="1"/>
  <c r="AH109" i="1" s="1"/>
  <c r="R74" i="1"/>
  <c r="AF74" i="1"/>
  <c r="AH74" i="1" s="1"/>
  <c r="AF24" i="1"/>
  <c r="AH24" i="1" s="1"/>
  <c r="R24" i="1"/>
  <c r="AF90" i="1"/>
  <c r="AH90" i="1" s="1"/>
  <c r="R90" i="1"/>
  <c r="R34" i="1"/>
  <c r="AF34" i="1"/>
  <c r="AH34" i="1" s="1"/>
  <c r="AF32" i="1"/>
  <c r="AH32" i="1" s="1"/>
  <c r="R32" i="1"/>
  <c r="AF40" i="1"/>
  <c r="AH40" i="1" s="1"/>
  <c r="R40" i="1"/>
  <c r="AF132" i="1" l="1"/>
  <c r="AH132" i="1" s="1"/>
  <c r="AF167" i="1"/>
  <c r="AH167" i="1" s="1"/>
  <c r="AF147" i="1"/>
  <c r="AH147" i="1" s="1"/>
  <c r="R173" i="1"/>
  <c r="AF149" i="1"/>
  <c r="AH149" i="1" s="1"/>
  <c r="AF129" i="1"/>
  <c r="AH129" i="1" s="1"/>
  <c r="AF125" i="1"/>
  <c r="AH125" i="1" s="1"/>
  <c r="R171" i="1"/>
  <c r="R164" i="1"/>
  <c r="AF127" i="1"/>
  <c r="AH127" i="1" s="1"/>
  <c r="R127" i="1"/>
  <c r="R148" i="1"/>
  <c r="R158" i="1"/>
  <c r="R169" i="1"/>
  <c r="R141" i="1"/>
  <c r="AF152" i="1"/>
  <c r="AH152" i="1" s="1"/>
  <c r="AF144" i="1"/>
  <c r="AH144" i="1" s="1"/>
  <c r="AF159" i="1"/>
  <c r="AH159" i="1" s="1"/>
  <c r="AF138" i="1"/>
  <c r="AH138" i="1" s="1"/>
  <c r="R133" i="1"/>
  <c r="AF153" i="1"/>
  <c r="AH153" i="1" s="1"/>
  <c r="AF146" i="1"/>
  <c r="AH146" i="1" s="1"/>
  <c r="R146" i="1"/>
  <c r="W188" i="1"/>
  <c r="X188" i="1" s="1"/>
  <c r="R145" i="1"/>
  <c r="AF145" i="1"/>
  <c r="AH145" i="1" s="1"/>
  <c r="R170" i="1"/>
  <c r="AF170" i="1"/>
  <c r="AH170" i="1" s="1"/>
  <c r="V211" i="1"/>
  <c r="AD212" i="1" s="1"/>
  <c r="AF191" i="1"/>
  <c r="AH191" i="1" s="1"/>
  <c r="AD189" i="1"/>
  <c r="I350" i="6" s="1"/>
  <c r="W190" i="1"/>
  <c r="AF190" i="1" s="1"/>
  <c r="AH190" i="1" s="1"/>
  <c r="W176" i="1"/>
  <c r="X176" i="1" s="1"/>
  <c r="AF189" i="1"/>
  <c r="AH189" i="1" s="1"/>
  <c r="T211" i="1"/>
  <c r="R160" i="1"/>
  <c r="AF160" i="1"/>
  <c r="AH160" i="1" s="1"/>
  <c r="AD191" i="1"/>
  <c r="I352" i="6" s="1"/>
  <c r="AF131" i="1"/>
  <c r="AH131" i="1" s="1"/>
  <c r="R131" i="1"/>
  <c r="Q211" i="1"/>
  <c r="AK121" i="1"/>
  <c r="AK69" i="1"/>
  <c r="AF188" i="1" l="1"/>
  <c r="AH188" i="1" s="1"/>
  <c r="AK197" i="1" s="1"/>
  <c r="R211" i="1"/>
  <c r="K22" i="14" s="1"/>
  <c r="AK173" i="1"/>
  <c r="X190" i="1"/>
  <c r="X211" i="1" s="1"/>
  <c r="W211" i="1"/>
  <c r="AF212" i="1" s="1"/>
  <c r="AF176" i="1"/>
  <c r="AH176" i="1" s="1"/>
  <c r="AK185" i="1" s="1"/>
  <c r="AD211" i="1"/>
  <c r="J2" i="6" l="1"/>
  <c r="AF211" i="1"/>
  <c r="AH212" i="1"/>
  <c r="K23" i="14"/>
  <c r="J3" i="6"/>
  <c r="AH211" i="1"/>
  <c r="AH213" i="1" s="1"/>
  <c r="AH214" i="1" s="1"/>
  <c r="AK211" i="1"/>
  <c r="AK212" i="1" l="1"/>
  <c r="K25" i="14"/>
  <c r="X214" i="1"/>
  <c r="AK213" i="1"/>
  <c r="Z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ksturdivant</author>
    <author>kasturd</author>
  </authors>
  <commentList>
    <comment ref="P3" authorId="0" shapeId="0" xr:uid="{00000000-0006-0000-0100-000001000000}">
      <text>
        <r>
          <rPr>
            <sz val="9"/>
            <color indexed="81"/>
            <rFont val="Tahoma"/>
            <family val="2"/>
          </rPr>
          <t>Labor Rate with Markup</t>
        </r>
      </text>
    </comment>
    <comment ref="T3" authorId="0" shapeId="0" xr:uid="{00000000-0006-0000-0100-000002000000}">
      <text>
        <r>
          <rPr>
            <sz val="9"/>
            <color indexed="81"/>
            <rFont val="Tahoma"/>
            <family val="2"/>
          </rPr>
          <t>Labor Rate with Markup</t>
        </r>
      </text>
    </comment>
    <comment ref="T4" authorId="0" shapeId="0" xr:uid="{00000000-0006-0000-0100-000003000000}">
      <text>
        <r>
          <rPr>
            <sz val="9"/>
            <color indexed="81"/>
            <rFont val="Tahoma"/>
            <family val="2"/>
          </rPr>
          <t>Labor Rate with Markup</t>
        </r>
      </text>
    </comment>
    <comment ref="M8" authorId="0" shapeId="0" xr:uid="{00000000-0006-0000-0100-000004000000}">
      <text>
        <r>
          <rPr>
            <sz val="9"/>
            <color indexed="81"/>
            <rFont val="Tahoma"/>
            <family val="2"/>
          </rPr>
          <t xml:space="preserve">Pecentage is based off of total field hours
</t>
        </r>
      </text>
    </comment>
    <comment ref="M9" authorId="0" shapeId="0" xr:uid="{00000000-0006-0000-0100-000005000000}">
      <text>
        <r>
          <rPr>
            <sz val="9"/>
            <color indexed="81"/>
            <rFont val="Tahoma"/>
            <family val="2"/>
          </rPr>
          <t>Percentage is based off of total field hours</t>
        </r>
      </text>
    </comment>
    <comment ref="E19" authorId="0" shapeId="0" xr:uid="{00000000-0006-0000-0100-000006000000}">
      <text>
        <r>
          <rPr>
            <sz val="9"/>
            <color indexed="81"/>
            <rFont val="Tahoma"/>
            <family val="2"/>
          </rPr>
          <t xml:space="preserve">Entering a Labor Code Overide will change the  Field and Shop labor rates according to the rate of the Labor code on the Rate Inputs tab. </t>
        </r>
      </text>
    </comment>
    <comment ref="J19" authorId="0" shapeId="0" xr:uid="{00000000-0006-0000-0100-000007000000}">
      <text>
        <r>
          <rPr>
            <sz val="9"/>
            <color indexed="81"/>
            <rFont val="Tahoma"/>
            <family val="2"/>
          </rPr>
          <t xml:space="preserve">"Qty" &amp; "UOM" if left blank will default to 100 PCT when imported to Viewpoint.  </t>
        </r>
      </text>
    </comment>
    <comment ref="A71" authorId="1" shapeId="0" xr:uid="{00000000-0006-0000-0100-000008000000}">
      <text>
        <r>
          <rPr>
            <sz val="9"/>
            <color indexed="81"/>
            <rFont val="Tahoma"/>
            <family val="2"/>
          </rPr>
          <t>uses labor rate from Piping Rate above located in cell R3</t>
        </r>
        <r>
          <rPr>
            <b/>
            <sz val="9"/>
            <color indexed="81"/>
            <rFont val="Tahoma"/>
            <family val="2"/>
          </rPr>
          <t xml:space="preserve">
</t>
        </r>
        <r>
          <rPr>
            <sz val="9"/>
            <color indexed="81"/>
            <rFont val="Tahoma"/>
            <family val="2"/>
          </rPr>
          <t xml:space="preserve">
</t>
        </r>
      </text>
    </comment>
    <comment ref="A123" authorId="1" shapeId="0" xr:uid="{00000000-0006-0000-0100-000009000000}">
      <text>
        <r>
          <rPr>
            <sz val="9"/>
            <color indexed="81"/>
            <rFont val="Tahoma"/>
            <family val="2"/>
          </rPr>
          <t>uses labor rate from Plumbing Rate above located in cell R4</t>
        </r>
        <r>
          <rPr>
            <b/>
            <sz val="9"/>
            <color indexed="81"/>
            <rFont val="Tahoma"/>
            <family val="2"/>
          </rPr>
          <t xml:space="preserve">
</t>
        </r>
        <r>
          <rPr>
            <sz val="9"/>
            <color indexed="81"/>
            <rFont val="Tahoma"/>
            <family val="2"/>
          </rPr>
          <t xml:space="preserve">
</t>
        </r>
      </text>
    </comment>
    <comment ref="J177" authorId="0" shapeId="0" xr:uid="{00000000-0006-0000-0100-00000A000000}">
      <text>
        <r>
          <rPr>
            <b/>
            <sz val="9"/>
            <color indexed="81"/>
            <rFont val="Tahoma"/>
            <family val="2"/>
          </rPr>
          <t>Enter the quantity of weeks for truck usage.  ($8hr * 8hr/day*5days/wk)</t>
        </r>
      </text>
    </comment>
  </commentList>
</comments>
</file>

<file path=xl/sharedStrings.xml><?xml version="1.0" encoding="utf-8"?>
<sst xmlns="http://schemas.openxmlformats.org/spreadsheetml/2006/main" count="5610" uniqueCount="1025">
  <si>
    <t>Project:</t>
  </si>
  <si>
    <t>Tax Rate</t>
  </si>
  <si>
    <t>Labor</t>
  </si>
  <si>
    <t>Material</t>
  </si>
  <si>
    <t xml:space="preserve">Date: </t>
  </si>
  <si>
    <t>Sub</t>
  </si>
  <si>
    <t>Rate Calculator</t>
  </si>
  <si>
    <t>Qty</t>
  </si>
  <si>
    <t>Subs</t>
  </si>
  <si>
    <t>Markup</t>
  </si>
  <si>
    <t>Sell</t>
  </si>
  <si>
    <t>No.</t>
  </si>
  <si>
    <t>UOM</t>
  </si>
  <si>
    <t>Field</t>
  </si>
  <si>
    <t>Shop</t>
  </si>
  <si>
    <t>Hrs/TTL</t>
  </si>
  <si>
    <t>Cost</t>
  </si>
  <si>
    <t xml:space="preserve">Ext. </t>
  </si>
  <si>
    <t>LS</t>
  </si>
  <si>
    <t>Superintendent</t>
  </si>
  <si>
    <t>General Foreman</t>
  </si>
  <si>
    <t>Foreman</t>
  </si>
  <si>
    <t>Journeyman</t>
  </si>
  <si>
    <t>5th Year Apprentice</t>
  </si>
  <si>
    <t>4th Year Apprentice</t>
  </si>
  <si>
    <t>3rd Year Apprentice</t>
  </si>
  <si>
    <t>2nd Year Apprentice</t>
  </si>
  <si>
    <t>1st Year Apprentice</t>
  </si>
  <si>
    <t>Pre-Apprentice</t>
  </si>
  <si>
    <t>Tool Crib</t>
  </si>
  <si>
    <t>Totals</t>
  </si>
  <si>
    <t>Composite Rate</t>
  </si>
  <si>
    <t>CROSS CHECK</t>
  </si>
  <si>
    <t>Total Project Cost</t>
  </si>
  <si>
    <t xml:space="preserve">                          </t>
  </si>
  <si>
    <t>Rate</t>
  </si>
  <si>
    <t>Sheet Metal Rate</t>
  </si>
  <si>
    <t>Temperature Controls</t>
  </si>
  <si>
    <t>Insulation</t>
  </si>
  <si>
    <t>Test &amp; Balance</t>
  </si>
  <si>
    <t>Other</t>
  </si>
  <si>
    <t>Start Date</t>
  </si>
  <si>
    <t>End Date</t>
  </si>
  <si>
    <t>Workdays</t>
  </si>
  <si>
    <t>Men/Day</t>
  </si>
  <si>
    <t>Field Labor Scheduling</t>
  </si>
  <si>
    <t>Shop Labor Scheduling</t>
  </si>
  <si>
    <t>Total SF</t>
  </si>
  <si>
    <t>Cost/SF</t>
  </si>
  <si>
    <t>Shop Burden</t>
  </si>
  <si>
    <t>V.6.05.13</t>
  </si>
  <si>
    <t>added new rate tables for green bay</t>
  </si>
  <si>
    <t>added shop burned cost rate.  This automatically adds the shop burden cost to the shop labor</t>
  </si>
  <si>
    <t>a.)</t>
  </si>
  <si>
    <t>b.)</t>
  </si>
  <si>
    <t>c.)</t>
  </si>
  <si>
    <t>d.)</t>
  </si>
  <si>
    <t xml:space="preserve">added square foot calculator at bottom of base bid sheet.  </t>
  </si>
  <si>
    <t>Bid Sheet Instructions</t>
  </si>
  <si>
    <t>Version Updates</t>
  </si>
  <si>
    <t>added scheduling block at bottom of base bid sheet.  This gives an estimated idea of manpower needed NOTE:  The formula assumes 5 workdays for a 7 day week.  Therefore you need at least 7 days for it to work</t>
  </si>
  <si>
    <t xml:space="preserve">e.) </t>
  </si>
  <si>
    <t>Revised header and footer to inlcude dates, sheet names, and file locations</t>
  </si>
  <si>
    <t>The quanity column is for reference only.  It will not multiply items further in the labor, material, or subs column</t>
  </si>
  <si>
    <t>e.)</t>
  </si>
  <si>
    <t xml:space="preserve">You can manually adjust the markups for material/equipment, labor, and subs at the top right part of the base bid form. </t>
  </si>
  <si>
    <t>f.)</t>
  </si>
  <si>
    <t xml:space="preserve">Sheet Metal Labor uses sheet metal labor rate.  Piping/Plmg uses Piping/Plumbing rates.  </t>
  </si>
  <si>
    <t>Contingency/Bond</t>
  </si>
  <si>
    <t>g.)</t>
  </si>
  <si>
    <t>Save your file in the following format;               project name_date</t>
  </si>
  <si>
    <t>Check Items</t>
  </si>
  <si>
    <t>Gallons</t>
  </si>
  <si>
    <t>Total</t>
  </si>
  <si>
    <t>Ethylene Bulk</t>
  </si>
  <si>
    <t>Propylene Bulk</t>
  </si>
  <si>
    <t>Ethylene 55 drum</t>
  </si>
  <si>
    <t>Propylene 55 drum</t>
  </si>
  <si>
    <t>½</t>
  </si>
  <si>
    <t>¾</t>
  </si>
  <si>
    <t>1 ¼</t>
  </si>
  <si>
    <t>1 ½</t>
  </si>
  <si>
    <t>Gallons per 100' of pipe</t>
  </si>
  <si>
    <t>Size</t>
  </si>
  <si>
    <t>Length</t>
  </si>
  <si>
    <t>N/A</t>
  </si>
  <si>
    <t xml:space="preserve">Inc. </t>
  </si>
  <si>
    <t>Notes:</t>
  </si>
  <si>
    <t>V.7.08.13</t>
  </si>
  <si>
    <t>Added glycol calculator tab</t>
  </si>
  <si>
    <t>Added pipe volume calculator</t>
  </si>
  <si>
    <t>Added checklist</t>
  </si>
  <si>
    <t>Concrete Pads</t>
  </si>
  <si>
    <t>Starters &amp; Disconnects</t>
  </si>
  <si>
    <t>System Chemicals/Testing</t>
  </si>
  <si>
    <t>Stencil / Valve Tag</t>
  </si>
  <si>
    <t>Filtration/Duct Cleaning</t>
  </si>
  <si>
    <t>Owner Training/Video Production</t>
  </si>
  <si>
    <t xml:space="preserve">Other. </t>
  </si>
  <si>
    <t>By/O</t>
  </si>
  <si>
    <t xml:space="preserve">Qty. </t>
  </si>
  <si>
    <t>boiler pad per IEI 7-8-13 Quote is est. $1,200 ea (3'x6') unless on site already</t>
  </si>
  <si>
    <t>****** RATE INPUTS ******</t>
  </si>
  <si>
    <t>****** MISC. / CHECKLIST ITEMS ******</t>
  </si>
  <si>
    <t>****** GLYCOL CALCULATOR ******</t>
  </si>
  <si>
    <t>Shell &amp; Tube HEX</t>
  </si>
  <si>
    <t>Expansion Tank</t>
  </si>
  <si>
    <t>Boilers</t>
  </si>
  <si>
    <t>Chillers</t>
  </si>
  <si>
    <t>Total System Volume</t>
  </si>
  <si>
    <t xml:space="preserve">Misc System Equip. </t>
  </si>
  <si>
    <t>55 gallon drums</t>
  </si>
  <si>
    <t>Item Description</t>
  </si>
  <si>
    <t>Hydroflow</t>
  </si>
  <si>
    <t>FHI</t>
  </si>
  <si>
    <t>H&amp;P</t>
  </si>
  <si>
    <t>Ferguson</t>
  </si>
  <si>
    <t>Columbia</t>
  </si>
  <si>
    <t>Number Used</t>
  </si>
  <si>
    <t>Bid Total</t>
  </si>
  <si>
    <t>Masters</t>
  </si>
  <si>
    <t>Trane</t>
  </si>
  <si>
    <t>TSI</t>
  </si>
  <si>
    <t>Access</t>
  </si>
  <si>
    <t>Hurckman</t>
  </si>
  <si>
    <t>Thermotech</t>
  </si>
  <si>
    <t>Quality</t>
  </si>
  <si>
    <t>JCI</t>
  </si>
  <si>
    <t>BATI</t>
  </si>
  <si>
    <t>EC&amp;D</t>
  </si>
  <si>
    <t>ALC</t>
  </si>
  <si>
    <t>Other Sub</t>
  </si>
  <si>
    <t>****** QUOTED ITEMS ******</t>
  </si>
  <si>
    <t>Variance</t>
  </si>
  <si>
    <t>Coil</t>
  </si>
  <si>
    <t>Strainer</t>
  </si>
  <si>
    <t>Subcontracts</t>
  </si>
  <si>
    <t>Margin</t>
  </si>
  <si>
    <t xml:space="preserve">Subtotals </t>
  </si>
  <si>
    <t>Electrical</t>
  </si>
  <si>
    <t>Phase Code</t>
  </si>
  <si>
    <t>Phase Description</t>
  </si>
  <si>
    <t>Cost Type</t>
  </si>
  <si>
    <t>Cost Type Description</t>
  </si>
  <si>
    <t>Standard UM</t>
  </si>
  <si>
    <t xml:space="preserve"> 12-810-   -</t>
  </si>
  <si>
    <t>Material - Piping Shop</t>
  </si>
  <si>
    <t>PCT</t>
  </si>
  <si>
    <t xml:space="preserve"> 12-811-   -</t>
  </si>
  <si>
    <t>Material - Piping Field</t>
  </si>
  <si>
    <t xml:space="preserve"> 12-812-   -</t>
  </si>
  <si>
    <t>Material - Service Shop</t>
  </si>
  <si>
    <t xml:space="preserve"> 12-813-   -</t>
  </si>
  <si>
    <t>Material - Service Field</t>
  </si>
  <si>
    <t xml:space="preserve"> 12-815-   -</t>
  </si>
  <si>
    <t>Material - Plumbing Shop</t>
  </si>
  <si>
    <t xml:space="preserve"> 12-816-   -</t>
  </si>
  <si>
    <t>Material - Plumbing Field</t>
  </si>
  <si>
    <t xml:space="preserve"> 12-820-   -</t>
  </si>
  <si>
    <t>Material - Sheet Metal Shop</t>
  </si>
  <si>
    <t xml:space="preserve"> 12-821-   -</t>
  </si>
  <si>
    <t>Material - Sheet Metal Field</t>
  </si>
  <si>
    <t xml:space="preserve"> 12-825-   -</t>
  </si>
  <si>
    <t>Material - Boilermaker Shop</t>
  </si>
  <si>
    <t xml:space="preserve"> 12-826-   -</t>
  </si>
  <si>
    <t>Material - Boilermaker Field</t>
  </si>
  <si>
    <t xml:space="preserve"> 13-910-   -</t>
  </si>
  <si>
    <t>Subcontracts - Insulation</t>
  </si>
  <si>
    <t xml:space="preserve"> 13-911-   -</t>
  </si>
  <si>
    <t>Subcontracts - Controls</t>
  </si>
  <si>
    <t xml:space="preserve"> 13-912-   -</t>
  </si>
  <si>
    <t>Subcontracts - Balancing</t>
  </si>
  <si>
    <t xml:space="preserve"> 13-913-   -</t>
  </si>
  <si>
    <t>Subcontracts - Electrical</t>
  </si>
  <si>
    <t xml:space="preserve"> 13-914-   -</t>
  </si>
  <si>
    <t>Subcontracts - General</t>
  </si>
  <si>
    <t xml:space="preserve"> 13-915-   -</t>
  </si>
  <si>
    <t>Subcontracts - Excavation</t>
  </si>
  <si>
    <t xml:space="preserve"> 13-916-   -</t>
  </si>
  <si>
    <t>Subcontracts - Structural</t>
  </si>
  <si>
    <t xml:space="preserve"> 13-917-   -</t>
  </si>
  <si>
    <t>Subcontracts - Demolition</t>
  </si>
  <si>
    <t xml:space="preserve"> 13-918-   -</t>
  </si>
  <si>
    <t>Subcontracts - Duct Fab</t>
  </si>
  <si>
    <t xml:space="preserve"> 13-919-   -</t>
  </si>
  <si>
    <t>Subcontracts - Roofing</t>
  </si>
  <si>
    <t xml:space="preserve"> 13-920-   -</t>
  </si>
  <si>
    <t>Subcontracts - Engineering</t>
  </si>
  <si>
    <t xml:space="preserve"> 13-921-   -</t>
  </si>
  <si>
    <t>Subcontracts - Duct Cleaning</t>
  </si>
  <si>
    <t xml:space="preserve"> 13-922-   -</t>
  </si>
  <si>
    <t>Subcontracts - Duct Painting</t>
  </si>
  <si>
    <t xml:space="preserve"> 13-923-   -</t>
  </si>
  <si>
    <t>Subcontracts - Firestopping</t>
  </si>
  <si>
    <t xml:space="preserve"> 13-940-   -</t>
  </si>
  <si>
    <t>Subcontracts - Misc</t>
  </si>
  <si>
    <t xml:space="preserve"> 14-700-   -</t>
  </si>
  <si>
    <t>Rentals - 3rd Party</t>
  </si>
  <si>
    <t>Rentals</t>
  </si>
  <si>
    <t xml:space="preserve"> 14-750-   -</t>
  </si>
  <si>
    <t>Rentals - Allocated Equipment Costs</t>
  </si>
  <si>
    <t xml:space="preserve"> 14-751-   -</t>
  </si>
  <si>
    <t>Rentals - Truck Charges</t>
  </si>
  <si>
    <t xml:space="preserve"> 14-752-   -</t>
  </si>
  <si>
    <t>Rentals - Service Equipment</t>
  </si>
  <si>
    <t xml:space="preserve"> 15-830-   -</t>
  </si>
  <si>
    <t>MEP Equip - Piping</t>
  </si>
  <si>
    <t>MEP Equipment</t>
  </si>
  <si>
    <t xml:space="preserve"> 15-840-   -</t>
  </si>
  <si>
    <t>MEP Equip - Plumbing</t>
  </si>
  <si>
    <t xml:space="preserve"> 15-842-   -</t>
  </si>
  <si>
    <t>MEP Equip - Exempt - Med Gas &amp; Trade</t>
  </si>
  <si>
    <t xml:space="preserve"> 15-845-   -</t>
  </si>
  <si>
    <t>MEP Equip - Plumbing Fixture</t>
  </si>
  <si>
    <t xml:space="preserve"> 15-850-   -</t>
  </si>
  <si>
    <t>MEP Equip - Sheet Metal</t>
  </si>
  <si>
    <t xml:space="preserve"> 16-960-   -</t>
  </si>
  <si>
    <t>General Conditions - Consumables</t>
  </si>
  <si>
    <t>General Conditions</t>
  </si>
  <si>
    <t xml:space="preserve"> 16-980-   -</t>
  </si>
  <si>
    <t>General Conditions - Misc</t>
  </si>
  <si>
    <t xml:space="preserve"> 16-982-   -</t>
  </si>
  <si>
    <t>General Conditions - Tools</t>
  </si>
  <si>
    <t xml:space="preserve"> 16-983-   -</t>
  </si>
  <si>
    <t>General Conditions - Safety</t>
  </si>
  <si>
    <t xml:space="preserve"> 16-984-   -</t>
  </si>
  <si>
    <t>General Conditions - Telephone</t>
  </si>
  <si>
    <t xml:space="preserve"> 16-985-   -</t>
  </si>
  <si>
    <t>General Conditions - Permits</t>
  </si>
  <si>
    <t xml:space="preserve"> 16-986-   -</t>
  </si>
  <si>
    <t>General Conditions - Plans</t>
  </si>
  <si>
    <t xml:space="preserve"> 16-987-   -</t>
  </si>
  <si>
    <t>General Conditions - State Certifications</t>
  </si>
  <si>
    <t xml:space="preserve"> 16-988-   -</t>
  </si>
  <si>
    <t>General Conditions - Bonds</t>
  </si>
  <si>
    <t xml:space="preserve"> 30-010-   -</t>
  </si>
  <si>
    <t>SM Field Supervision</t>
  </si>
  <si>
    <t xml:space="preserve"> 30-015-   -</t>
  </si>
  <si>
    <t>SM Field Mobilize/Demobilize</t>
  </si>
  <si>
    <t xml:space="preserve"> 30-020-   -</t>
  </si>
  <si>
    <t>SM Field Demolition</t>
  </si>
  <si>
    <t xml:space="preserve"> 30-025-   -</t>
  </si>
  <si>
    <t>SM Field Setting Equipment</t>
  </si>
  <si>
    <t xml:space="preserve"> 30-030-   -</t>
  </si>
  <si>
    <t>SM Field Miscellaneous Items</t>
  </si>
  <si>
    <t xml:space="preserve"> 30-035-   -</t>
  </si>
  <si>
    <t>SM Field Material Handling</t>
  </si>
  <si>
    <t xml:space="preserve"> 30-040-   -</t>
  </si>
  <si>
    <t>SM Field Rework</t>
  </si>
  <si>
    <t xml:space="preserve"> 30-405-   -</t>
  </si>
  <si>
    <t>SM Field Low Pressure Ductwork</t>
  </si>
  <si>
    <t xml:space="preserve"> 30-407-   -</t>
  </si>
  <si>
    <t>SM Field Medium Press Ductwork</t>
  </si>
  <si>
    <t xml:space="preserve"> 30-410-   -</t>
  </si>
  <si>
    <t>SM Field High Press Ductwork</t>
  </si>
  <si>
    <t xml:space="preserve"> 30-415-   -</t>
  </si>
  <si>
    <t>SM Field Aluminum Ductwork</t>
  </si>
  <si>
    <t xml:space="preserve"> 30-417-   -</t>
  </si>
  <si>
    <t>SM Field Stainless Ductwork</t>
  </si>
  <si>
    <t xml:space="preserve"> 30-419-   -</t>
  </si>
  <si>
    <t>SM Field Breeching</t>
  </si>
  <si>
    <t xml:space="preserve"> 30-420-   -</t>
  </si>
  <si>
    <t>SM Field Ductboard</t>
  </si>
  <si>
    <t xml:space="preserve"> 30-422-   -</t>
  </si>
  <si>
    <t>SM Field Round Pipe &amp; Fittings</t>
  </si>
  <si>
    <t xml:space="preserve"> 30-425-   -</t>
  </si>
  <si>
    <t>SM Field Welded Duct</t>
  </si>
  <si>
    <t xml:space="preserve"> 30-435-   -</t>
  </si>
  <si>
    <t>SM Field Dble Wall Duct &amp; Housings</t>
  </si>
  <si>
    <t xml:space="preserve"> 30-438-   -</t>
  </si>
  <si>
    <t>SM Field Louvers</t>
  </si>
  <si>
    <t xml:space="preserve"> 30-440-   -</t>
  </si>
  <si>
    <t>SM Field Duct Access Doors</t>
  </si>
  <si>
    <t xml:space="preserve"> 30-442-   -</t>
  </si>
  <si>
    <t>SM Field Intake/Exhause Hoods</t>
  </si>
  <si>
    <t xml:space="preserve"> 30-444-   -</t>
  </si>
  <si>
    <t>SM Field Grilles</t>
  </si>
  <si>
    <t xml:space="preserve"> 30-446-   -</t>
  </si>
  <si>
    <t>SM Field Fans</t>
  </si>
  <si>
    <t xml:space="preserve"> 30-448-   -</t>
  </si>
  <si>
    <t>SM Field Hoods</t>
  </si>
  <si>
    <t xml:space="preserve"> 35-010-   -</t>
  </si>
  <si>
    <t>SM Shop Supervision</t>
  </si>
  <si>
    <t xml:space="preserve"> 35-030-   -</t>
  </si>
  <si>
    <t>SM Shop Miscellaneous Items</t>
  </si>
  <si>
    <t xml:space="preserve"> 35-040-   -</t>
  </si>
  <si>
    <t>SM Shop Rework</t>
  </si>
  <si>
    <t xml:space="preserve"> 35-400-   -</t>
  </si>
  <si>
    <t>SM Shop Computer Input  Cutting</t>
  </si>
  <si>
    <t xml:space="preserve"> 35-405-   -</t>
  </si>
  <si>
    <t>SM Shop Low Pressure Duct</t>
  </si>
  <si>
    <t xml:space="preserve"> 35-406-   -</t>
  </si>
  <si>
    <t>SM Shop Low Pressure Fitting</t>
  </si>
  <si>
    <t xml:space="preserve"> 35-407-   -</t>
  </si>
  <si>
    <t>SM Shop Medium Press Duct</t>
  </si>
  <si>
    <t xml:space="preserve"> 35-408-   -</t>
  </si>
  <si>
    <t>SM Shop Medium Press Fitting</t>
  </si>
  <si>
    <t xml:space="preserve"> 35-410-   -</t>
  </si>
  <si>
    <t>SM Shop High Pressure Duct</t>
  </si>
  <si>
    <t xml:space="preserve"> 35-411-   -</t>
  </si>
  <si>
    <t>SM Shop High Pressure Fitting</t>
  </si>
  <si>
    <t xml:space="preserve"> 35-415-   -</t>
  </si>
  <si>
    <t>SM Shop Aluminum Duct &amp; Fittings</t>
  </si>
  <si>
    <t xml:space="preserve"> 35-417-   -</t>
  </si>
  <si>
    <t>SM Shop Stainless Duct &amp; Fittings</t>
  </si>
  <si>
    <t xml:space="preserve"> 35-420-   -</t>
  </si>
  <si>
    <t>SM Shop Ductboard Fab</t>
  </si>
  <si>
    <t xml:space="preserve"> 35-425-   -</t>
  </si>
  <si>
    <t>SM Shop Welded Duct &amp; Fittings</t>
  </si>
  <si>
    <t xml:space="preserve"> 35-428-   -</t>
  </si>
  <si>
    <t>SM Shop Insulation &amp; Cladding</t>
  </si>
  <si>
    <t xml:space="preserve"> 35-430-   -</t>
  </si>
  <si>
    <t>SM Shop Painting</t>
  </si>
  <si>
    <t xml:space="preserve"> 35-432-   -</t>
  </si>
  <si>
    <t>SM Shop Sandblasting</t>
  </si>
  <si>
    <t xml:space="preserve"> 35-435-   -</t>
  </si>
  <si>
    <t>SM Shop Dbl Wall Duct/Ftg/Housing</t>
  </si>
  <si>
    <t xml:space="preserve"> 35-436-   -</t>
  </si>
  <si>
    <t>SM Shop Fire Damper Sleeves</t>
  </si>
  <si>
    <t xml:space="preserve"> 40-010-   -</t>
  </si>
  <si>
    <t>SF Field Supervision</t>
  </si>
  <si>
    <t xml:space="preserve"> 40-015-   -</t>
  </si>
  <si>
    <t>SF Field Mobilize / Demobilize</t>
  </si>
  <si>
    <t xml:space="preserve"> 40-020-   -</t>
  </si>
  <si>
    <t>SF Field Demolition</t>
  </si>
  <si>
    <t xml:space="preserve"> 40-025-   -</t>
  </si>
  <si>
    <t>SF Field Setting Equipment</t>
  </si>
  <si>
    <t xml:space="preserve"> 40-030-   -</t>
  </si>
  <si>
    <t>SF Field Miscellaneous Items</t>
  </si>
  <si>
    <t xml:space="preserve"> 40-035-   -</t>
  </si>
  <si>
    <t>SF Field Material Handling</t>
  </si>
  <si>
    <t xml:space="preserve"> 40-040-   -</t>
  </si>
  <si>
    <t>SF Field Rework</t>
  </si>
  <si>
    <t xml:space="preserve"> 40-300-   -</t>
  </si>
  <si>
    <t>SF Field Hot Water Piping</t>
  </si>
  <si>
    <t xml:space="preserve"> 40-301-   -</t>
  </si>
  <si>
    <t>SF Field Hot Water Equip Setting</t>
  </si>
  <si>
    <t xml:space="preserve"> 40-305-   -</t>
  </si>
  <si>
    <t>SF Field Chilled Water Piping</t>
  </si>
  <si>
    <t xml:space="preserve"> 40-306-   -</t>
  </si>
  <si>
    <t>SF Field Chilled Water Equip Set</t>
  </si>
  <si>
    <t xml:space="preserve"> 40-307-   -</t>
  </si>
  <si>
    <t>SF Field Drain</t>
  </si>
  <si>
    <t xml:space="preserve"> 40-310-   -</t>
  </si>
  <si>
    <t>SF Field Natural Gas/Vent Piping</t>
  </si>
  <si>
    <t xml:space="preserve"> 40-315-   -</t>
  </si>
  <si>
    <t>SF Field Fuel Oil</t>
  </si>
  <si>
    <t xml:space="preserve"> 40-320-   -</t>
  </si>
  <si>
    <t>SF Field Steam &amp; Condensate Piping</t>
  </si>
  <si>
    <t xml:space="preserve"> 40-321-   -</t>
  </si>
  <si>
    <t>SF Field Steam &amp; Condensate Equip</t>
  </si>
  <si>
    <t xml:space="preserve"> 40-325-   -</t>
  </si>
  <si>
    <t>SF Field Glycol Piping</t>
  </si>
  <si>
    <t xml:space="preserve"> 40-330-   -</t>
  </si>
  <si>
    <t>SF Field Refrigeration Piping &amp; Eq</t>
  </si>
  <si>
    <t xml:space="preserve"> 40-335-   -</t>
  </si>
  <si>
    <t>SF Field Chemical Piping</t>
  </si>
  <si>
    <t xml:space="preserve"> 40-340-   -</t>
  </si>
  <si>
    <t>SF Field Testing &amp; Cleaning</t>
  </si>
  <si>
    <t xml:space="preserve"> 40-344-   -</t>
  </si>
  <si>
    <t>SF Field Pipe &amp; Valve Id</t>
  </si>
  <si>
    <t xml:space="preserve"> 45-010-   -</t>
  </si>
  <si>
    <t>SF Shop Supervision</t>
  </si>
  <si>
    <t xml:space="preserve"> 45-030-   -</t>
  </si>
  <si>
    <t>SF Shop Miscellaneous Items</t>
  </si>
  <si>
    <t xml:space="preserve"> 45-040-   -</t>
  </si>
  <si>
    <t>SF Shop Rework</t>
  </si>
  <si>
    <t xml:space="preserve"> 45-300-   -</t>
  </si>
  <si>
    <t>SF Shop Hot Water Piping</t>
  </si>
  <si>
    <t xml:space="preserve"> 45-305-   -</t>
  </si>
  <si>
    <t>SF Shop Chilled Water Pipi</t>
  </si>
  <si>
    <t xml:space="preserve"> 45-310-   -</t>
  </si>
  <si>
    <t>SF Shop Natural Gas/Vent</t>
  </si>
  <si>
    <t xml:space="preserve"> 45-315-   -</t>
  </si>
  <si>
    <t>SF Shop Fuel Oil</t>
  </si>
  <si>
    <t xml:space="preserve"> 45-320-   -</t>
  </si>
  <si>
    <t>SF Shop Steam &amp; Condensate</t>
  </si>
  <si>
    <t xml:space="preserve"> 45-325-   -</t>
  </si>
  <si>
    <t>SF Shop Glycol Piping</t>
  </si>
  <si>
    <t xml:space="preserve"> 45-330-   -</t>
  </si>
  <si>
    <t>SF Shop Refrigeration Piping</t>
  </si>
  <si>
    <t xml:space="preserve"> 45-335-   -</t>
  </si>
  <si>
    <t>SF Shop Chemical Piping</t>
  </si>
  <si>
    <t xml:space="preserve"> 45-350-   -</t>
  </si>
  <si>
    <t>SF Shop Job Material Inv/Clean Up</t>
  </si>
  <si>
    <t xml:space="preserve"> 50-010-   -</t>
  </si>
  <si>
    <t>PL Field Supervision</t>
  </si>
  <si>
    <t xml:space="preserve"> 50-015-   -</t>
  </si>
  <si>
    <t>PL Field Mobilize/Demobilize</t>
  </si>
  <si>
    <t xml:space="preserve"> 50-020-   -</t>
  </si>
  <si>
    <t>PL Field Demolition</t>
  </si>
  <si>
    <t xml:space="preserve"> 50-025-   -</t>
  </si>
  <si>
    <t>PL Field Setting Equipment</t>
  </si>
  <si>
    <t xml:space="preserve"> 50-030-   -</t>
  </si>
  <si>
    <t>PL Field Miscellaneous Items</t>
  </si>
  <si>
    <t xml:space="preserve"> 50-035-   -</t>
  </si>
  <si>
    <t>PL Field Material Handling</t>
  </si>
  <si>
    <t xml:space="preserve"> 50-040-   -</t>
  </si>
  <si>
    <t>PL Field Rework</t>
  </si>
  <si>
    <t xml:space="preserve"> 50-200-   -</t>
  </si>
  <si>
    <t>PL Field Underground Storm</t>
  </si>
  <si>
    <t xml:space="preserve"> 50-201-   -</t>
  </si>
  <si>
    <t>PL Field Above Grade Storm</t>
  </si>
  <si>
    <t xml:space="preserve"> 50-205-   -</t>
  </si>
  <si>
    <t>PL Field Underground Sanitary</t>
  </si>
  <si>
    <t xml:space="preserve"> 50-206-   -</t>
  </si>
  <si>
    <t>PL Field Above Grade Sanitary Waste</t>
  </si>
  <si>
    <t xml:space="preserve"> 50-210-   -</t>
  </si>
  <si>
    <t>PL Field Undgrd Acid Waste &amp; Vent</t>
  </si>
  <si>
    <t xml:space="preserve"> 50-211-   -</t>
  </si>
  <si>
    <t>PL Field Abv Grd Acid Waste &amp; Vent</t>
  </si>
  <si>
    <t xml:space="preserve"> 50-215-   -</t>
  </si>
  <si>
    <t>PL Field Water - Copper Sweat</t>
  </si>
  <si>
    <t xml:space="preserve"> 50-216-   -</t>
  </si>
  <si>
    <t>PL Field Water - Copper Propress</t>
  </si>
  <si>
    <t xml:space="preserve"> 50-217-   -</t>
  </si>
  <si>
    <t>PL Field Water - Grooved/Victaulic</t>
  </si>
  <si>
    <t xml:space="preserve"> 50-218-   -</t>
  </si>
  <si>
    <t>PL Field Water - Pex</t>
  </si>
  <si>
    <t xml:space="preserve"> 50-220-   -</t>
  </si>
  <si>
    <t>PL Field Medical Gas</t>
  </si>
  <si>
    <t xml:space="preserve"> 50-225-   -</t>
  </si>
  <si>
    <t>PL Field Natural Gas</t>
  </si>
  <si>
    <t xml:space="preserve"> 50-230-   -</t>
  </si>
  <si>
    <t>PL Field Compressed Air</t>
  </si>
  <si>
    <t xml:space="preserve"> 50-235-   -</t>
  </si>
  <si>
    <t>PL Field Setting Drains</t>
  </si>
  <si>
    <t xml:space="preserve"> 50-236-   -</t>
  </si>
  <si>
    <t>PL Field Setting Fixtures</t>
  </si>
  <si>
    <t xml:space="preserve"> 50-240-   -</t>
  </si>
  <si>
    <t>PL Field Medical Gas Equipment</t>
  </si>
  <si>
    <t xml:space="preserve"> 50-242-   -</t>
  </si>
  <si>
    <t>PL Field Testing/Cleaning/Flushing</t>
  </si>
  <si>
    <t xml:space="preserve"> 50-244-   -</t>
  </si>
  <si>
    <t>PL Field Pipe &amp; Valve Id</t>
  </si>
  <si>
    <t xml:space="preserve"> 50-246-   -</t>
  </si>
  <si>
    <t>PL Field Coring Holes</t>
  </si>
  <si>
    <t xml:space="preserve"> 55-010-   -</t>
  </si>
  <si>
    <t>PL Shop Supervision</t>
  </si>
  <si>
    <t xml:space="preserve"> 55-015-   -</t>
  </si>
  <si>
    <t>PL Shop Mobilize/Demobilize</t>
  </si>
  <si>
    <t xml:space="preserve"> 55-025-   -</t>
  </si>
  <si>
    <t>PL Shop Setting Equipment</t>
  </si>
  <si>
    <t xml:space="preserve"> 55-030-   -</t>
  </si>
  <si>
    <t>PL Shop Miscellaneous Items</t>
  </si>
  <si>
    <t xml:space="preserve"> 55-040-   -</t>
  </si>
  <si>
    <t>PL Shop Rework</t>
  </si>
  <si>
    <t xml:space="preserve"> 55-200-   -</t>
  </si>
  <si>
    <t>PL Shop Underground Storm</t>
  </si>
  <si>
    <t xml:space="preserve"> 55-201-   -</t>
  </si>
  <si>
    <t>PL Shop Above Grade Storm</t>
  </si>
  <si>
    <t xml:space="preserve"> 55-205-   -</t>
  </si>
  <si>
    <t>PL Shop Underground Sani</t>
  </si>
  <si>
    <t xml:space="preserve"> 55-206-   -</t>
  </si>
  <si>
    <t>PL Shop Above Grade Sanit</t>
  </si>
  <si>
    <t xml:space="preserve"> 55-211-   -</t>
  </si>
  <si>
    <t>PL Shop Above Grade Acid W</t>
  </si>
  <si>
    <t xml:space="preserve"> 55-215-   -</t>
  </si>
  <si>
    <t>PL Shop Water - Copper Sweat</t>
  </si>
  <si>
    <t xml:space="preserve"> 55-216-   -</t>
  </si>
  <si>
    <t>PL Shop Water - Copper Propress</t>
  </si>
  <si>
    <t xml:space="preserve"> 55-217-   -</t>
  </si>
  <si>
    <t>PL Shop Water - Grooved/Victaulic</t>
  </si>
  <si>
    <t xml:space="preserve"> 55-218-   -</t>
  </si>
  <si>
    <t>PL Shop Water - Pex</t>
  </si>
  <si>
    <t xml:space="preserve"> 55-220-   -</t>
  </si>
  <si>
    <t>PL Shop Medical Gas</t>
  </si>
  <si>
    <t xml:space="preserve"> 55-225-   -</t>
  </si>
  <si>
    <t>PL Shop Natural Gas</t>
  </si>
  <si>
    <t xml:space="preserve"> 55-230-   -</t>
  </si>
  <si>
    <t>PL Shop Compressed Air</t>
  </si>
  <si>
    <t xml:space="preserve"> 55-235-   -</t>
  </si>
  <si>
    <t>PL Shop Set Drains</t>
  </si>
  <si>
    <t xml:space="preserve"> 55-236-   -</t>
  </si>
  <si>
    <t>PL Shop Setting Fixtures</t>
  </si>
  <si>
    <t xml:space="preserve"> 55-240-   -</t>
  </si>
  <si>
    <t>PL Shop Med Gas Equipment</t>
  </si>
  <si>
    <t xml:space="preserve"> 55-242-   -</t>
  </si>
  <si>
    <t>PL Shop Testing</t>
  </si>
  <si>
    <t xml:space="preserve"> 55-244-   -</t>
  </si>
  <si>
    <t>PL Shop Pipe &amp; Valve Id</t>
  </si>
  <si>
    <t xml:space="preserve"> 60-030-   -</t>
  </si>
  <si>
    <t>BM Field Miscellaneous Items</t>
  </si>
  <si>
    <t xml:space="preserve"> 70-100-   -</t>
  </si>
  <si>
    <t>General Labor Travel</t>
  </si>
  <si>
    <t xml:space="preserve"> 70-101-   -</t>
  </si>
  <si>
    <t>General Labor Subsistence</t>
  </si>
  <si>
    <t xml:space="preserve"> 70-105-   -</t>
  </si>
  <si>
    <t>General Labor Delivery</t>
  </si>
  <si>
    <t xml:space="preserve"> 70-106-   -</t>
  </si>
  <si>
    <t>General Labor Tool Crib</t>
  </si>
  <si>
    <t xml:space="preserve"> 70-107-   -</t>
  </si>
  <si>
    <t>General Labor Shop Receiving</t>
  </si>
  <si>
    <t xml:space="preserve"> 70-110-   -</t>
  </si>
  <si>
    <t>General Labor Warranty</t>
  </si>
  <si>
    <t xml:space="preserve"> 70-111-   -</t>
  </si>
  <si>
    <t>General Labor Service Work</t>
  </si>
  <si>
    <t xml:space="preserve"> 70-115-   -</t>
  </si>
  <si>
    <t>General Labor Office / Management</t>
  </si>
  <si>
    <t xml:space="preserve"> 70-120-   -</t>
  </si>
  <si>
    <t>General Labor Safety / Orientation</t>
  </si>
  <si>
    <t xml:space="preserve"> 70-122-   -</t>
  </si>
  <si>
    <t>General Labor Quality Control</t>
  </si>
  <si>
    <t xml:space="preserve"> 70-124-   -</t>
  </si>
  <si>
    <t>General Labor Manpower</t>
  </si>
  <si>
    <t xml:space="preserve"> 70-130-   -</t>
  </si>
  <si>
    <t>General Labor Bim / Cad Drafting</t>
  </si>
  <si>
    <t xml:space="preserve"> 70-131-   -</t>
  </si>
  <si>
    <t>General Labor Fabrication Downloads</t>
  </si>
  <si>
    <t xml:space="preserve"> 70-132-   -</t>
  </si>
  <si>
    <t>General Labor Pipe Spooling</t>
  </si>
  <si>
    <t xml:space="preserve"> 70-133-   -</t>
  </si>
  <si>
    <t>General Labor Printing / Copies</t>
  </si>
  <si>
    <t xml:space="preserve"> 70-134-   -</t>
  </si>
  <si>
    <t>General Labor Bim Meetings</t>
  </si>
  <si>
    <t xml:space="preserve"> 70-135-   -</t>
  </si>
  <si>
    <t>General Labor Cad - Change Orders</t>
  </si>
  <si>
    <t xml:space="preserve"> 70-140-   -</t>
  </si>
  <si>
    <t>General Labor Engineering</t>
  </si>
  <si>
    <t>Phase</t>
  </si>
  <si>
    <t>General Labor</t>
  </si>
  <si>
    <t>Units</t>
  </si>
  <si>
    <t>Hours</t>
  </si>
  <si>
    <t>Record Type</t>
  </si>
  <si>
    <t>Contract Item</t>
  </si>
  <si>
    <t>Material &amp; Equipment</t>
  </si>
  <si>
    <t>Sheet Metal Task Description</t>
  </si>
  <si>
    <t>Piping Task Description</t>
  </si>
  <si>
    <t>Demolition</t>
  </si>
  <si>
    <t>3rd Party</t>
  </si>
  <si>
    <t>Allocated Equip Costs</t>
  </si>
  <si>
    <t>Truck Charges</t>
  </si>
  <si>
    <t>Service Equip</t>
  </si>
  <si>
    <t>Misc</t>
  </si>
  <si>
    <t>Tools</t>
  </si>
  <si>
    <t>Safety</t>
  </si>
  <si>
    <t>Telephone</t>
  </si>
  <si>
    <t>Permits</t>
  </si>
  <si>
    <t>Plans</t>
  </si>
  <si>
    <t>State Certifications</t>
  </si>
  <si>
    <t>Bonds</t>
  </si>
  <si>
    <t>Controls</t>
  </si>
  <si>
    <t>Balancing</t>
  </si>
  <si>
    <t>General</t>
  </si>
  <si>
    <t>Excavation</t>
  </si>
  <si>
    <t>Structural</t>
  </si>
  <si>
    <t>Duct Fab</t>
  </si>
  <si>
    <t>Roofing</t>
  </si>
  <si>
    <t>Engineering</t>
  </si>
  <si>
    <t>Duct Cleaning</t>
  </si>
  <si>
    <t>Duct Painting</t>
  </si>
  <si>
    <t>Firestopping</t>
  </si>
  <si>
    <t xml:space="preserve">        </t>
  </si>
  <si>
    <t>Bim / Cad Drafting</t>
  </si>
  <si>
    <t>Bim Meetings</t>
  </si>
  <si>
    <t>Delivery</t>
  </si>
  <si>
    <t>Office / Management</t>
  </si>
  <si>
    <t>Service Work</t>
  </si>
  <si>
    <t>Safety / Orientation</t>
  </si>
  <si>
    <t>MEP Equip.</t>
  </si>
  <si>
    <t>Bid Due Date:</t>
  </si>
  <si>
    <t>Bid Due Time:</t>
  </si>
  <si>
    <t xml:space="preserve">Equip. </t>
  </si>
  <si>
    <t>Colored cells are formulas.  Do not delete them.  White Cells or ones with blue text are manual entry</t>
  </si>
  <si>
    <t xml:space="preserve">Add the task description if you desire, and then pick the code you wish to apply in viewpoint. </t>
  </si>
  <si>
    <t>V.3.17.14</t>
  </si>
  <si>
    <t>Added new sheet for import into viewpoint</t>
  </si>
  <si>
    <t>Added Phase codes sheet (hidden)</t>
  </si>
  <si>
    <t xml:space="preserve">Added column for viewpoint selection of phases on base bid sheet. </t>
  </si>
  <si>
    <t>Correction Factor</t>
  </si>
  <si>
    <t>SPEC</t>
  </si>
  <si>
    <t>Joint</t>
  </si>
  <si>
    <t>TYPE</t>
  </si>
  <si>
    <t xml:space="preserve">Desc. </t>
  </si>
  <si>
    <t>QTY</t>
  </si>
  <si>
    <t>Size1</t>
  </si>
  <si>
    <t>x</t>
  </si>
  <si>
    <t>Size2</t>
  </si>
  <si>
    <t>gal/100ft</t>
  </si>
  <si>
    <t>Orig. Labor</t>
  </si>
  <si>
    <t>Labor Ea</t>
  </si>
  <si>
    <t>Act. Hours</t>
  </si>
  <si>
    <t>Labor Cost</t>
  </si>
  <si>
    <t>Cost/Unit</t>
  </si>
  <si>
    <t xml:space="preserve">Total Vol. </t>
  </si>
  <si>
    <t>Hanger</t>
  </si>
  <si>
    <t>Beam Clamp</t>
  </si>
  <si>
    <t>1/2" Beam Clamp</t>
  </si>
  <si>
    <t>1/2"</t>
  </si>
  <si>
    <t>Nuts</t>
  </si>
  <si>
    <t>1/2" Zinc</t>
  </si>
  <si>
    <t>Trapeze</t>
  </si>
  <si>
    <t>1-5/8 Green Strut</t>
  </si>
  <si>
    <t>Threaded</t>
  </si>
  <si>
    <t>Valve</t>
  </si>
  <si>
    <t xml:space="preserve">150 lb. Thrd. Gate Vlv. </t>
  </si>
  <si>
    <t>1/2</t>
  </si>
  <si>
    <t>Trap. Assembly</t>
  </si>
  <si>
    <t>24" W X 36" H</t>
  </si>
  <si>
    <t>1/2" R</t>
  </si>
  <si>
    <t>Flat Washer</t>
  </si>
  <si>
    <t>3/8" Zinc</t>
  </si>
  <si>
    <t>Welded</t>
  </si>
  <si>
    <t>90 ELL STD BW</t>
  </si>
  <si>
    <t>Pipe</t>
  </si>
  <si>
    <t>Aquatherm</t>
  </si>
  <si>
    <t>Fused</t>
  </si>
  <si>
    <t>Aqthrm Blue 11 Pipe</t>
  </si>
  <si>
    <t>Aqthrm Blue 7.4 Pipe</t>
  </si>
  <si>
    <t>Buttweld</t>
  </si>
  <si>
    <t>Conc. Red</t>
  </si>
  <si>
    <t>Clevis/Black</t>
  </si>
  <si>
    <t>Grooved</t>
  </si>
  <si>
    <t>cs Sch. 80</t>
  </si>
  <si>
    <t>Steam Trap</t>
  </si>
  <si>
    <t>F&amp;T Trap</t>
  </si>
  <si>
    <t>Grooved 90 Ell</t>
  </si>
  <si>
    <t>Sweat</t>
  </si>
  <si>
    <t>Nexus 02Y Vlv Pk</t>
  </si>
  <si>
    <t>1"</t>
  </si>
  <si>
    <t>Nexus Vlv Pk</t>
  </si>
  <si>
    <t>3/4"</t>
  </si>
  <si>
    <t>Nipple</t>
  </si>
  <si>
    <t xml:space="preserve">Nipple XH </t>
  </si>
  <si>
    <t>Flanged</t>
  </si>
  <si>
    <t>RF SO</t>
  </si>
  <si>
    <t>Sch 40 A53 BW Pipe</t>
  </si>
  <si>
    <t>TEE</t>
  </si>
  <si>
    <t>Sch 40 BW Tee</t>
  </si>
  <si>
    <t>Aquatherm Blue 45 Ell</t>
  </si>
  <si>
    <t>Aquatherm Blue 90 Ell</t>
  </si>
  <si>
    <t>Valves</t>
  </si>
  <si>
    <t>Aquatherm Blue 90 TEE</t>
  </si>
  <si>
    <t>Aquatherm Blue Flange</t>
  </si>
  <si>
    <t>Thrd SCH 40</t>
  </si>
  <si>
    <t>UNION</t>
  </si>
  <si>
    <t>Thrd SCH 80</t>
  </si>
  <si>
    <t xml:space="preserve">Threaded  </t>
  </si>
  <si>
    <t xml:space="preserve">Thrd. Gate Vlv. </t>
  </si>
  <si>
    <t>T.O.L.</t>
  </si>
  <si>
    <t>Thrd-O-Let</t>
  </si>
  <si>
    <t>3/4</t>
  </si>
  <si>
    <t>T.O.L</t>
  </si>
  <si>
    <t>Pex</t>
  </si>
  <si>
    <t>Uponor HePex</t>
  </si>
  <si>
    <t>Coupling</t>
  </si>
  <si>
    <t>Threaded Rod</t>
  </si>
  <si>
    <t>Zinc Plated</t>
  </si>
  <si>
    <t xml:space="preserve">Misc. </t>
  </si>
  <si>
    <t>Roof Curb</t>
  </si>
  <si>
    <t>Wall Sleeve</t>
  </si>
  <si>
    <t>LF FP Brass Pex Ball Valve</t>
  </si>
  <si>
    <t xml:space="preserve">Pex </t>
  </si>
  <si>
    <t xml:space="preserve">Pex  </t>
  </si>
  <si>
    <t>Rings - 100 count</t>
  </si>
  <si>
    <t>Pex x M ADPT</t>
  </si>
  <si>
    <t>Flange</t>
  </si>
  <si>
    <t>150 Lb RF SO Flange</t>
  </si>
  <si>
    <t>Union - Threaded 300 LB</t>
  </si>
  <si>
    <t>90 ELL Thrd 300 LB</t>
  </si>
  <si>
    <t>Quoted (Yellow)</t>
  </si>
  <si>
    <t xml:space="preserve">System Desc. </t>
  </si>
  <si>
    <t xml:space="preserve">Threaded </t>
  </si>
  <si>
    <t>Strainer 150 LB Threaded</t>
  </si>
  <si>
    <t>Check Valve</t>
  </si>
  <si>
    <t>Check Valve - Thrd Swing 300 LB</t>
  </si>
  <si>
    <t>150 Lb Flg Gate Valve</t>
  </si>
  <si>
    <t>Cap</t>
  </si>
  <si>
    <t>Sch 40 Weld Cap</t>
  </si>
  <si>
    <t>Installed Budget Cost</t>
  </si>
  <si>
    <t>Heating Hot Water per code</t>
  </si>
  <si>
    <t>Pipe/LF</t>
  </si>
  <si>
    <t>LF</t>
  </si>
  <si>
    <t>90 Elbow/EA</t>
  </si>
  <si>
    <t>Valve/Ea</t>
  </si>
  <si>
    <t>R-6 is code</t>
  </si>
  <si>
    <t>Fittings</t>
  </si>
  <si>
    <t>Est. SF</t>
  </si>
  <si>
    <t>total Cost</t>
  </si>
  <si>
    <t>total cost</t>
  </si>
  <si>
    <t>Total Piping Cost</t>
  </si>
  <si>
    <t>Total Ductwork Cost</t>
  </si>
  <si>
    <t>Aqthrm Green 7.4</t>
  </si>
  <si>
    <t>Fusion x Female Thrd outlet</t>
  </si>
  <si>
    <t>Outlet</t>
  </si>
  <si>
    <t>Fusion x Pex Outlet</t>
  </si>
  <si>
    <t>Piping Items</t>
  </si>
  <si>
    <t>Sheet Metal Items</t>
  </si>
  <si>
    <t>Badger</t>
  </si>
  <si>
    <t>Otherm</t>
  </si>
  <si>
    <t>Balco</t>
  </si>
  <si>
    <t xml:space="preserve">Start by adding crew selections to rate calculator on the Rate Inputs sheet.  This will transfer to the main bid form. </t>
  </si>
  <si>
    <t xml:space="preserve">******  SMALL PROJECTS BID FORM   ******          </t>
  </si>
  <si>
    <t>Copper</t>
  </si>
  <si>
    <t>Type L Copper</t>
  </si>
  <si>
    <t>Brazed</t>
  </si>
  <si>
    <t>Type K Copper</t>
  </si>
  <si>
    <t>Copper Clevis Hanger</t>
  </si>
  <si>
    <t>Union</t>
  </si>
  <si>
    <t>Copper Union</t>
  </si>
  <si>
    <t>Plumbing Task Description</t>
  </si>
  <si>
    <t>Piping Rate</t>
  </si>
  <si>
    <t>Plumbing Rate</t>
  </si>
  <si>
    <t>Plumbing Items</t>
  </si>
  <si>
    <t>First Supply</t>
  </si>
  <si>
    <t>Midstate</t>
  </si>
  <si>
    <t>Able</t>
  </si>
  <si>
    <t>Base Bid</t>
  </si>
  <si>
    <t>Consumables</t>
  </si>
  <si>
    <t>Aquatherm Blue Coupling</t>
  </si>
  <si>
    <t>Aquatherm Blue 11 Pipe - 325' Coil</t>
  </si>
  <si>
    <t>Propress</t>
  </si>
  <si>
    <t>Propress 90 Ell</t>
  </si>
  <si>
    <t>Propress 45 Ell</t>
  </si>
  <si>
    <t>Propress Coupling - Viega</t>
  </si>
  <si>
    <t>Propress Tee - Viega</t>
  </si>
  <si>
    <t>Propress Union - Viega</t>
  </si>
  <si>
    <t>Propress Flange - Viega</t>
  </si>
  <si>
    <t>n/a</t>
  </si>
  <si>
    <t>200# Milwaukee Propress Valve</t>
  </si>
  <si>
    <t>M. Adapter</t>
  </si>
  <si>
    <t>Propress x MPT Adapter - Viega</t>
  </si>
  <si>
    <t>90 Copper Elbow</t>
  </si>
  <si>
    <t>System Name Here</t>
  </si>
  <si>
    <t>Ductwrap</t>
  </si>
  <si>
    <t>Insulation Budget Numbers</t>
  </si>
  <si>
    <t>CONTRACT TERMS AND CONDITIONS</t>
  </si>
  <si>
    <t>Exclusions:</t>
  </si>
  <si>
    <t xml:space="preserve">This proposal reflects material pricing as of this date and is valid for 30 days. </t>
  </si>
  <si>
    <t>Our standard payment terms are net 30 days.  Interest will be charged on past due accounts at 1.5% per month.</t>
  </si>
  <si>
    <t>Acceptance of any proposal will be based upon receipt of a signed copy of this proposal or a written purchase order.  All purchases are subject to Tweet/Garot Contract Terms and Conditions (see attached).  Work will not commence prior to receipt of written authorization as stated above.</t>
  </si>
  <si>
    <t>Projects may be progress billed.  Any applicable tax is included in this proposal.  If this project is tax-exempt, an exemption certificate must be submitted with your purchase order.</t>
  </si>
  <si>
    <t>Thank you for the opportunity to submit this proposal.  Please call (920) 498-7675 or e-mail kipp.sturdivant@tweetgarot.com with any questions.</t>
  </si>
  <si>
    <t>Sincerely,</t>
  </si>
  <si>
    <t>Tweet/Garot Mechanical, Inc. – Green Bay</t>
  </si>
  <si>
    <t>Kipp Sturdivant</t>
  </si>
  <si>
    <t>Service Project Manager/Business Development</t>
  </si>
  <si>
    <t>Acceptance of Proposal:</t>
  </si>
  <si>
    <t>By: ____________________________________________ Date: _________P.O. No. ___________</t>
  </si>
  <si>
    <t>Corporate Office:</t>
  </si>
  <si>
    <t>2545 Larsen Road</t>
  </si>
  <si>
    <t>P. O. Box 11767</t>
  </si>
  <si>
    <t>Green Bay, WI 54307-1767</t>
  </si>
  <si>
    <t>(920) 498-0400</t>
  </si>
  <si>
    <t>Fax: (920) 498-8136</t>
  </si>
  <si>
    <t>Regional Office:</t>
  </si>
  <si>
    <t>2810 Jefferson Street</t>
  </si>
  <si>
    <t>Wisconsin Rapids, WI 54495</t>
  </si>
  <si>
    <t>(715) 421-0400</t>
  </si>
  <si>
    <t>Fax: (715) 421-5442</t>
  </si>
  <si>
    <t>www.tweetgarot.com</t>
  </si>
  <si>
    <t xml:space="preserve">Description of Work: </t>
  </si>
  <si>
    <t>• Permits and fees</t>
  </si>
  <si>
    <t>• Asbestos Removal</t>
  </si>
  <si>
    <t>• Overtime and/or Premium labor</t>
  </si>
  <si>
    <t>• Minority Requirements</t>
  </si>
  <si>
    <t>• State Approved Plans/Drawings</t>
  </si>
  <si>
    <t>• Cad/Drafting Services</t>
  </si>
  <si>
    <t>• Disconnects or Starters for equipment</t>
  </si>
  <si>
    <t>• Line Voltage Wiring</t>
  </si>
  <si>
    <t>• Low Voltage Wiring</t>
  </si>
  <si>
    <t>• Dumpster Services</t>
  </si>
  <si>
    <t xml:space="preserve">Contract Type: </t>
  </si>
  <si>
    <t>Lump Sum</t>
  </si>
  <si>
    <t xml:space="preserve">Time &amp; Material </t>
  </si>
  <si>
    <t xml:space="preserve">Estimated Cost: </t>
  </si>
  <si>
    <t>T&amp;M Not to Exceed</t>
  </si>
  <si>
    <t xml:space="preserve">Project: </t>
  </si>
  <si>
    <r>
      <t xml:space="preserve">The following items are excluded from our proposal </t>
    </r>
    <r>
      <rPr>
        <b/>
        <u/>
        <sz val="10"/>
        <rFont val="Calibri"/>
        <family val="2"/>
      </rPr>
      <t>unless otherwise noted in scope above</t>
    </r>
    <r>
      <rPr>
        <sz val="10"/>
        <rFont val="Calibri"/>
        <family val="2"/>
      </rPr>
      <t xml:space="preserve">, </t>
    </r>
  </si>
  <si>
    <t>Subcontracts:</t>
  </si>
  <si>
    <t>Labor:</t>
  </si>
  <si>
    <t>Materials:</t>
  </si>
  <si>
    <t>Total Cost:</t>
  </si>
  <si>
    <r>
      <t>Thank you for your interest in Tweet/Garot Mechanical, Inc. and allowing us to provide the following</t>
    </r>
    <r>
      <rPr>
        <sz val="10"/>
        <rFont val="Calibri"/>
        <family val="2"/>
      </rPr>
      <t xml:space="preserve"> pricing for the above noted project.  </t>
    </r>
  </si>
  <si>
    <t>1.      Asbestos and Hazardous Materials.  Unless specified in the scope of services, the disturbance, removal or abatement of asbestos or other hazardous materials is not provided for by the terms and conditions of this Contract and in the event that asbestos or other hazardous material is encountered and/or needs to be disturbed in order to complete this project, it will be treated as “extra Work” under Paragraph 11 of this Contract.  Tweet/Garot Mechanical, Inc. may require Owner to be responsible for the removal or abatement of asbestos or any other hazardous materials found on the job site before proceeding.</t>
  </si>
  <si>
    <r>
      <t>2.</t>
    </r>
    <r>
      <rPr>
        <b/>
        <sz val="8"/>
        <color rgb="FF000000"/>
        <rFont val="Times New Roman"/>
        <family val="1"/>
      </rPr>
      <t xml:space="preserve">      </t>
    </r>
    <r>
      <rPr>
        <b/>
        <sz val="8"/>
        <color theme="1"/>
        <rFont val="Calibri"/>
        <family val="2"/>
      </rPr>
      <t>Arbitration/Dispute Resolution</t>
    </r>
    <r>
      <rPr>
        <sz val="8"/>
        <color theme="1"/>
        <rFont val="Calibri"/>
        <family val="2"/>
      </rPr>
      <t xml:space="preserve">.  </t>
    </r>
    <r>
      <rPr>
        <sz val="8"/>
        <color rgb="FF000000"/>
        <rFont val="Calibri"/>
        <family val="2"/>
      </rPr>
      <t xml:space="preserve"> If a dispute arises out of or relates to this Contract, or the breach thereof, and if said dispute cannot be settled through informal negotiations, either party may escalate the issue to appropriate senior executive management of the parties, with final resolution targeted within fourteen (14) days of such escalation to senior executive management.  </t>
    </r>
    <r>
      <rPr>
        <sz val="8"/>
        <color theme="1"/>
        <rFont val="Calibri"/>
        <family val="2"/>
      </rPr>
      <t xml:space="preserve">In all cases, the parties agree to use good faith efforts to achieve resolution in a timely manner.  If a resolution cannot be reached during the foregoing dispute resolution process, either party may commence litigation seeking the appropriate remedies and relief.  Tweet/Garot and Owner </t>
    </r>
    <r>
      <rPr>
        <sz val="8"/>
        <color rgb="FF000000"/>
        <rFont val="Calibri"/>
        <family val="2"/>
      </rPr>
      <t>agree that the federal and state courts located in Brown County, Wisconsin shall have exclusive jurisdiction over any and all disputes arising under or out of this Contract, or any document or instrument executed pursuant hereto or in connection herewith; and each further expressly submits to and agrees not to contest any such court’s exclusive jurisdiction over such matters.</t>
    </r>
  </si>
  <si>
    <r>
      <t>3.</t>
    </r>
    <r>
      <rPr>
        <b/>
        <sz val="8"/>
        <color theme="1"/>
        <rFont val="Times New Roman"/>
        <family val="1"/>
      </rPr>
      <t xml:space="preserve">      </t>
    </r>
    <r>
      <rPr>
        <b/>
        <sz val="8"/>
        <color theme="1"/>
        <rFont val="Calibri"/>
        <family val="2"/>
      </rPr>
      <t xml:space="preserve">Limitation on Damages.  </t>
    </r>
    <r>
      <rPr>
        <sz val="8"/>
        <color theme="1"/>
        <rFont val="Calibri"/>
        <family val="2"/>
      </rPr>
      <t xml:space="preserve">TWEET/GAROT MECHANICAL, INC. WILL HAVE NO LIABILITY TO OWNER OR ANY OTHER PERSON FOR LOSS OF PROFITS OR INCIDENTAL OR CONSEQUENTIAL DAMAGES, WHETHER ARISING OUT OF BREACH OF WARRANTY OR BREACH OF ANY OTHER PROVISION IN THIS CONTRACT, NEGLIGENCE OR OTHER SORT, OR OTHERWISE, EVEN IF TWEET/GAROT MECHANICAL, INC. HAS BEEN ADVISED OF THE POSSIBILITY OR LIKELIHOOD OF POTENTIAL LOSS OR DAMAGE.  IN ADDITION, ANY DAMAGES FOR WHICH TWEET/GAROT MECHANICAL, INC. MAY BE LIABLE TO OWNER SHALL NOT, IN ANY EVENT, EXCEED THE TOTAL PRICE OF THE SERVICES PROVIDED BY TWEET/GAROT MECHANICAL, INC.  </t>
    </r>
  </si>
  <si>
    <r>
      <t>4.</t>
    </r>
    <r>
      <rPr>
        <b/>
        <sz val="8"/>
        <color theme="1"/>
        <rFont val="Times New Roman"/>
        <family val="1"/>
      </rPr>
      <t xml:space="preserve">      </t>
    </r>
    <r>
      <rPr>
        <b/>
        <sz val="8"/>
        <color theme="1"/>
        <rFont val="Calibri"/>
        <family val="2"/>
      </rPr>
      <t xml:space="preserve">Reservation of Rights of Dispute.  </t>
    </r>
    <r>
      <rPr>
        <sz val="8"/>
        <color theme="1"/>
        <rFont val="Calibri"/>
        <family val="2"/>
      </rPr>
      <t>In the event that Tweet/Garot Mechanical, Inc. is required, or deems it appropriate, to proceed with and complete any Work which is the subject of a dispute between the Owner and Tweet/Garot Mechanical, Inc. as to whether such Work should be classified as a “change” or as an “extra”, Tweet/Garot Mechanical, Inc. may, if it deems it appropriate, but is not required to, proceed with such Work, and therefore or contemporaneously, begin arbitration in accordance with the Construction Industry Rules of the American Arbitration Association, to determine whether such Work is in fact a “change” or an “extra” without waiving any said rights, as well as determining the effect of the extra Work.</t>
    </r>
  </si>
  <si>
    <r>
      <t>5.</t>
    </r>
    <r>
      <rPr>
        <b/>
        <sz val="8"/>
        <color theme="1"/>
        <rFont val="Times New Roman"/>
        <family val="1"/>
      </rPr>
      <t xml:space="preserve">      </t>
    </r>
    <r>
      <rPr>
        <b/>
        <sz val="8"/>
        <color theme="1"/>
        <rFont val="Calibri"/>
        <family val="2"/>
      </rPr>
      <t>Attorney Fees</t>
    </r>
    <r>
      <rPr>
        <sz val="8"/>
        <color theme="1"/>
        <rFont val="Calibri"/>
        <family val="2"/>
      </rPr>
      <t>.  In the event legal action or arbitration is instituted for the enforcement of any term or condition of this Contract, the prevailing party shall be entitled to an award of reasonable attorney’s fees in said action or arbitration, in addition to the costs and reasonable expenses incurred in the prosecution or defense of said action or arbitration.</t>
    </r>
  </si>
  <si>
    <r>
      <t>6.</t>
    </r>
    <r>
      <rPr>
        <b/>
        <sz val="8"/>
        <color theme="1"/>
        <rFont val="Times New Roman"/>
        <family val="1"/>
      </rPr>
      <t xml:space="preserve">      </t>
    </r>
    <r>
      <rPr>
        <b/>
        <sz val="8"/>
        <color theme="1"/>
        <rFont val="Calibri"/>
        <family val="2"/>
      </rPr>
      <t>Removal of Debris</t>
    </r>
    <r>
      <rPr>
        <sz val="8"/>
        <color theme="1"/>
        <rFont val="Calibri"/>
        <family val="2"/>
      </rPr>
      <t>.  Upon completion of Work, Tweet/Garot Mechanical, Inc. agrees to remove all of its own debris and surplus materials from Owner’s property and leave the property in a neat and clean condition.  Tweet/Garot Mechanical, Inc. will not be responsible for any charges for any pro-rated proportion of general clean-up of the premises, nor will it be responsible for the disposal of central scrap piles.</t>
    </r>
  </si>
  <si>
    <r>
      <t>7.</t>
    </r>
    <r>
      <rPr>
        <b/>
        <sz val="8"/>
        <color theme="1"/>
        <rFont val="Times New Roman"/>
        <family val="1"/>
      </rPr>
      <t xml:space="preserve">      </t>
    </r>
    <r>
      <rPr>
        <b/>
        <sz val="8"/>
        <color theme="1"/>
        <rFont val="Calibri"/>
        <family val="2"/>
      </rPr>
      <t>Failure to Make Payments</t>
    </r>
    <r>
      <rPr>
        <sz val="8"/>
        <color theme="1"/>
        <rFont val="Calibri"/>
        <family val="2"/>
      </rPr>
      <t>.  If the Owner fails to make the scheduled progress payments as defined in “Schedule of Payments,” Tweet/Garot Mechanical, Inc. has the absolute right to cease the performance of any further Work until such time as payment is made.  If said payment is more than ten (10) working days late, Tweet/Garot Mechanical, Inc. may treat said lateness as a material breach of this Contract and justifiably refuse to complete the balance of this Contract.  Tweet/Garot Mechanical, Inc. may then institute arbitration proceedings as described herein for any and all damages incurred including but not limited to lost profits.</t>
    </r>
  </si>
  <si>
    <r>
      <t>8.</t>
    </r>
    <r>
      <rPr>
        <b/>
        <sz val="8"/>
        <color theme="1"/>
        <rFont val="Times New Roman"/>
        <family val="1"/>
      </rPr>
      <t xml:space="preserve">      </t>
    </r>
    <r>
      <rPr>
        <b/>
        <sz val="8"/>
        <color theme="1"/>
        <rFont val="Calibri"/>
        <family val="2"/>
      </rPr>
      <t xml:space="preserve">Items Not the Responsibility of Tweet/Garot Mechanical, Inc.  </t>
    </r>
    <r>
      <rPr>
        <sz val="8"/>
        <color theme="1"/>
        <rFont val="Calibri"/>
        <family val="2"/>
      </rPr>
      <t>Unless specifically included in the Scope of Services, Tweet/Garot Mechanical, Inc. shall not be held responsible for any violations of applicable building regulations or ordinances, whether cited by the appropriate authority or not.  Tweet/Garot Mechanical, Inc. is not responsible for any abnormal or unusual pre-existing conditions.</t>
    </r>
  </si>
  <si>
    <r>
      <t>9.</t>
    </r>
    <r>
      <rPr>
        <b/>
        <sz val="8"/>
        <color theme="1"/>
        <rFont val="Times New Roman"/>
        <family val="1"/>
      </rPr>
      <t xml:space="preserve">      </t>
    </r>
    <r>
      <rPr>
        <b/>
        <sz val="8"/>
        <color theme="1"/>
        <rFont val="Calibri"/>
        <family val="2"/>
      </rPr>
      <t>Excusable Delays</t>
    </r>
    <r>
      <rPr>
        <sz val="8"/>
        <color theme="1"/>
        <rFont val="Calibri"/>
        <family val="2"/>
      </rPr>
      <t>.  If Tweet/Garot Mechanical, Inc. is delayed in the performance of the Work by conditions that could not be reasonably foreseen by Tweet/Garot Mechanical, Inc. or are out of the reasonable control of Tweet/Garot Mechanical, Inc., which include, but are not limited to actions taken by Owner, acts of God; fire; explosions or other casualty losses; terrorist acts; strikes, boycotts or other labor disputes; lockouts; hazardous material disturbance, abatement or removal; or acts of governmental bodies, then Owner shall grant Tweet/Garot Mechanical, Inc., a reasonable extension of time.  If additional Work or costs are required of, or incurred by Tweet/Garot Mechanical, Inc. as a result of the delay, then Tweet/Garot Mechanical, Inc. shall be entitled to compensation as called for in Paragraph 11.</t>
    </r>
  </si>
  <si>
    <r>
      <t>10.  Safety and OSHA Requirements</t>
    </r>
    <r>
      <rPr>
        <sz val="8"/>
        <color theme="1"/>
        <rFont val="Calibri"/>
        <family val="2"/>
      </rPr>
      <t>.  Tweet/Garot Mechanical, Inc. agrees to comply with all local, state and national laws, including without limitation, the provisions of the Accident and Safety Health Act of 1970 and the Construction Safety Act of 1969.  Tweet/Garot Mechanical, Inc. is not responsible for any liability caused by the Owner’s noncompliance or any noncompliance of Owner’s employees, agents, representatives or contractors.  Owner shall be responsible to provide to Tweet/Garot Mechanical, Inc. personnel all pertinent Material Safety Data Sheets (MSDS) or OSHA’s Hazard Communication Regulations.</t>
    </r>
  </si>
  <si>
    <r>
      <t>11.  Extra Work</t>
    </r>
    <r>
      <rPr>
        <sz val="8"/>
        <color theme="1"/>
        <rFont val="Calibri"/>
        <family val="2"/>
      </rPr>
      <t>.  Tweet/Garot Mechanical, Inc. shall provide the labor and materials specified in the Scope of Services.  Additional Work not specified in the Contract will be provided only upon written authorization of Owner.  However, in the event that the parties cannot agree on the sum necessary to compensate Tweet/Garot Mechanical, Inc. for the extra Work, then Tweet/Garot Mechanical, Inc. shall be paid its actual costs for the additional labor and materials as well as its normal overhead and profit.  In the event that an emergency exists, then Tweet/Garot Mechanical, Inc. may proceed upon the verbal authorization of Owner or Owner’s job superintendent and request written confirmation of the verbal authorization within 72 hours, which confirmation shall not be unreasonably refused.</t>
    </r>
  </si>
  <si>
    <r>
      <t>12.  Protection of Work.</t>
    </r>
    <r>
      <rPr>
        <sz val="8"/>
        <color theme="1"/>
        <rFont val="Calibri"/>
        <family val="2"/>
      </rPr>
      <t xml:space="preserve">  To the extent noted herein, Tweet/Garot Mechanical, Inc. will protect its own Work until completion and acceptance of the Work.  To allow Tweet/Garot Mechanical, Inc. to protect the Work, Owner shall provide Tweet/Garot Mechanical, Inc. adequate storage space and security on the construction site.  Once Tweet/Garot Mechanical, Inc.’s Work is completed, then the Owner shall be responsible for the protection of the Work, as well as the entire project.  If Tweet/Garot Mechanical, Inc.’s Work is damaged or destroyed as a result of actions beyond the reasonable control of Tweet/Garot Mechanical, Inc. or through the negligence of persons other than Tweet/Garot Mechanical, Inc., then Tweet/Garot Mechanical, Inc. shall repair and replace said damage or destroyed Work but will do so only upon being compensated for same.  Compensation shall be treated as extra Work and the compensation shall be determined as provided in Paragraph 11.</t>
    </r>
  </si>
  <si>
    <r>
      <t>13.  Concealed Conditions</t>
    </r>
    <r>
      <rPr>
        <sz val="8"/>
        <color theme="1"/>
        <rFont val="Calibri"/>
        <family val="2"/>
      </rPr>
      <t>.  In the event that Tweet/Garot Mechanical, Inc. encounters rock, groundwater, underground construction utilities or other conditions unknown to Tweet/Garot Mechanical, Inc. and not reasonably foreseeable by Tweet/Garot Mechanical, Inc., then Tweet/Garot Mechanical, Inc. shall immediately stop Work and call Owner’s attention to such concealed conditions in writing.  The Contract terms will be equitably adjusted in writing.</t>
    </r>
  </si>
  <si>
    <r>
      <t>14.  Insurance</t>
    </r>
    <r>
      <rPr>
        <sz val="8"/>
        <color theme="1"/>
        <rFont val="Calibri"/>
        <family val="2"/>
      </rPr>
      <t>.  Tweet/Garot Mechanical, Inc. will carry worker’s compensation insurance to protect Tweet/Garot Mechanical, Inc.’s employees during the progress of the Work.  The Owner shall obtain and pay for insurance for injury to its own employees and persons not under the control of Tweet/Garot Mechanical, Inc.</t>
    </r>
  </si>
  <si>
    <r>
      <t>15.  Indemnification</t>
    </r>
    <r>
      <rPr>
        <sz val="8"/>
        <color theme="1"/>
        <rFont val="Calibri"/>
        <family val="2"/>
      </rPr>
      <t>.  The Owner shall indemnify and hold harmless Tweet/Garot Mechanical, Inc. from and against any and all claims arising from Owner’s use of the job site, or from the conduct of the Owner’s business or from any activity, work or things done, permitted or suffered by Owner or others in or about the job site or elsewhere, and shall further indemnify and hold harmless Tweet/Garot Mechanical, Inc. from and against any and all claims arising from any breach or default in the performance of any obligations on the Owner’s part to be performed under the terms of the Contract, or arising from any negligence of the Owner or any of the Owner’s agents or employees, and from and against all costs, attorneys’ fees, expenses and liabilities incurred in the defense of any such claims or any action or proceeding brought therein; and in case any action or proceeding be brought against Tweet/Garot Mechanical, Inc. by reason of any such claim.  The Owner, upon notice from Tweet/Garot Mechanical, Inc., shall defend same at the Owner’s expense by counsel satisfactory to Tweet/Garot Mechanical, Inc.</t>
    </r>
  </si>
  <si>
    <r>
      <t xml:space="preserve">16.  Severability.  </t>
    </r>
    <r>
      <rPr>
        <sz val="8"/>
        <color theme="1"/>
        <rFont val="Calibri"/>
        <family val="2"/>
      </rPr>
      <t>The terms and conditions of this Contract are severable.  The unenforceability, illegality of invalidity or any provision in this Contract will not affect the enforceability, legality or validity of any other provision of this Contract.  Each other provision will remain enforceable.</t>
    </r>
  </si>
  <si>
    <r>
      <t>17.  Entire Agreement.</t>
    </r>
    <r>
      <rPr>
        <sz val="8"/>
        <color theme="1"/>
        <rFont val="Calibri"/>
        <family val="2"/>
      </rPr>
      <t xml:space="preserve">  These terms and conditions and the terms set forth in Tweet/Garot, Mechanical, Inc.’s Proposal to Owner are the entire agreement of the parties, supersede any prior agreements relating to the subject matter, and may not be amended or supplemented other than by a written agreement signed by each of the parties.  Conflicting, different or additional terms or conditions in any purchase order or other document proposed or rendered by OWNER will not apply and TWEET/GAROT MECHANICAL, INC. specifically objectS to such conflicting, different or additional terms.</t>
    </r>
  </si>
  <si>
    <t>Contract Types</t>
  </si>
  <si>
    <t>Tax Types</t>
  </si>
  <si>
    <t>Material Tax Included</t>
  </si>
  <si>
    <t>Material and Labor Tax Included</t>
  </si>
  <si>
    <t>CC</t>
  </si>
  <si>
    <t>C2</t>
  </si>
  <si>
    <t>Composite Overtime</t>
  </si>
  <si>
    <t>Composite Double Time</t>
  </si>
  <si>
    <t>Contract Items</t>
  </si>
  <si>
    <t>Overhead</t>
  </si>
  <si>
    <t>General Conditiona</t>
  </si>
  <si>
    <t>• Replace existing (3) belimo Valves with 24 V actuators</t>
  </si>
  <si>
    <t>• Proved (3) Weatherproof covers</t>
  </si>
  <si>
    <t>• Extend low voltage wiring as required for operation</t>
  </si>
  <si>
    <t>1-1/2 Rates</t>
  </si>
  <si>
    <t>Straigth Time Rates</t>
  </si>
  <si>
    <t>Double Time Rates</t>
  </si>
  <si>
    <t>Night Shift Rates</t>
  </si>
  <si>
    <t>Composite Night Shift</t>
  </si>
  <si>
    <t>S</t>
  </si>
  <si>
    <t>GF</t>
  </si>
  <si>
    <t>F</t>
  </si>
  <si>
    <t>J</t>
  </si>
  <si>
    <t>5A</t>
  </si>
  <si>
    <t>4A</t>
  </si>
  <si>
    <t>3A</t>
  </si>
  <si>
    <t>2A</t>
  </si>
  <si>
    <t>1A</t>
  </si>
  <si>
    <t>PA</t>
  </si>
  <si>
    <t>C1.5</t>
  </si>
  <si>
    <t>CNS</t>
  </si>
  <si>
    <t>Sheet Metal</t>
  </si>
  <si>
    <t>Pipefitters</t>
  </si>
  <si>
    <t>Plumbers</t>
  </si>
  <si>
    <t>V.3.17.15</t>
  </si>
  <si>
    <t>Revised Rate Sheet to allow calculate time and 1/2, double time, and night shift</t>
  </si>
  <si>
    <t>Removed taxes from Rentals</t>
  </si>
  <si>
    <t>V.1.20.15</t>
  </si>
  <si>
    <t>Added craft codes for assigning different rate codes to spedific tasks</t>
  </si>
  <si>
    <t xml:space="preserve">Creating a new task will automatically formulate a new phase code.  The task code and description will both import into VP.  </t>
  </si>
  <si>
    <t>Office/Overhead</t>
  </si>
  <si>
    <t>Len Martin</t>
  </si>
  <si>
    <t>Schneider National</t>
  </si>
  <si>
    <t>Name</t>
  </si>
  <si>
    <t>Address</t>
  </si>
  <si>
    <t xml:space="preserve">Company </t>
  </si>
  <si>
    <t>City, State, Zip</t>
  </si>
  <si>
    <t xml:space="preserve">3101 S. Packerland Dr. </t>
  </si>
  <si>
    <t>Green Bay, WI 54313</t>
  </si>
  <si>
    <t>Brett Christopherson</t>
  </si>
  <si>
    <t xml:space="preserve">Pierce Mfg. </t>
  </si>
  <si>
    <t>2600 American Dr.</t>
  </si>
  <si>
    <t>Appleton, WI 54914</t>
  </si>
  <si>
    <t>Service Technician</t>
  </si>
  <si>
    <t>SV</t>
  </si>
  <si>
    <t>Jonah Grahn</t>
  </si>
  <si>
    <t>Size NPS</t>
  </si>
  <si>
    <t>Pipe O.D.</t>
  </si>
  <si>
    <t>Wall Thickness</t>
  </si>
  <si>
    <t>Pipe I.D.</t>
  </si>
  <si>
    <t>Weight per Foot</t>
  </si>
  <si>
    <t>Standard to XXHY</t>
  </si>
  <si>
    <t>Schedule </t>
  </si>
  <si>
    <t>Section Modulus</t>
  </si>
  <si>
    <t>Gallon Capacity Per Linear Foot</t>
  </si>
  <si>
    <t>STD</t>
  </si>
  <si>
    <t>XHY</t>
  </si>
  <si>
    <t>XXHY</t>
  </si>
  <si>
    <t>STD.</t>
  </si>
  <si>
    <t>XXXHY</t>
  </si>
  <si>
    <t>2..728</t>
  </si>
  <si>
    <t>14O</t>
  </si>
  <si>
    <t xml:space="preserve">Fluid Wt. </t>
  </si>
  <si>
    <t xml:space="preserve">Pipe Wt. </t>
  </si>
  <si>
    <t xml:space="preserve">total Wt. </t>
  </si>
  <si>
    <t>MCA</t>
  </si>
  <si>
    <t>Price</t>
  </si>
  <si>
    <t>Grooved 45 Elbow</t>
  </si>
  <si>
    <t>Grooved 90 Elbow</t>
  </si>
  <si>
    <t>Grooved Concentric Reducer</t>
  </si>
  <si>
    <t>VIC 107H Grv. Coupling</t>
  </si>
  <si>
    <t>Vic 741 Grooved Flange</t>
  </si>
  <si>
    <t>SS Sch 5 304 Grooved Pipe</t>
  </si>
  <si>
    <t>CS Sch. 40</t>
  </si>
  <si>
    <t>SS Sch 5</t>
  </si>
  <si>
    <t>CS A53 Sch. 40 ERW Grooved Pipe</t>
  </si>
  <si>
    <t>CS A53 Sch. 40 ERW Bev. End  Pipe</t>
  </si>
  <si>
    <t>CS A53 Sch. 40 Thrd Pipe</t>
  </si>
  <si>
    <t>SS Sch 10</t>
  </si>
  <si>
    <t>SS Grooved Tee Sch 10 304L</t>
  </si>
  <si>
    <t xml:space="preserve">150 Lb. </t>
  </si>
  <si>
    <t>150 Lb. Lug BF Valve</t>
  </si>
  <si>
    <t>Price Date</t>
  </si>
  <si>
    <t>Clevis/Epoxy Coated</t>
  </si>
  <si>
    <t>Vic Tour Anderson Grooved Balancing Vlv</t>
  </si>
  <si>
    <t>Vic Grooved Check Valve</t>
  </si>
  <si>
    <t>Budget estimates for HVAC Work</t>
  </si>
  <si>
    <t>Apartments and condominiums</t>
  </si>
  <si>
    <t>Auditoriums</t>
  </si>
  <si>
    <t>Banks</t>
  </si>
  <si>
    <t>Barber shops</t>
  </si>
  <si>
    <t>Beauty shops</t>
  </si>
  <si>
    <t>Bowling alleys</t>
  </si>
  <si>
    <t>Churches</t>
  </si>
  <si>
    <t>Classrooms</t>
  </si>
  <si>
    <t>Cocktail lounges</t>
  </si>
  <si>
    <t>Computer rooms</t>
  </si>
  <si>
    <t>Department stores</t>
  </si>
  <si>
    <t>Laboratories</t>
  </si>
  <si>
    <t>Libraries</t>
  </si>
  <si>
    <t>Manufacturing plants</t>
  </si>
  <si>
    <t>Medical buildings</t>
  </si>
  <si>
    <t>Motels</t>
  </si>
  <si>
    <t>Museums</t>
  </si>
  <si>
    <t>Nursing homes</t>
  </si>
  <si>
    <t>Office buildings, low-rise</t>
  </si>
  <si>
    <t>Office buildings, high-rise</t>
  </si>
  <si>
    <t>Residences</t>
  </si>
  <si>
    <t>Retail shops</t>
  </si>
  <si>
    <t>Supermarkets</t>
  </si>
  <si>
    <t>Theaters</t>
  </si>
  <si>
    <t>Per SF</t>
  </si>
  <si>
    <t>Description</t>
  </si>
  <si>
    <t>Total Sell Price</t>
  </si>
  <si>
    <t>Project SF</t>
  </si>
  <si>
    <t>Budget Cost</t>
  </si>
  <si>
    <t>Total Cooling (Tons)</t>
  </si>
  <si>
    <t>Total Heating (BTU)</t>
  </si>
  <si>
    <t xml:space="preserve">Cooling   (Btu/SF)  </t>
  </si>
  <si>
    <t xml:space="preserve">Heating   (Btu/SF)  </t>
  </si>
  <si>
    <t xml:space="preserve"> Per Ton</t>
  </si>
  <si>
    <t>Note that these are budget estimates and can vary widely with conditions which may be unique to the job site. Many of these conditions are identified below. Avoid submitting even a budget estimate without either a site walk-through, a conference with the consulting engineer or architect or a careful review of the plans.</t>
  </si>
  <si>
    <t>Be alert to any of the following conditions. Any of these can have a major impact on cost:</t>
  </si>
  <si>
    <t>1. Do HVAC unit dimensions exceed the size of available openings?</t>
  </si>
  <si>
    <t>2. If a crane is required, is there ample clearance for crane operations?</t>
  </si>
  <si>
    <t>3. Will any doors, permanent ladders, scaffolding or load-bearing supports obstruct installation?</t>
  </si>
  <si>
    <t>4. Do the plans show all vents, drains and cleanouts required by the code? Many items like these are not specified by the engineer but will be required by the inspector.</t>
  </si>
  <si>
    <t xml:space="preserve">5. For retrofit work, consider carefully problems associated with demolition, including removal of the existing HVAC system, structural modifications and any encased asbestos that may be present. </t>
  </si>
  <si>
    <t>6. In retrofit jobs, the type and size of HVAC equipment is limited by the window area and installed insulation.</t>
  </si>
  <si>
    <t>7. How will available power, gas and water lines be extended to the new HVAC equipment?</t>
  </si>
  <si>
    <t>Budget Plumbing Estimate</t>
  </si>
  <si>
    <t>Budget plumbing estimate, cast iron DWV, copper supply pipe</t>
  </si>
  <si>
    <t>Bathtubs</t>
  </si>
  <si>
    <t>Showers</t>
  </si>
  <si>
    <t>Lavatories</t>
  </si>
  <si>
    <t>Kitchen sinks</t>
  </si>
  <si>
    <t>Service sinks</t>
  </si>
  <si>
    <t>Bar sinks</t>
  </si>
  <si>
    <t>Floor sinks</t>
  </si>
  <si>
    <t>Water closets Tank-type</t>
  </si>
  <si>
    <t xml:space="preserve">    Flush valve</t>
  </si>
  <si>
    <t>Urinals</t>
  </si>
  <si>
    <t>Drinking fountains (refrigerated)</t>
  </si>
  <si>
    <t>Wash fountains</t>
  </si>
  <si>
    <t>Can washers</t>
  </si>
  <si>
    <t>Floor drains</t>
  </si>
  <si>
    <t>Area drains</t>
  </si>
  <si>
    <t>Roof drains</t>
  </si>
  <si>
    <t>Overflow drains</t>
  </si>
  <si>
    <t>Deck drains</t>
  </si>
  <si>
    <t>Cleanouts</t>
  </si>
  <si>
    <t>Trap primers</t>
  </si>
  <si>
    <t>Sump pumps</t>
  </si>
  <si>
    <t>Water heaters Gas,   40 gal.</t>
  </si>
  <si>
    <t>Budget plumbing estimate, plastic DWV and plastic supply pipe</t>
  </si>
  <si>
    <t>Rate:</t>
  </si>
  <si>
    <t>Qty.</t>
  </si>
  <si>
    <t>Total Budget Cost</t>
  </si>
  <si>
    <t>Unit Cost</t>
  </si>
  <si>
    <t xml:space="preserve">Labor </t>
  </si>
  <si>
    <t>Flush valve</t>
  </si>
  <si>
    <t>Gas,   80 gal.</t>
  </si>
  <si>
    <t>Gas, 120 gal.</t>
  </si>
  <si>
    <t>Budget estimates for HVAC Work: Budget estimates for heating, ventilating and air conditioning work are usually are figuring by the square foot of floor. Multiply the area of conditioned space by the cost per square foot in the table that follows. The result is the estimated cost including a complete heating, ventilating and conditioning system. The table also shows average heating and cooling requirements for various types of buildings.</t>
  </si>
  <si>
    <t>Mike Peterson</t>
  </si>
  <si>
    <t>Bay Industries</t>
  </si>
  <si>
    <t>Green Bay, WI 54311</t>
  </si>
  <si>
    <t xml:space="preserve">2929 Walker Dr. </t>
  </si>
  <si>
    <t>CFM</t>
  </si>
  <si>
    <t>Anthony Schroeder</t>
  </si>
  <si>
    <t>Smet Construction</t>
  </si>
  <si>
    <t>Green Bay, WI 54303</t>
  </si>
  <si>
    <t xml:space="preserve">300 N Broadway #2b </t>
  </si>
  <si>
    <t>Ryan Zietlow</t>
  </si>
  <si>
    <t>YMCA of Green Bay</t>
  </si>
  <si>
    <t>601 Cardinal Ln.</t>
  </si>
  <si>
    <t>Brandon Harter</t>
  </si>
  <si>
    <t xml:space="preserve">Access-Inc. </t>
  </si>
  <si>
    <t xml:space="preserve">844 Ehlers Rd. </t>
  </si>
  <si>
    <t>Neenah, WI 54966</t>
  </si>
  <si>
    <t>FR</t>
  </si>
  <si>
    <t>SR</t>
  </si>
  <si>
    <t>Sheet Metal Field Labor</t>
  </si>
  <si>
    <t>Sheet Metal Shop Labor</t>
  </si>
  <si>
    <t>Sheet Metal Field Phase Imports</t>
  </si>
  <si>
    <t>Sheet Metal Shop Phase Imports</t>
  </si>
  <si>
    <t>Pipefitter Field Labor</t>
  </si>
  <si>
    <t>Pipefitter Shop Labor</t>
  </si>
  <si>
    <t>Plumbing Field Labor</t>
  </si>
  <si>
    <t>Piping Field Phase Imports</t>
  </si>
  <si>
    <t>Piping Shop Phase Imports</t>
  </si>
  <si>
    <t>Plumbing Shop Labor</t>
  </si>
  <si>
    <t>Plumbing Field Phase Imports</t>
  </si>
  <si>
    <t>Plumbing Shop Phase Imports</t>
  </si>
  <si>
    <t>EA</t>
  </si>
  <si>
    <t>SF</t>
  </si>
  <si>
    <t>Preliminary Budget</t>
  </si>
  <si>
    <t>Pipefitters Local 469 - PHX (Exp. XXX)</t>
  </si>
  <si>
    <t>Plumbers Local 469 - PHX (Exp. XXX)</t>
  </si>
  <si>
    <t>Sheet Metal Local 359 PHX (Exp. XXXX)</t>
  </si>
  <si>
    <t>Startup / Functional Testing</t>
  </si>
  <si>
    <t>Commissioning</t>
  </si>
  <si>
    <t>• Labor Attraction &amp; Retention Funds</t>
  </si>
  <si>
    <t>Vice President, Construction</t>
  </si>
  <si>
    <t>712 Hacienda Dr.</t>
  </si>
  <si>
    <t>Tempe, AZ 85288</t>
  </si>
  <si>
    <t>Phoenix Office:</t>
  </si>
  <si>
    <t>PH (920) 498-0400</t>
  </si>
  <si>
    <t>• Bathroom Facilities</t>
  </si>
  <si>
    <t>• Vertical Hoisting/Lifting</t>
  </si>
  <si>
    <t xml:space="preserve">Cell Color Key </t>
  </si>
  <si>
    <t>Base Union Rates - No Markup</t>
  </si>
  <si>
    <t>TG Base Rates</t>
  </si>
  <si>
    <t xml:space="preserve"> V.10.17.25 | KAS</t>
  </si>
  <si>
    <t xml:space="preserve"> 13-925-   -</t>
  </si>
  <si>
    <t>Crane Services</t>
  </si>
  <si>
    <t xml:space="preserve">Test Phoenix Project </t>
  </si>
  <si>
    <t>Sheet metal Forean setting coils</t>
  </si>
  <si>
    <t>Sheet metal JM setting Coils</t>
  </si>
  <si>
    <t>Piping Foreman hooking up coils</t>
  </si>
  <si>
    <t>Piping JM hooking up coils</t>
  </si>
  <si>
    <t>Coordinator/Procurement</t>
  </si>
  <si>
    <t>Non working foreman time</t>
  </si>
  <si>
    <t>Project Manager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</si>
</sst>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_(&quot;$&quot;* #,##0_);_(&quot;$&quot;* \(#,##0\);_(&quot;$&quot;* &quot;-&quot;??_);_(@_)"/>
    <numFmt numFmtId="166" formatCode="_(* #,##0.0_);_(* \(#,##0.0\);_(* &quot;-&quot;??_);_(@_)"/>
    <numFmt numFmtId="167" formatCode="_(* #,##0_);_(* \(#,##0\);_(* &quot;-&quot;??_);_(@_)"/>
    <numFmt numFmtId="168" formatCode="0.0"/>
    <numFmt numFmtId="169" formatCode="&quot;$&quot;#,##0.00"/>
    <numFmt numFmtId="170" formatCode="[$-F800]dddd\,\ mmmm\ dd\,\ yyyy"/>
    <numFmt numFmtId="171" formatCode="[$-F400]h:mm:ss\ AM/PM"/>
    <numFmt numFmtId="172" formatCode="&quot;$&quot;#,##0"/>
    <numFmt numFmtId="173" formatCode="0.000"/>
    <numFmt numFmtId="174" formatCode="_-* #,##0.00\ [$€-1]_-;\-* #,##0.00\ [$€-1]_-;_-* &quot;-&quot;??\ [$€-1]_-"/>
    <numFmt numFmtId="175" formatCode="[$€-2]\ #,##0.00_);[Red]\([$€-2]\ #,##0.00\)"/>
    <numFmt numFmtId="176" formatCode="_-* #,##0.00\ &quot;€&quot;_-;\-* #,##0.00\ &quot;€&quot;_-;_-* &quot;-&quot;??\ &quot;€&quot;_-;_-@_-"/>
    <numFmt numFmtId="177" formatCode="#,000"/>
  </numFmts>
  <fonts count="108" x14ac:knownFonts="1">
    <font>
      <sz val="11"/>
      <color theme="1"/>
      <name val="Calibri"/>
      <family val="2"/>
      <scheme val="minor"/>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0"/>
      <color theme="1"/>
      <name val="Arial Narrow"/>
      <family val="2"/>
    </font>
    <font>
      <sz val="11"/>
      <color theme="1"/>
      <name val="Calibri"/>
      <family val="2"/>
      <scheme val="minor"/>
    </font>
    <font>
      <b/>
      <sz val="9"/>
      <color theme="1"/>
      <name val="Arial Narrow"/>
      <family val="2"/>
    </font>
    <font>
      <sz val="9"/>
      <color theme="1"/>
      <name val="Arial Narrow"/>
      <family val="2"/>
    </font>
    <font>
      <b/>
      <u/>
      <sz val="9"/>
      <color theme="1"/>
      <name val="Arial Narrow"/>
      <family val="2"/>
    </font>
    <font>
      <i/>
      <sz val="9"/>
      <color theme="1"/>
      <name val="Arial Narrow"/>
      <family val="2"/>
    </font>
    <font>
      <b/>
      <sz val="11"/>
      <color theme="0"/>
      <name val="Arial Narrow"/>
      <family val="2"/>
    </font>
    <font>
      <sz val="11"/>
      <color theme="1"/>
      <name val="Arial Narrow"/>
      <family val="2"/>
    </font>
    <font>
      <b/>
      <u/>
      <sz val="11"/>
      <color theme="1"/>
      <name val="Arial Narrow"/>
      <family val="2"/>
    </font>
    <font>
      <b/>
      <sz val="10"/>
      <color theme="0"/>
      <name val="Arial Narrow"/>
      <family val="2"/>
    </font>
    <font>
      <b/>
      <sz val="10"/>
      <color theme="1"/>
      <name val="Arial Narrow"/>
      <family val="2"/>
    </font>
    <font>
      <sz val="9"/>
      <color indexed="81"/>
      <name val="Tahoma"/>
      <family val="2"/>
    </font>
    <font>
      <b/>
      <sz val="9"/>
      <color indexed="81"/>
      <name val="Tahoma"/>
      <family val="2"/>
    </font>
    <font>
      <sz val="8"/>
      <color theme="1"/>
      <name val="Arial Narrow"/>
      <family val="2"/>
    </font>
    <font>
      <b/>
      <sz val="8"/>
      <color theme="1"/>
      <name val="Arial Narrow"/>
      <family val="2"/>
    </font>
    <font>
      <b/>
      <u/>
      <sz val="8"/>
      <color theme="1"/>
      <name val="Arial Narrow"/>
      <family val="2"/>
    </font>
    <font>
      <i/>
      <sz val="8"/>
      <color theme="1"/>
      <name val="Arial Narrow"/>
      <family val="2"/>
    </font>
    <font>
      <b/>
      <sz val="10"/>
      <color theme="1"/>
      <name val="Calibri"/>
      <family val="2"/>
      <scheme val="minor"/>
    </font>
    <font>
      <sz val="10"/>
      <color theme="1"/>
      <name val="Calibri"/>
      <family val="2"/>
      <scheme val="minor"/>
    </font>
    <font>
      <i/>
      <sz val="8"/>
      <color rgb="FF0000FF"/>
      <name val="Arial Narrow"/>
      <family val="2"/>
    </font>
    <font>
      <sz val="8"/>
      <color rgb="FF0000FF"/>
      <name val="Arial Narrow"/>
      <family val="2"/>
    </font>
    <font>
      <sz val="9"/>
      <color rgb="FF0000FF"/>
      <name val="Arial Narrow"/>
      <family val="2"/>
    </font>
    <font>
      <b/>
      <sz val="9"/>
      <color rgb="FF0000FF"/>
      <name val="Arial Narrow"/>
      <family val="2"/>
    </font>
    <font>
      <sz val="6"/>
      <color theme="1"/>
      <name val="Calibri"/>
      <family val="2"/>
      <scheme val="minor"/>
    </font>
    <font>
      <b/>
      <sz val="11"/>
      <color theme="1"/>
      <name val="Arial Narrow"/>
      <family val="2"/>
    </font>
    <font>
      <b/>
      <sz val="11"/>
      <name val="Arial Narrow"/>
      <family val="2"/>
    </font>
    <font>
      <b/>
      <sz val="9"/>
      <name val="Arial Narrow"/>
      <family val="2"/>
    </font>
    <font>
      <b/>
      <u/>
      <sz val="10"/>
      <color theme="1"/>
      <name val="Arial Narrow"/>
      <family val="2"/>
    </font>
    <font>
      <sz val="10"/>
      <color rgb="FF0000FF"/>
      <name val="Arial Narrow"/>
      <family val="2"/>
    </font>
    <font>
      <sz val="10"/>
      <name val="Arial Narrow"/>
      <family val="2"/>
    </font>
    <font>
      <i/>
      <sz val="9"/>
      <color rgb="FF0000FF"/>
      <name val="Arial Narrow"/>
      <family val="2"/>
    </font>
    <font>
      <sz val="8"/>
      <name val="Arial Narrow"/>
      <family val="2"/>
    </font>
    <font>
      <sz val="9"/>
      <name val="Arial Narrow"/>
      <family val="2"/>
    </font>
    <font>
      <sz val="9"/>
      <color theme="0"/>
      <name val="Arial Narrow"/>
      <family val="2"/>
    </font>
    <font>
      <i/>
      <sz val="9"/>
      <color theme="0"/>
      <name val="Arial Narrow"/>
      <family val="2"/>
    </font>
    <font>
      <sz val="10"/>
      <color theme="1"/>
      <name val="Arial Narrow"/>
      <family val="2"/>
    </font>
    <font>
      <sz val="10"/>
      <color rgb="FF0000FF"/>
      <name val="Arial Narrow"/>
      <family val="2"/>
    </font>
    <font>
      <sz val="10"/>
      <name val="Arial"/>
      <family val="2"/>
    </font>
    <font>
      <b/>
      <sz val="11"/>
      <color indexed="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9.35"/>
      <color theme="10"/>
      <name val="Calibri"/>
      <family val="2"/>
    </font>
    <font>
      <sz val="12"/>
      <color theme="1"/>
      <name val="Arial Narrow"/>
      <family val="2"/>
    </font>
    <font>
      <b/>
      <sz val="12"/>
      <color theme="1"/>
      <name val="Arial Narrow"/>
      <family val="2"/>
    </font>
    <font>
      <b/>
      <sz val="16"/>
      <color theme="1"/>
      <name val="Calibri"/>
      <family val="2"/>
    </font>
    <font>
      <sz val="10"/>
      <color theme="1"/>
      <name val="Calibri"/>
      <family val="2"/>
    </font>
    <font>
      <b/>
      <sz val="8"/>
      <color rgb="FF002356"/>
      <name val="Calibri"/>
      <family val="2"/>
    </font>
    <font>
      <sz val="7"/>
      <color theme="1"/>
      <name val="Calibri"/>
      <family val="2"/>
    </font>
    <font>
      <sz val="7"/>
      <color rgb="FF002356"/>
      <name val="Calibri"/>
      <family val="2"/>
    </font>
    <font>
      <sz val="10"/>
      <name val="Calibri"/>
      <family val="2"/>
      <scheme val="minor"/>
    </font>
    <font>
      <sz val="10"/>
      <color rgb="FF0000FF"/>
      <name val="Calibri"/>
      <family val="2"/>
      <scheme val="minor"/>
    </font>
    <font>
      <sz val="10"/>
      <name val="Calibri"/>
      <family val="2"/>
    </font>
    <font>
      <b/>
      <sz val="10"/>
      <name val="Calibri"/>
      <family val="2"/>
    </font>
    <font>
      <b/>
      <u/>
      <sz val="10"/>
      <name val="Calibri"/>
      <family val="2"/>
    </font>
    <font>
      <b/>
      <sz val="10"/>
      <name val="Calibri"/>
      <family val="2"/>
      <scheme val="minor"/>
    </font>
    <font>
      <i/>
      <sz val="10"/>
      <name val="Calibri"/>
      <family val="2"/>
    </font>
    <font>
      <sz val="10"/>
      <name val="Symbol"/>
      <family val="1"/>
      <charset val="2"/>
    </font>
    <font>
      <sz val="9"/>
      <color theme="1"/>
      <name val="Calibri"/>
      <family val="2"/>
    </font>
    <font>
      <sz val="9"/>
      <color theme="1"/>
      <name val="Calibri"/>
      <family val="2"/>
      <scheme val="minor"/>
    </font>
    <font>
      <b/>
      <sz val="8"/>
      <color theme="1"/>
      <name val="Calibri"/>
      <family val="2"/>
    </font>
    <font>
      <sz val="8"/>
      <color theme="1"/>
      <name val="Calibri"/>
      <family val="2"/>
    </font>
    <font>
      <b/>
      <sz val="8"/>
      <color rgb="FF000000"/>
      <name val="Calibri"/>
      <family val="2"/>
    </font>
    <font>
      <b/>
      <sz val="8"/>
      <color rgb="FF000000"/>
      <name val="Times New Roman"/>
      <family val="1"/>
    </font>
    <font>
      <sz val="8"/>
      <color rgb="FF000000"/>
      <name val="Calibri"/>
      <family val="2"/>
    </font>
    <font>
      <b/>
      <sz val="8"/>
      <color theme="1"/>
      <name val="Times New Roman"/>
      <family val="1"/>
    </font>
    <font>
      <b/>
      <u/>
      <sz val="10"/>
      <color theme="1"/>
      <name val="Calibri"/>
      <family val="2"/>
      <scheme val="minor"/>
    </font>
    <font>
      <b/>
      <sz val="8"/>
      <name val="Arial Narrow"/>
      <family val="2"/>
    </font>
    <font>
      <sz val="7"/>
      <name val="Arial Narrow"/>
      <family val="2"/>
    </font>
    <font>
      <sz val="7"/>
      <color rgb="FF0000FF"/>
      <name val="Arial Narrow"/>
      <family val="2"/>
    </font>
    <font>
      <b/>
      <u/>
      <sz val="11"/>
      <color theme="1"/>
      <name val="Calibri"/>
      <family val="2"/>
      <scheme val="minor"/>
    </font>
    <font>
      <sz val="10"/>
      <color theme="1"/>
      <name val="Arial Narrow"/>
      <family val="2"/>
    </font>
    <font>
      <sz val="10"/>
      <color rgb="FF000000"/>
      <name val="Arial Narrow"/>
      <family val="2"/>
    </font>
    <font>
      <b/>
      <sz val="8"/>
      <color theme="0"/>
      <name val="Arial Narrow"/>
      <family val="2"/>
    </font>
    <font>
      <b/>
      <u/>
      <sz val="9"/>
      <name val="Arial Narrow"/>
      <family val="2"/>
    </font>
    <font>
      <b/>
      <u/>
      <sz val="8"/>
      <name val="Arial Narrow"/>
      <family val="2"/>
    </font>
    <font>
      <sz val="11"/>
      <name val="Arial Narrow"/>
      <family val="2"/>
    </font>
    <font>
      <b/>
      <sz val="10"/>
      <color rgb="FF0000FF"/>
      <name val="Calibri"/>
      <family val="2"/>
    </font>
    <font>
      <b/>
      <sz val="10"/>
      <color rgb="FF0000FF"/>
      <name val="Calibri"/>
      <family val="2"/>
      <scheme val="minor"/>
    </font>
    <font>
      <sz val="10"/>
      <color rgb="FF0000FF"/>
      <name val="Calibri"/>
      <family val="2"/>
    </font>
    <font>
      <sz val="11"/>
      <color rgb="FF0000FF"/>
      <name val="Calibri"/>
      <family val="2"/>
      <scheme val="minor"/>
    </font>
    <font>
      <sz val="10"/>
      <color rgb="FF0000FF"/>
      <name val="Arial"/>
      <family val="2"/>
    </font>
  </fonts>
  <fills count="61">
    <fill>
      <patternFill patternType="none"/>
    </fill>
    <fill>
      <patternFill patternType="gray125"/>
    </fill>
    <fill>
      <patternFill patternType="solid">
        <fgColor theme="6" tint="0.59999389629810485"/>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3" tint="-0.249977111117893"/>
        <bgColor indexed="64"/>
      </patternFill>
    </fill>
    <fill>
      <patternFill patternType="gray125">
        <bgColor auto="1"/>
      </patternFill>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8"/>
        <bgColor indexed="64"/>
      </patternFill>
    </fill>
    <fill>
      <patternFill patternType="solid">
        <fgColor indexed="43"/>
      </patternFill>
    </fill>
    <fill>
      <patternFill patternType="solid">
        <fgColor indexed="26"/>
      </patternFill>
    </fill>
    <fill>
      <patternFill patternType="solid">
        <fgColor theme="3" tint="0.59999389629810485"/>
        <bgColor indexed="64"/>
      </patternFill>
    </fill>
    <fill>
      <patternFill patternType="solid">
        <fgColor theme="4" tint="0.59999389629810485"/>
        <bgColor indexed="64"/>
      </patternFill>
    </fill>
    <fill>
      <patternFill patternType="solid">
        <fgColor auto="1"/>
        <bgColor indexed="64"/>
      </patternFill>
    </fill>
    <fill>
      <patternFill patternType="gray125">
        <bgColor theme="0"/>
      </patternFill>
    </fill>
    <fill>
      <patternFill patternType="solid">
        <fgColor theme="5" tint="0.59999389629810485"/>
        <bgColor indexed="64"/>
      </patternFill>
    </fill>
  </fills>
  <borders count="195">
    <border>
      <left/>
      <right/>
      <top/>
      <bottom/>
      <diagonal/>
    </border>
    <border>
      <left style="thin">
        <color auto="1"/>
      </left>
      <right style="thin">
        <color auto="1"/>
      </right>
      <top style="thin">
        <color auto="1"/>
      </top>
      <bottom style="hair">
        <color auto="1"/>
      </bottom>
      <diagonal/>
    </border>
    <border>
      <left/>
      <right style="thin">
        <color auto="1"/>
      </right>
      <top/>
      <bottom/>
      <diagonal/>
    </border>
    <border>
      <left style="thin">
        <color auto="1"/>
      </left>
      <right style="thin">
        <color auto="1"/>
      </right>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style="thin">
        <color auto="1"/>
      </left>
      <right style="thin">
        <color auto="1"/>
      </right>
      <top/>
      <bottom/>
      <diagonal/>
    </border>
    <border>
      <left/>
      <right style="thin">
        <color auto="1"/>
      </right>
      <top style="double">
        <color auto="1"/>
      </top>
      <bottom/>
      <diagonal/>
    </border>
    <border>
      <left style="medium">
        <color auto="1"/>
      </left>
      <right/>
      <top/>
      <bottom/>
      <diagonal/>
    </border>
    <border>
      <left/>
      <right/>
      <top style="thin">
        <color auto="1"/>
      </top>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top/>
      <bottom/>
      <diagonal/>
    </border>
    <border>
      <left style="thin">
        <color auto="1"/>
      </left>
      <right style="thin">
        <color auto="1"/>
      </right>
      <top style="hair">
        <color theme="1" tint="0.499984740745262"/>
      </top>
      <bottom style="hair">
        <color theme="1" tint="0.499984740745262"/>
      </bottom>
      <diagonal/>
    </border>
    <border>
      <left/>
      <right/>
      <top/>
      <bottom style="thin">
        <color auto="1"/>
      </bottom>
      <diagonal/>
    </border>
    <border>
      <left style="medium">
        <color auto="1"/>
      </left>
      <right/>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right style="thin">
        <color auto="1"/>
      </right>
      <top style="hair">
        <color theme="1" tint="0.499984740745262"/>
      </top>
      <bottom style="hair">
        <color theme="1" tint="0.499984740745262"/>
      </bottom>
      <diagonal/>
    </border>
    <border>
      <left/>
      <right style="thin">
        <color auto="1"/>
      </right>
      <top style="hair">
        <color theme="1" tint="0.499984740745262"/>
      </top>
      <bottom style="thin">
        <color auto="1"/>
      </bottom>
      <diagonal/>
    </border>
    <border>
      <left style="thin">
        <color auto="1"/>
      </left>
      <right style="thin">
        <color auto="1"/>
      </right>
      <top style="thin">
        <color auto="1"/>
      </top>
      <bottom/>
      <diagonal/>
    </border>
    <border>
      <left style="thin">
        <color auto="1"/>
      </left>
      <right style="hair">
        <color auto="1"/>
      </right>
      <top style="thin">
        <color auto="1"/>
      </top>
      <bottom style="hair">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auto="1"/>
      </bottom>
      <diagonal/>
    </border>
    <border>
      <left style="medium">
        <color auto="1"/>
      </left>
      <right style="hair">
        <color auto="1"/>
      </right>
      <top style="medium">
        <color auto="1"/>
      </top>
      <bottom style="hair">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medium">
        <color auto="1"/>
      </top>
      <bottom style="hair">
        <color auto="1"/>
      </bottom>
      <diagonal/>
    </border>
    <border>
      <left style="hair">
        <color auto="1"/>
      </left>
      <right style="medium">
        <color auto="1"/>
      </right>
      <top style="hair">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thin">
        <color auto="1"/>
      </right>
      <top style="hair">
        <color theme="1" tint="0.499984740745262"/>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hair">
        <color auto="1"/>
      </left>
      <right style="thin">
        <color auto="1"/>
      </right>
      <top style="thin">
        <color auto="1"/>
      </top>
      <bottom style="hair">
        <color auto="1"/>
      </bottom>
      <diagonal/>
    </border>
    <border>
      <left/>
      <right style="thin">
        <color auto="1"/>
      </right>
      <top style="thin">
        <color auto="1"/>
      </top>
      <bottom style="hair">
        <color theme="1" tint="0.499984740745262"/>
      </bottom>
      <diagonal/>
    </border>
    <border>
      <left style="thin">
        <color auto="1"/>
      </left>
      <right/>
      <top style="thin">
        <color auto="1"/>
      </top>
      <bottom/>
      <diagonal/>
    </border>
    <border>
      <left style="thin">
        <color auto="1"/>
      </left>
      <right style="thin">
        <color auto="1"/>
      </right>
      <top style="thin">
        <color auto="1"/>
      </top>
      <bottom style="hair">
        <color theme="1"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thin">
        <color auto="1"/>
      </left>
      <right style="thin">
        <color auto="1"/>
      </right>
      <top style="hair">
        <color auto="1"/>
      </top>
      <bottom style="hair">
        <color auto="1"/>
      </bottom>
      <diagonal/>
    </border>
    <border>
      <left style="hair">
        <color auto="1"/>
      </left>
      <right/>
      <top style="thin">
        <color auto="1"/>
      </top>
      <bottom style="thin">
        <color auto="1"/>
      </bottom>
      <diagonal/>
    </border>
    <border>
      <left style="hair">
        <color auto="1"/>
      </left>
      <right style="hair">
        <color auto="1"/>
      </right>
      <top style="thin">
        <color auto="1"/>
      </top>
      <bottom style="hair">
        <color auto="1"/>
      </bottom>
      <diagonal/>
    </border>
    <border>
      <left style="hair">
        <color auto="1"/>
      </left>
      <right style="hair">
        <color auto="1"/>
      </right>
      <top style="hair">
        <color auto="1"/>
      </top>
      <bottom style="thin">
        <color auto="1"/>
      </bottom>
      <diagonal/>
    </border>
    <border>
      <left style="thin">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auto="1"/>
      </left>
      <right/>
      <top style="hair">
        <color auto="1"/>
      </top>
      <bottom/>
      <diagonal/>
    </border>
    <border>
      <left/>
      <right style="thin">
        <color auto="1"/>
      </right>
      <top style="hair">
        <color auto="1"/>
      </top>
      <bottom/>
      <diagonal/>
    </border>
    <border>
      <left/>
      <right style="thin">
        <color auto="1"/>
      </right>
      <top/>
      <bottom style="hair">
        <color theme="1" tint="0.499984740745262"/>
      </bottom>
      <diagonal/>
    </border>
    <border>
      <left style="thin">
        <color auto="1"/>
      </left>
      <right style="thin">
        <color auto="1"/>
      </right>
      <top style="hair">
        <color theme="1" tint="0.499984740745262"/>
      </top>
      <bottom/>
      <diagonal/>
    </border>
    <border>
      <left style="thin">
        <color auto="1"/>
      </left>
      <right style="thin">
        <color auto="1"/>
      </right>
      <top/>
      <bottom style="hair">
        <color theme="1" tint="0.499984740745262"/>
      </bottom>
      <diagonal/>
    </border>
    <border>
      <left/>
      <right/>
      <top/>
      <bottom style="double">
        <color auto="1"/>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hair">
        <color auto="1"/>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hair">
        <color auto="1"/>
      </right>
      <top style="double">
        <color auto="1"/>
      </top>
      <bottom/>
      <diagonal/>
    </border>
    <border>
      <left/>
      <right style="hair">
        <color auto="1"/>
      </right>
      <top style="hair">
        <color theme="0" tint="-0.499984740745262"/>
      </top>
      <bottom style="hair">
        <color theme="0" tint="-0.499984740745262"/>
      </bottom>
      <diagonal/>
    </border>
    <border>
      <left style="thin">
        <color auto="1"/>
      </left>
      <right style="hair">
        <color theme="0" tint="-0.499984740745262"/>
      </right>
      <top style="double">
        <color auto="1"/>
      </top>
      <bottom style="hair">
        <color theme="1" tint="0.499984740745262"/>
      </bottom>
      <diagonal/>
    </border>
    <border>
      <left style="thin">
        <color auto="1"/>
      </left>
      <right style="hair">
        <color theme="0" tint="-0.499984740745262"/>
      </right>
      <top style="hair">
        <color theme="1" tint="0.499984740745262"/>
      </top>
      <bottom style="hair">
        <color theme="1" tint="0.499984740745262"/>
      </bottom>
      <diagonal/>
    </border>
    <border>
      <left style="thin">
        <color auto="1"/>
      </left>
      <right style="hair">
        <color theme="0" tint="-0.499984740745262"/>
      </right>
      <top style="hair">
        <color theme="1" tint="0.499984740745262"/>
      </top>
      <bottom style="thin">
        <color auto="1"/>
      </bottom>
      <diagonal/>
    </border>
    <border>
      <left style="hair">
        <color theme="0" tint="-0.499984740745262"/>
      </left>
      <right style="hair">
        <color auto="1"/>
      </right>
      <top style="hair">
        <color theme="0" tint="-0.499984740745262"/>
      </top>
      <bottom style="thin">
        <color auto="1"/>
      </bottom>
      <diagonal/>
    </border>
    <border>
      <left style="hair">
        <color theme="0" tint="-0.499984740745262"/>
      </left>
      <right style="hair">
        <color auto="1"/>
      </right>
      <top style="hair">
        <color theme="0" tint="-0.499984740745262"/>
      </top>
      <bottom style="hair">
        <color theme="0" tint="-0.499984740745262"/>
      </bottom>
      <diagonal/>
    </border>
    <border>
      <left/>
      <right style="hair">
        <color auto="1"/>
      </right>
      <top/>
      <bottom/>
      <diagonal/>
    </border>
    <border>
      <left style="thin">
        <color auto="1"/>
      </left>
      <right style="hair">
        <color theme="0" tint="-0.499984740745262"/>
      </right>
      <top/>
      <bottom style="hair">
        <color theme="1" tint="0.499984740745262"/>
      </bottom>
      <diagonal/>
    </border>
    <border>
      <left style="hair">
        <color theme="0" tint="-0.499984740745262"/>
      </left>
      <right style="hair">
        <color auto="1"/>
      </right>
      <top style="hair">
        <color theme="0" tint="-0.34998626667073579"/>
      </top>
      <bottom/>
      <diagonal/>
    </border>
    <border>
      <left style="hair">
        <color theme="0" tint="-0.499984740745262"/>
      </left>
      <right style="hair">
        <color auto="1"/>
      </right>
      <top style="hair">
        <color theme="0" tint="-0.34998626667073579"/>
      </top>
      <bottom style="hair">
        <color theme="0" tint="-0.34998626667073579"/>
      </bottom>
      <diagonal/>
    </border>
    <border>
      <left style="thin">
        <color auto="1"/>
      </left>
      <right style="hair">
        <color theme="0" tint="-0.34998626667073579"/>
      </right>
      <top style="double">
        <color auto="1"/>
      </top>
      <bottom style="hair">
        <color theme="0" tint="-0.34998626667073579"/>
      </bottom>
      <diagonal/>
    </border>
    <border>
      <left/>
      <right style="thin">
        <color auto="1"/>
      </right>
      <top style="double">
        <color auto="1"/>
      </top>
      <bottom style="hair">
        <color theme="0" tint="-0.34998626667073579"/>
      </bottom>
      <diagonal/>
    </border>
    <border>
      <left style="thin">
        <color auto="1"/>
      </left>
      <right style="hair">
        <color theme="0" tint="-0.34998626667073579"/>
      </right>
      <top/>
      <bottom/>
      <diagonal/>
    </border>
    <border>
      <left style="thin">
        <color auto="1"/>
      </left>
      <right style="hair">
        <color theme="0" tint="-0.34998626667073579"/>
      </right>
      <top style="hair">
        <color theme="0" tint="-0.34998626667073579"/>
      </top>
      <bottom style="hair">
        <color theme="0" tint="-0.34998626667073579"/>
      </bottom>
      <diagonal/>
    </border>
    <border>
      <left style="thin">
        <color auto="1"/>
      </left>
      <right style="hair">
        <color theme="0" tint="-0.34998626667073579"/>
      </right>
      <top style="hair">
        <color theme="0" tint="-0.34998626667073579"/>
      </top>
      <bottom/>
      <diagonal/>
    </border>
    <border>
      <left style="hair">
        <color theme="0" tint="-0.34998626667073579"/>
      </left>
      <right style="thin">
        <color auto="1"/>
      </right>
      <top style="hair">
        <color theme="0" tint="-0.34998626667073579"/>
      </top>
      <bottom style="hair">
        <color theme="0" tint="-0.34998626667073579"/>
      </bottom>
      <diagonal/>
    </border>
    <border>
      <left style="hair">
        <color theme="0" tint="-0.34998626667073579"/>
      </left>
      <right style="thin">
        <color auto="1"/>
      </right>
      <top style="hair">
        <color theme="0" tint="-0.34998626667073579"/>
      </top>
      <bottom/>
      <diagonal/>
    </border>
    <border>
      <left style="thin">
        <color auto="1"/>
      </left>
      <right style="hair">
        <color theme="0" tint="-0.34998626667073579"/>
      </right>
      <top/>
      <bottom style="thin">
        <color auto="1"/>
      </bottom>
      <diagonal/>
    </border>
    <border>
      <left style="hair">
        <color theme="0" tint="-0.34998626667073579"/>
      </left>
      <right style="thin">
        <color auto="1"/>
      </right>
      <top style="hair">
        <color theme="0" tint="-0.34998626667073579"/>
      </top>
      <bottom style="thin">
        <color auto="1"/>
      </bottom>
      <diagonal/>
    </border>
    <border>
      <left style="thin">
        <color auto="1"/>
      </left>
      <right style="hair">
        <color theme="0" tint="-0.34998626667073579"/>
      </right>
      <top/>
      <bottom style="hair">
        <color theme="0" tint="-0.34998626667073579"/>
      </bottom>
      <diagonal/>
    </border>
    <border>
      <left/>
      <right style="thin">
        <color auto="1"/>
      </right>
      <top/>
      <bottom style="hair">
        <color theme="0" tint="-0.34998626667073579"/>
      </bottom>
      <diagonal/>
    </border>
    <border>
      <left/>
      <right style="thin">
        <color auto="1"/>
      </right>
      <top style="hair">
        <color theme="0" tint="-0.34998626667073579"/>
      </top>
      <bottom style="hair">
        <color theme="0" tint="-0.34998626667073579"/>
      </bottom>
      <diagonal/>
    </border>
    <border>
      <left style="thin">
        <color auto="1"/>
      </left>
      <right style="hair">
        <color theme="0" tint="-0.34998626667073579"/>
      </right>
      <top style="double">
        <color auto="1"/>
      </top>
      <bottom/>
      <diagonal/>
    </border>
    <border>
      <left style="thin">
        <color auto="1"/>
      </left>
      <right style="hair">
        <color theme="0" tint="-0.499984740745262"/>
      </right>
      <top style="double">
        <color auto="1"/>
      </top>
      <bottom style="hair">
        <color theme="0" tint="-0.499984740745262"/>
      </bottom>
      <diagonal/>
    </border>
    <border>
      <left style="hair">
        <color theme="0" tint="-0.499984740745262"/>
      </left>
      <right style="thin">
        <color auto="1"/>
      </right>
      <top style="double">
        <color auto="1"/>
      </top>
      <bottom style="hair">
        <color theme="0" tint="-0.499984740745262"/>
      </bottom>
      <diagonal/>
    </border>
    <border>
      <left style="thin">
        <color auto="1"/>
      </left>
      <right style="hair">
        <color theme="0" tint="-0.499984740745262"/>
      </right>
      <top style="hair">
        <color theme="0" tint="-0.499984740745262"/>
      </top>
      <bottom style="hair">
        <color theme="0" tint="-0.499984740745262"/>
      </bottom>
      <diagonal/>
    </border>
    <border>
      <left style="hair">
        <color theme="0" tint="-0.499984740745262"/>
      </left>
      <right style="thin">
        <color auto="1"/>
      </right>
      <top style="hair">
        <color theme="0" tint="-0.499984740745262"/>
      </top>
      <bottom style="hair">
        <color theme="0" tint="-0.499984740745262"/>
      </bottom>
      <diagonal/>
    </border>
    <border>
      <left style="thin">
        <color auto="1"/>
      </left>
      <right style="hair">
        <color theme="0" tint="-0.499984740745262"/>
      </right>
      <top style="hair">
        <color theme="0" tint="-0.499984740745262"/>
      </top>
      <bottom style="thin">
        <color auto="1"/>
      </bottom>
      <diagonal/>
    </border>
    <border>
      <left style="hair">
        <color theme="0" tint="-0.499984740745262"/>
      </left>
      <right style="thin">
        <color auto="1"/>
      </right>
      <top style="hair">
        <color theme="0" tint="-0.499984740745262"/>
      </top>
      <bottom style="thin">
        <color auto="1"/>
      </bottom>
      <diagonal/>
    </border>
    <border>
      <left style="thin">
        <color auto="1"/>
      </left>
      <right/>
      <top style="double">
        <color auto="1"/>
      </top>
      <bottom style="hair">
        <color theme="0" tint="-0.499984740745262"/>
      </bottom>
      <diagonal/>
    </border>
    <border>
      <left/>
      <right/>
      <top style="double">
        <color auto="1"/>
      </top>
      <bottom style="hair">
        <color theme="0" tint="-0.499984740745262"/>
      </bottom>
      <diagonal/>
    </border>
    <border>
      <left/>
      <right style="thin">
        <color auto="1"/>
      </right>
      <top style="double">
        <color auto="1"/>
      </top>
      <bottom style="hair">
        <color theme="0" tint="-0.499984740745262"/>
      </bottom>
      <diagonal/>
    </border>
    <border>
      <left style="thin">
        <color auto="1"/>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right style="thin">
        <color auto="1"/>
      </right>
      <top style="hair">
        <color theme="0" tint="-0.499984740745262"/>
      </top>
      <bottom style="hair">
        <color theme="0" tint="-0.499984740745262"/>
      </bottom>
      <diagonal/>
    </border>
    <border>
      <left style="thin">
        <color auto="1"/>
      </left>
      <right/>
      <top style="hair">
        <color theme="0" tint="-0.499984740745262"/>
      </top>
      <bottom style="thin">
        <color auto="1"/>
      </bottom>
      <diagonal/>
    </border>
    <border>
      <left/>
      <right/>
      <top style="hair">
        <color theme="0" tint="-0.499984740745262"/>
      </top>
      <bottom style="thin">
        <color auto="1"/>
      </bottom>
      <diagonal/>
    </border>
    <border>
      <left/>
      <right style="thin">
        <color auto="1"/>
      </right>
      <top style="hair">
        <color theme="0" tint="-0.499984740745262"/>
      </top>
      <bottom style="thin">
        <color auto="1"/>
      </bottom>
      <diagonal/>
    </border>
    <border>
      <left style="thin">
        <color auto="1"/>
      </left>
      <right/>
      <top/>
      <bottom style="hair">
        <color theme="0" tint="-0.499984740745262"/>
      </bottom>
      <diagonal/>
    </border>
    <border>
      <left/>
      <right style="thin">
        <color auto="1"/>
      </right>
      <top/>
      <bottom style="hair">
        <color theme="0" tint="-0.499984740745262"/>
      </bottom>
      <diagonal/>
    </border>
    <border>
      <left/>
      <right style="thin">
        <color auto="1"/>
      </right>
      <top style="hair">
        <color theme="0" tint="-0.499984740745262"/>
      </top>
      <bottom style="hair">
        <color auto="1"/>
      </bottom>
      <diagonal/>
    </border>
    <border>
      <left style="thin">
        <color auto="1"/>
      </left>
      <right style="thin">
        <color auto="1"/>
      </right>
      <top style="double">
        <color auto="1"/>
      </top>
      <bottom style="hair">
        <color theme="0" tint="-0.499984740745262"/>
      </bottom>
      <diagonal/>
    </border>
    <border>
      <left style="thin">
        <color auto="1"/>
      </left>
      <right style="thin">
        <color auto="1"/>
      </right>
      <top style="hair">
        <color theme="0" tint="-0.499984740745262"/>
      </top>
      <bottom style="hair">
        <color theme="0" tint="-0.499984740745262"/>
      </bottom>
      <diagonal/>
    </border>
    <border>
      <left style="thin">
        <color auto="1"/>
      </left>
      <right/>
      <top style="hair">
        <color theme="0" tint="-0.499984740745262"/>
      </top>
      <bottom/>
      <diagonal/>
    </border>
    <border>
      <left style="thin">
        <color auto="1"/>
      </left>
      <right style="thin">
        <color auto="1"/>
      </right>
      <top style="thin">
        <color auto="1"/>
      </top>
      <bottom style="hair">
        <color theme="0" tint="-0.499984740745262"/>
      </bottom>
      <diagonal/>
    </border>
    <border>
      <left style="thin">
        <color auto="1"/>
      </left>
      <right style="thin">
        <color auto="1"/>
      </right>
      <top style="hair">
        <color theme="0" tint="-0.499984740745262"/>
      </top>
      <bottom style="thin">
        <color auto="1"/>
      </bottom>
      <diagonal/>
    </border>
    <border>
      <left/>
      <right/>
      <top/>
      <bottom style="hair">
        <color theme="0" tint="-0.499984740745262"/>
      </bottom>
      <diagonal/>
    </border>
    <border>
      <left style="thin">
        <color auto="1"/>
      </left>
      <right style="hair">
        <color theme="0" tint="-0.499984740745262"/>
      </right>
      <top/>
      <bottom style="hair">
        <color theme="0" tint="-0.499984740745262"/>
      </bottom>
      <diagonal/>
    </border>
    <border>
      <left style="hair">
        <color theme="0" tint="-0.499984740745262"/>
      </left>
      <right style="thin">
        <color auto="1"/>
      </right>
      <top/>
      <bottom style="hair">
        <color theme="0" tint="-0.499984740745262"/>
      </bottom>
      <diagonal/>
    </border>
    <border>
      <left style="hair">
        <color theme="0" tint="-0.34998626667073579"/>
      </left>
      <right style="thin">
        <color auto="1"/>
      </right>
      <top/>
      <bottom style="hair">
        <color theme="0" tint="-0.34998626667073579"/>
      </bottom>
      <diagonal/>
    </border>
    <border>
      <left style="hair">
        <color theme="0" tint="-0.34998626667073579"/>
      </left>
      <right style="thin">
        <color auto="1"/>
      </right>
      <top/>
      <bottom/>
      <diagonal/>
    </border>
    <border>
      <left/>
      <right style="hair">
        <color auto="1"/>
      </right>
      <top/>
      <bottom style="thin">
        <color auto="1"/>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style="thin">
        <color auto="1"/>
      </right>
      <top style="hair">
        <color theme="1" tint="0.499984740745262"/>
      </top>
      <bottom style="hair">
        <color theme="0" tint="-0.499984740745262"/>
      </bottom>
      <diagonal/>
    </border>
    <border>
      <left style="thin">
        <color auto="1"/>
      </left>
      <right style="hair">
        <color theme="0" tint="-0.499984740745262"/>
      </right>
      <top style="hair">
        <color theme="1" tint="0.499984740745262"/>
      </top>
      <bottom style="hair">
        <color theme="0" tint="-0.499984740745262"/>
      </bottom>
      <diagonal/>
    </border>
    <border>
      <left/>
      <right style="thin">
        <color auto="1"/>
      </right>
      <top style="hair">
        <color theme="1" tint="0.499984740745262"/>
      </top>
      <bottom style="hair">
        <color theme="0" tint="-0.499984740745262"/>
      </bottom>
      <diagonal/>
    </border>
    <border>
      <left style="thin">
        <color auto="1"/>
      </left>
      <right style="thin">
        <color auto="1"/>
      </right>
      <top style="hair">
        <color theme="0" tint="-0.499984740745262"/>
      </top>
      <bottom style="hair">
        <color theme="1" tint="0.499984740745262"/>
      </bottom>
      <diagonal/>
    </border>
    <border>
      <left style="hair">
        <color theme="0" tint="-0.499984740745262"/>
      </left>
      <right style="thin">
        <color auto="1"/>
      </right>
      <top style="hair">
        <color theme="0" tint="-0.499984740745262"/>
      </top>
      <bottom style="hair">
        <color theme="1" tint="0.499984740745262"/>
      </bottom>
      <diagonal/>
    </border>
    <border>
      <left/>
      <right style="thin">
        <color auto="1"/>
      </right>
      <top style="hair">
        <color theme="1" tint="0.499984740745262"/>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right style="thin">
        <color auto="1"/>
      </right>
      <top style="medium">
        <color auto="1"/>
      </top>
      <bottom/>
      <diagonal/>
    </border>
    <border>
      <left/>
      <right style="thin">
        <color auto="1"/>
      </right>
      <top/>
      <bottom style="medium">
        <color auto="1"/>
      </bottom>
      <diagonal/>
    </border>
    <border>
      <left style="thin">
        <color auto="1"/>
      </left>
      <right/>
      <top style="thin">
        <color auto="1"/>
      </top>
      <bottom style="thin">
        <color auto="1"/>
      </bottom>
      <diagonal/>
    </border>
    <border>
      <left style="thin">
        <color auto="1"/>
      </left>
      <right/>
      <top style="double">
        <color auto="1"/>
      </top>
      <bottom/>
      <diagonal/>
    </border>
    <border>
      <left/>
      <right style="hair">
        <color auto="1"/>
      </right>
      <top style="hair">
        <color theme="0" tint="-0.499984740745262"/>
      </top>
      <bottom/>
      <diagonal/>
    </border>
    <border>
      <left/>
      <right style="hair">
        <color auto="1"/>
      </right>
      <top style="hair">
        <color theme="0" tint="-0.499984740745262"/>
      </top>
      <bottom style="thin">
        <color auto="1"/>
      </bottom>
      <diagonal/>
    </border>
    <border>
      <left/>
      <right/>
      <top style="thin">
        <color auto="1"/>
      </top>
      <bottom style="thin">
        <color auto="1"/>
      </bottom>
      <diagonal/>
    </border>
    <border>
      <left style="thin">
        <color auto="1"/>
      </left>
      <right style="thin">
        <color auto="1"/>
      </right>
      <top style="hair">
        <color theme="0" tint="-0.499984740745262"/>
      </top>
      <bottom/>
      <diagonal/>
    </border>
    <border>
      <left style="hair">
        <color auto="1"/>
      </left>
      <right/>
      <top/>
      <bottom/>
      <diagonal/>
    </border>
    <border>
      <left/>
      <right/>
      <top style="hair">
        <color theme="0" tint="-0.499984740745262"/>
      </top>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auto="1"/>
      </left>
      <right style="thin">
        <color auto="1"/>
      </right>
      <top style="thin">
        <color auto="1"/>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thin">
        <color auto="1"/>
      </bottom>
      <diagonal/>
    </border>
    <border>
      <left style="hair">
        <color theme="0" tint="-0.499984740745262"/>
      </left>
      <right style="hair">
        <color theme="0" tint="-0.499984740745262"/>
      </right>
      <top style="thin">
        <color auto="1"/>
      </top>
      <bottom style="hair">
        <color theme="0" tint="-0.499984740745262"/>
      </bottom>
      <diagonal/>
    </border>
    <border>
      <left style="thin">
        <color auto="1"/>
      </left>
      <right style="thin">
        <color auto="1"/>
      </right>
      <top style="thin">
        <color auto="1"/>
      </top>
      <bottom style="hair">
        <color theme="0" tint="-0.499984740745262"/>
      </bottom>
      <diagonal/>
    </border>
    <border>
      <left style="thin">
        <color auto="1"/>
      </left>
      <right style="hair">
        <color theme="0" tint="-0.499984740745262"/>
      </right>
      <top style="thin">
        <color auto="1"/>
      </top>
      <bottom style="hair">
        <color theme="0" tint="-0.499984740745262"/>
      </bottom>
      <diagonal/>
    </border>
    <border>
      <left style="hair">
        <color theme="0" tint="-0.499984740745262"/>
      </left>
      <right style="thin">
        <color auto="1"/>
      </right>
      <top style="thin">
        <color auto="1"/>
      </top>
      <bottom style="hair">
        <color theme="0" tint="-0.499984740745262"/>
      </bottom>
      <diagonal/>
    </border>
    <border>
      <left style="thin">
        <color auto="1"/>
      </left>
      <right style="hair">
        <color theme="0" tint="-0.34998626667073579"/>
      </right>
      <top style="hair">
        <color theme="0" tint="-0.34998626667073579"/>
      </top>
      <bottom style="hair">
        <color theme="0" tint="-0.499984740745262"/>
      </bottom>
      <diagonal/>
    </border>
    <border>
      <left/>
      <right style="thin">
        <color auto="1"/>
      </right>
      <top style="hair">
        <color theme="0" tint="-0.34998626667073579"/>
      </top>
      <bottom style="hair">
        <color theme="0" tint="-0.499984740745262"/>
      </bottom>
      <diagonal/>
    </border>
    <border>
      <left/>
      <right style="hair">
        <color auto="1"/>
      </right>
      <top/>
      <bottom style="hair">
        <color theme="0" tint="-0.499984740745262"/>
      </bottom>
      <diagonal/>
    </border>
    <border>
      <left style="hair">
        <color theme="0" tint="-0.499984740745262"/>
      </left>
      <right style="thin">
        <color auto="1"/>
      </right>
      <top style="double">
        <color auto="1"/>
      </top>
      <bottom/>
      <diagonal/>
    </border>
    <border>
      <left style="thin">
        <color auto="1"/>
      </left>
      <right style="hair">
        <color theme="0" tint="-0.34998626667073579"/>
      </right>
      <top style="hair">
        <color theme="0" tint="-0.499984740745262"/>
      </top>
      <bottom style="thin">
        <color auto="1"/>
      </bottom>
      <diagonal/>
    </border>
    <border>
      <left style="hair">
        <color theme="0" tint="-0.499984740745262"/>
      </left>
      <right style="thin">
        <color auto="1"/>
      </right>
      <top style="hair">
        <color theme="0" tint="-0.499984740745262"/>
      </top>
      <bottom/>
      <diagonal/>
    </border>
  </borders>
  <cellStyleXfs count="3516">
    <xf numFmtId="0" fontId="0" fillId="0" borderId="0"/>
    <xf numFmtId="43" fontId="12" fillId="0" borderId="0" applyFont="0" applyFill="0" applyBorder="0" applyAlignment="0" applyProtection="0"/>
    <xf numFmtId="44" fontId="12" fillId="0" borderId="0" applyFont="0" applyFill="0" applyBorder="0" applyAlignment="0" applyProtection="0"/>
    <xf numFmtId="9" fontId="12" fillId="0" borderId="0" applyFon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10" fillId="0" borderId="0"/>
    <xf numFmtId="9" fontId="10" fillId="0" borderId="0" applyFont="0" applyFill="0" applyBorder="0" applyAlignment="0" applyProtection="0"/>
    <xf numFmtId="0" fontId="9" fillId="0" borderId="0"/>
    <xf numFmtId="44" fontId="9" fillId="0" borderId="0" applyFont="0" applyFill="0" applyBorder="0" applyAlignment="0" applyProtection="0"/>
    <xf numFmtId="43" fontId="9" fillId="0" borderId="0" applyFont="0" applyFill="0" applyBorder="0" applyAlignment="0" applyProtection="0"/>
    <xf numFmtId="0" fontId="48" fillId="0" borderId="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51" fillId="33"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51" fillId="34"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51" fillId="3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5"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51" fillId="36"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7"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51" fillId="37"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29"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51" fillId="38"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3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51" fillId="39"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51" fillId="40"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4"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51" fillId="41"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6"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51" fillId="36"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28"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51" fillId="39"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0"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51" fillId="4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12" fillId="32"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3" fillId="34" borderId="0" applyNumberFormat="0" applyBorder="0" applyAlignment="0" applyProtection="0"/>
    <xf numFmtId="0" fontId="53" fillId="34" borderId="0" applyNumberFormat="0" applyBorder="0" applyAlignment="0" applyProtection="0"/>
    <xf numFmtId="0" fontId="53" fillId="34" borderId="0" applyNumberFormat="0" applyBorder="0" applyAlignment="0" applyProtection="0"/>
    <xf numFmtId="0" fontId="53" fillId="34" borderId="0" applyNumberFormat="0" applyBorder="0" applyAlignment="0" applyProtection="0"/>
    <xf numFmtId="0" fontId="54" fillId="51" borderId="90" applyNumberFormat="0" applyAlignment="0" applyProtection="0"/>
    <xf numFmtId="0" fontId="54" fillId="51" borderId="90" applyNumberFormat="0" applyAlignment="0" applyProtection="0"/>
    <xf numFmtId="0" fontId="54" fillId="51" borderId="90" applyNumberFormat="0" applyAlignment="0" applyProtection="0"/>
    <xf numFmtId="0" fontId="54" fillId="51" borderId="90" applyNumberFormat="0" applyAlignment="0" applyProtection="0"/>
    <xf numFmtId="0" fontId="55" fillId="52" borderId="91" applyNumberFormat="0" applyAlignment="0" applyProtection="0"/>
    <xf numFmtId="0" fontId="55" fillId="52" borderId="91" applyNumberFormat="0" applyAlignment="0" applyProtection="0"/>
    <xf numFmtId="0" fontId="55" fillId="52" borderId="91" applyNumberFormat="0" applyAlignment="0" applyProtection="0"/>
    <xf numFmtId="0" fontId="55" fillId="52" borderId="91" applyNumberFormat="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3"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44" fontId="48" fillId="0" borderId="0" applyFont="0" applyFill="0" applyBorder="0" applyAlignment="0" applyProtection="0"/>
    <xf numFmtId="174" fontId="50" fillId="0" borderId="0" applyFont="0" applyFill="0" applyBorder="0" applyAlignment="0" applyProtection="0"/>
    <xf numFmtId="175"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48" fillId="0" borderId="0" applyFon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49" fillId="53" borderId="19" applyNumberFormat="0" applyFont="0" applyFill="0" applyBorder="0" applyAlignment="0">
      <alignment horizontal="left" vertical="center"/>
    </xf>
    <xf numFmtId="0" fontId="57" fillId="35" borderId="0" applyNumberFormat="0" applyBorder="0" applyAlignment="0" applyProtection="0"/>
    <xf numFmtId="0" fontId="57" fillId="35" borderId="0" applyNumberFormat="0" applyBorder="0" applyAlignment="0" applyProtection="0"/>
    <xf numFmtId="0" fontId="57" fillId="35" borderId="0" applyNumberFormat="0" applyBorder="0" applyAlignment="0" applyProtection="0"/>
    <xf numFmtId="0" fontId="57" fillId="35" borderId="0" applyNumberFormat="0" applyBorder="0" applyAlignment="0" applyProtection="0"/>
    <xf numFmtId="0" fontId="58" fillId="0" borderId="92" applyNumberFormat="0" applyFill="0" applyAlignment="0" applyProtection="0"/>
    <xf numFmtId="0" fontId="58" fillId="0" borderId="92" applyNumberFormat="0" applyFill="0" applyAlignment="0" applyProtection="0"/>
    <xf numFmtId="0" fontId="58" fillId="0" borderId="92" applyNumberFormat="0" applyFill="0" applyAlignment="0" applyProtection="0"/>
    <xf numFmtId="0" fontId="58" fillId="0" borderId="92" applyNumberFormat="0" applyFill="0" applyAlignment="0" applyProtection="0"/>
    <xf numFmtId="0" fontId="59" fillId="0" borderId="93" applyNumberFormat="0" applyFill="0" applyAlignment="0" applyProtection="0"/>
    <xf numFmtId="0" fontId="59" fillId="0" borderId="93" applyNumberFormat="0" applyFill="0" applyAlignment="0" applyProtection="0"/>
    <xf numFmtId="0" fontId="59" fillId="0" borderId="93" applyNumberFormat="0" applyFill="0" applyAlignment="0" applyProtection="0"/>
    <xf numFmtId="0" fontId="59" fillId="0" borderId="93" applyNumberFormat="0" applyFill="0" applyAlignment="0" applyProtection="0"/>
    <xf numFmtId="0" fontId="60" fillId="0" borderId="94" applyNumberFormat="0" applyFill="0" applyAlignment="0" applyProtection="0"/>
    <xf numFmtId="0" fontId="60" fillId="0" borderId="94" applyNumberFormat="0" applyFill="0" applyAlignment="0" applyProtection="0"/>
    <xf numFmtId="0" fontId="60" fillId="0" borderId="94" applyNumberFormat="0" applyFill="0" applyAlignment="0" applyProtection="0"/>
    <xf numFmtId="0" fontId="60" fillId="0" borderId="94"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38" borderId="90" applyNumberFormat="0" applyAlignment="0" applyProtection="0"/>
    <xf numFmtId="0" fontId="61" fillId="38" borderId="90" applyNumberFormat="0" applyAlignment="0" applyProtection="0"/>
    <xf numFmtId="0" fontId="61" fillId="38" borderId="90" applyNumberFormat="0" applyAlignment="0" applyProtection="0"/>
    <xf numFmtId="0" fontId="61" fillId="38" borderId="90" applyNumberFormat="0" applyAlignment="0" applyProtection="0"/>
    <xf numFmtId="0" fontId="62" fillId="0" borderId="95" applyNumberFormat="0" applyFill="0" applyAlignment="0" applyProtection="0"/>
    <xf numFmtId="0" fontId="62" fillId="0" borderId="95" applyNumberFormat="0" applyFill="0" applyAlignment="0" applyProtection="0"/>
    <xf numFmtId="0" fontId="62" fillId="0" borderId="95" applyNumberFormat="0" applyFill="0" applyAlignment="0" applyProtection="0"/>
    <xf numFmtId="0" fontId="62" fillId="0" borderId="95" applyNumberFormat="0" applyFill="0" applyAlignment="0" applyProtection="0"/>
    <xf numFmtId="0" fontId="63" fillId="54" borderId="0" applyNumberFormat="0" applyBorder="0" applyAlignment="0" applyProtection="0"/>
    <xf numFmtId="0" fontId="63" fillId="54" borderId="0" applyNumberFormat="0" applyBorder="0" applyAlignment="0" applyProtection="0"/>
    <xf numFmtId="0" fontId="63" fillId="54" borderId="0" applyNumberFormat="0" applyBorder="0" applyAlignment="0" applyProtection="0"/>
    <xf numFmtId="0" fontId="63" fillId="54" borderId="0" applyNumberFormat="0" applyBorder="0" applyAlignment="0" applyProtection="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51"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12" fillId="0" borderId="0"/>
    <xf numFmtId="0" fontId="12" fillId="0" borderId="0"/>
    <xf numFmtId="0" fontId="48" fillId="0" borderId="0"/>
    <xf numFmtId="0" fontId="12" fillId="0" borderId="0"/>
    <xf numFmtId="0" fontId="12" fillId="0" borderId="0"/>
    <xf numFmtId="0" fontId="48" fillId="0" borderId="0"/>
    <xf numFmtId="0" fontId="12" fillId="0" borderId="0"/>
    <xf numFmtId="0" fontId="48"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12"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48" fillId="0" borderId="0"/>
    <xf numFmtId="0" fontId="48" fillId="0" borderId="0"/>
    <xf numFmtId="0" fontId="4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8" fillId="0" borderId="0"/>
    <xf numFmtId="0" fontId="48" fillId="0" borderId="0"/>
    <xf numFmtId="0" fontId="48" fillId="0" borderId="0"/>
    <xf numFmtId="0" fontId="12" fillId="0" borderId="0"/>
    <xf numFmtId="0" fontId="12" fillId="0" borderId="0"/>
    <xf numFmtId="0" fontId="51" fillId="55" borderId="96" applyNumberFormat="0" applyFont="0" applyAlignment="0" applyProtection="0"/>
    <xf numFmtId="0" fontId="51" fillId="55" borderId="96" applyNumberFormat="0" applyFont="0" applyAlignment="0" applyProtection="0"/>
    <xf numFmtId="0" fontId="51" fillId="55" borderId="96" applyNumberFormat="0" applyFont="0" applyAlignment="0" applyProtection="0"/>
    <xf numFmtId="0" fontId="51" fillId="55" borderId="96"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12" fillId="20" borderId="89" applyNumberFormat="0" applyFont="0" applyAlignment="0" applyProtection="0"/>
    <xf numFmtId="0" fontId="64" fillId="51" borderId="97" applyNumberFormat="0" applyAlignment="0" applyProtection="0"/>
    <xf numFmtId="0" fontId="64" fillId="51" borderId="97" applyNumberFormat="0" applyAlignment="0" applyProtection="0"/>
    <xf numFmtId="0" fontId="64" fillId="51" borderId="97" applyNumberFormat="0" applyAlignment="0" applyProtection="0"/>
    <xf numFmtId="0" fontId="64" fillId="51" borderId="97" applyNumberFormat="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0" borderId="98" applyNumberFormat="0" applyFill="0" applyAlignment="0" applyProtection="0"/>
    <xf numFmtId="0" fontId="66" fillId="0" borderId="98" applyNumberFormat="0" applyFill="0" applyAlignment="0" applyProtection="0"/>
    <xf numFmtId="0" fontId="66" fillId="0" borderId="98" applyNumberFormat="0" applyFill="0" applyAlignment="0" applyProtection="0"/>
    <xf numFmtId="0" fontId="66" fillId="0" borderId="98" applyNumberFormat="0" applyFill="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3" fontId="48" fillId="0" borderId="0" applyFont="0" applyFill="0" applyBorder="0" applyAlignment="0" applyProtection="0"/>
    <xf numFmtId="0" fontId="48" fillId="0" borderId="0"/>
    <xf numFmtId="0" fontId="12"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12" fontId="48" fillId="0" borderId="0"/>
    <xf numFmtId="0" fontId="48" fillId="0" borderId="0"/>
    <xf numFmtId="0" fontId="48" fillId="0" borderId="0"/>
    <xf numFmtId="9" fontId="48" fillId="0" borderId="0" applyFont="0" applyFill="0" applyBorder="0" applyAlignment="0" applyProtection="0"/>
    <xf numFmtId="0" fontId="48" fillId="0" borderId="0"/>
    <xf numFmtId="0" fontId="48" fillId="0" borderId="0"/>
    <xf numFmtId="0" fontId="48" fillId="0" borderId="0"/>
    <xf numFmtId="0" fontId="12" fillId="0" borderId="0"/>
    <xf numFmtId="0" fontId="48" fillId="0" borderId="0"/>
    <xf numFmtId="0" fontId="12" fillId="0" borderId="0"/>
    <xf numFmtId="43" fontId="51" fillId="0" borderId="0" applyFont="0" applyFill="0" applyBorder="0" applyAlignment="0" applyProtection="0"/>
    <xf numFmtId="44" fontId="48" fillId="0" borderId="0" applyFont="0" applyFill="0" applyBorder="0" applyAlignment="0" applyProtection="0"/>
    <xf numFmtId="44" fontId="51" fillId="0" borderId="0" applyFont="0" applyFill="0" applyBorder="0" applyAlignment="0" applyProtection="0"/>
    <xf numFmtId="175" fontId="48" fillId="0" borderId="0" applyFont="0" applyFill="0" applyBorder="0" applyAlignment="0" applyProtection="0"/>
    <xf numFmtId="176" fontId="48" fillId="0" borderId="0" applyFont="0" applyFill="0" applyBorder="0" applyAlignment="0" applyProtection="0"/>
    <xf numFmtId="0" fontId="68" fillId="0" borderId="0" applyNumberFormat="0" applyFill="0" applyBorder="0" applyAlignment="0" applyProtection="0">
      <alignment vertical="top"/>
      <protection locked="0"/>
    </xf>
    <xf numFmtId="0" fontId="48" fillId="0" borderId="0"/>
    <xf numFmtId="0" fontId="48" fillId="0" borderId="0"/>
    <xf numFmtId="0" fontId="48" fillId="0" borderId="0"/>
    <xf numFmtId="0" fontId="48" fillId="0" borderId="0"/>
    <xf numFmtId="0" fontId="48" fillId="0" borderId="0"/>
    <xf numFmtId="12" fontId="48" fillId="0" borderId="0"/>
    <xf numFmtId="0" fontId="48" fillId="0" borderId="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51" fillId="20" borderId="89" applyNumberFormat="0" applyFont="0" applyAlignment="0" applyProtection="0"/>
    <xf numFmtId="0" fontId="12" fillId="20" borderId="89" applyNumberFormat="0" applyFont="0" applyAlignment="0" applyProtection="0"/>
    <xf numFmtId="0" fontId="48" fillId="0" borderId="0"/>
    <xf numFmtId="0" fontId="48" fillId="0" borderId="0"/>
    <xf numFmtId="0" fontId="12" fillId="0" borderId="0"/>
  </cellStyleXfs>
  <cellXfs count="935">
    <xf numFmtId="0" fontId="0" fillId="0" borderId="0" xfId="0"/>
    <xf numFmtId="0" fontId="14" fillId="0" borderId="0" xfId="0" applyFont="1" applyAlignment="1" applyProtection="1">
      <alignment horizontal="center"/>
      <protection locked="0"/>
    </xf>
    <xf numFmtId="0" fontId="14" fillId="0" borderId="0" xfId="0" applyFont="1" applyProtection="1">
      <protection locked="0"/>
    </xf>
    <xf numFmtId="0" fontId="14" fillId="0" borderId="0" xfId="0" applyFont="1" applyAlignment="1" applyProtection="1">
      <alignment horizontal="right"/>
      <protection locked="0"/>
    </xf>
    <xf numFmtId="165" fontId="14" fillId="0" borderId="0" xfId="0" applyNumberFormat="1" applyFont="1" applyProtection="1">
      <protection locked="0"/>
    </xf>
    <xf numFmtId="165" fontId="14" fillId="0" borderId="0" xfId="2" applyNumberFormat="1" applyFont="1" applyProtection="1"/>
    <xf numFmtId="167" fontId="14" fillId="0" borderId="22" xfId="1" applyNumberFormat="1" applyFont="1" applyFill="1" applyBorder="1" applyAlignment="1" applyProtection="1">
      <protection locked="0"/>
    </xf>
    <xf numFmtId="14" fontId="14" fillId="0" borderId="26" xfId="0" applyNumberFormat="1" applyFont="1" applyBorder="1" applyAlignment="1" applyProtection="1">
      <alignment horizontal="center"/>
      <protection locked="0"/>
    </xf>
    <xf numFmtId="14" fontId="14" fillId="0" borderId="50" xfId="0" applyNumberFormat="1" applyFont="1" applyBorder="1" applyAlignment="1" applyProtection="1">
      <alignment horizontal="center"/>
      <protection locked="0"/>
    </xf>
    <xf numFmtId="44" fontId="14" fillId="4" borderId="34" xfId="2" applyFont="1" applyFill="1" applyBorder="1" applyAlignment="1" applyProtection="1">
      <alignment horizontal="left"/>
    </xf>
    <xf numFmtId="44" fontId="14" fillId="4" borderId="35" xfId="2" applyFont="1" applyFill="1" applyBorder="1" applyAlignment="1" applyProtection="1">
      <alignment horizontal="left"/>
    </xf>
    <xf numFmtId="0" fontId="18" fillId="9" borderId="61" xfId="0" applyFont="1" applyFill="1" applyBorder="1"/>
    <xf numFmtId="0" fontId="18" fillId="9" borderId="62" xfId="0" applyFont="1" applyFill="1" applyBorder="1"/>
    <xf numFmtId="0" fontId="19" fillId="0" borderId="0" xfId="0" applyFont="1"/>
    <xf numFmtId="14" fontId="14" fillId="0" borderId="63" xfId="0" applyNumberFormat="1" applyFont="1" applyBorder="1" applyAlignment="1" applyProtection="1">
      <alignment horizontal="center"/>
      <protection locked="0"/>
    </xf>
    <xf numFmtId="14" fontId="14" fillId="0" borderId="64" xfId="0" applyNumberFormat="1" applyFont="1" applyBorder="1" applyAlignment="1" applyProtection="1">
      <alignment horizontal="center"/>
      <protection locked="0"/>
    </xf>
    <xf numFmtId="168" fontId="14" fillId="9" borderId="26" xfId="0" applyNumberFormat="1" applyFont="1" applyFill="1" applyBorder="1" applyAlignment="1">
      <alignment horizontal="center"/>
    </xf>
    <xf numFmtId="168" fontId="14" fillId="9" borderId="50" xfId="0" applyNumberFormat="1" applyFont="1" applyFill="1" applyBorder="1" applyAlignment="1">
      <alignment horizontal="center"/>
    </xf>
    <xf numFmtId="168" fontId="14" fillId="9" borderId="51" xfId="0" applyNumberFormat="1" applyFont="1" applyFill="1" applyBorder="1" applyAlignment="1">
      <alignment horizontal="center"/>
    </xf>
    <xf numFmtId="44" fontId="14" fillId="9" borderId="22" xfId="0" applyNumberFormat="1" applyFont="1" applyFill="1" applyBorder="1" applyAlignment="1">
      <alignment horizontal="center"/>
    </xf>
    <xf numFmtId="2" fontId="14" fillId="9" borderId="66" xfId="0" applyNumberFormat="1" applyFont="1" applyFill="1" applyBorder="1" applyAlignment="1">
      <alignment horizontal="center"/>
    </xf>
    <xf numFmtId="0" fontId="14" fillId="4" borderId="70" xfId="0" applyFont="1" applyFill="1" applyBorder="1" applyAlignment="1">
      <alignment horizontal="center"/>
    </xf>
    <xf numFmtId="165" fontId="14" fillId="4" borderId="68" xfId="2" applyNumberFormat="1" applyFont="1" applyFill="1" applyBorder="1" applyAlignment="1" applyProtection="1">
      <alignment horizontal="center"/>
    </xf>
    <xf numFmtId="165" fontId="14" fillId="4" borderId="65" xfId="2" applyNumberFormat="1" applyFont="1" applyFill="1" applyBorder="1" applyAlignment="1" applyProtection="1">
      <alignment horizontal="center"/>
    </xf>
    <xf numFmtId="165" fontId="14" fillId="5" borderId="68" xfId="0" applyNumberFormat="1" applyFont="1" applyFill="1" applyBorder="1"/>
    <xf numFmtId="165" fontId="14" fillId="5" borderId="65" xfId="0" applyNumberFormat="1" applyFont="1" applyFill="1" applyBorder="1"/>
    <xf numFmtId="165" fontId="14" fillId="5" borderId="67" xfId="0" applyNumberFormat="1" applyFont="1" applyFill="1" applyBorder="1"/>
    <xf numFmtId="165" fontId="14" fillId="6" borderId="67" xfId="0" applyNumberFormat="1" applyFont="1" applyFill="1" applyBorder="1"/>
    <xf numFmtId="165" fontId="14" fillId="6" borderId="65" xfId="0" applyNumberFormat="1" applyFont="1" applyFill="1" applyBorder="1"/>
    <xf numFmtId="165" fontId="14" fillId="2" borderId="1" xfId="2" applyNumberFormat="1" applyFont="1" applyFill="1" applyBorder="1" applyProtection="1"/>
    <xf numFmtId="165" fontId="14" fillId="2" borderId="69" xfId="2" applyNumberFormat="1" applyFont="1" applyFill="1" applyBorder="1" applyProtection="1"/>
    <xf numFmtId="165" fontId="13" fillId="10" borderId="4" xfId="2" applyNumberFormat="1" applyFont="1" applyFill="1" applyBorder="1" applyProtection="1"/>
    <xf numFmtId="165" fontId="14" fillId="7" borderId="1" xfId="2" applyNumberFormat="1" applyFont="1" applyFill="1" applyBorder="1" applyProtection="1"/>
    <xf numFmtId="165" fontId="14" fillId="7" borderId="69" xfId="0" applyNumberFormat="1" applyFont="1" applyFill="1" applyBorder="1"/>
    <xf numFmtId="165" fontId="14" fillId="7" borderId="69" xfId="2" applyNumberFormat="1" applyFont="1" applyFill="1" applyBorder="1" applyProtection="1"/>
    <xf numFmtId="165" fontId="14" fillId="0" borderId="9" xfId="2" applyNumberFormat="1" applyFont="1" applyFill="1" applyBorder="1" applyProtection="1"/>
    <xf numFmtId="0" fontId="14" fillId="0" borderId="0" xfId="0" applyFont="1"/>
    <xf numFmtId="165" fontId="14" fillId="0" borderId="0" xfId="0" applyNumberFormat="1" applyFont="1" applyAlignment="1" applyProtection="1">
      <alignment horizontal="right"/>
      <protection locked="0"/>
    </xf>
    <xf numFmtId="44" fontId="14" fillId="11" borderId="56" xfId="2" applyFont="1" applyFill="1" applyBorder="1" applyProtection="1"/>
    <xf numFmtId="44" fontId="14" fillId="11" borderId="16" xfId="2" applyFont="1" applyFill="1" applyBorder="1" applyProtection="1"/>
    <xf numFmtId="44" fontId="14" fillId="11" borderId="51" xfId="2" applyFont="1" applyFill="1" applyBorder="1" applyProtection="1"/>
    <xf numFmtId="0" fontId="14" fillId="11" borderId="71" xfId="0" applyFont="1" applyFill="1" applyBorder="1" applyAlignment="1">
      <alignment horizontal="center"/>
    </xf>
    <xf numFmtId="0" fontId="14" fillId="11" borderId="38" xfId="0" applyFont="1" applyFill="1" applyBorder="1" applyAlignment="1">
      <alignment horizontal="center"/>
    </xf>
    <xf numFmtId="0" fontId="14" fillId="11" borderId="72" xfId="0" applyFont="1" applyFill="1" applyBorder="1" applyAlignment="1">
      <alignment horizontal="center"/>
    </xf>
    <xf numFmtId="0" fontId="13" fillId="0" borderId="0" xfId="0" applyFont="1"/>
    <xf numFmtId="44" fontId="14" fillId="0" borderId="0" xfId="0" applyNumberFormat="1" applyFont="1"/>
    <xf numFmtId="0" fontId="13" fillId="0" borderId="0" xfId="0" applyFont="1" applyAlignment="1" applyProtection="1">
      <alignment horizontal="left"/>
      <protection locked="0"/>
    </xf>
    <xf numFmtId="166" fontId="14" fillId="11" borderId="56" xfId="1" applyNumberFormat="1" applyFont="1" applyFill="1" applyBorder="1" applyAlignment="1" applyProtection="1">
      <alignment horizontal="center"/>
    </xf>
    <xf numFmtId="166" fontId="14" fillId="11" borderId="16" xfId="1" applyNumberFormat="1" applyFont="1" applyFill="1" applyBorder="1" applyAlignment="1" applyProtection="1">
      <alignment horizontal="center"/>
    </xf>
    <xf numFmtId="166" fontId="14" fillId="11" borderId="75" xfId="1" applyNumberFormat="1" applyFont="1" applyFill="1" applyBorder="1" applyAlignment="1" applyProtection="1">
      <alignment horizontal="center"/>
    </xf>
    <xf numFmtId="0" fontId="11" fillId="0" borderId="0" xfId="0" applyFont="1"/>
    <xf numFmtId="0" fontId="14" fillId="0" borderId="0" xfId="0" applyFont="1" applyAlignment="1">
      <alignment horizontal="center"/>
    </xf>
    <xf numFmtId="0" fontId="11" fillId="0" borderId="0" xfId="0" applyFont="1" applyAlignment="1">
      <alignment horizontal="center"/>
    </xf>
    <xf numFmtId="0" fontId="14" fillId="0" borderId="0" xfId="0" applyFont="1" applyAlignment="1">
      <alignment horizontal="right"/>
    </xf>
    <xf numFmtId="167" fontId="14" fillId="4" borderId="68" xfId="1" applyNumberFormat="1" applyFont="1" applyFill="1" applyBorder="1" applyAlignment="1" applyProtection="1">
      <alignment horizontal="center"/>
    </xf>
    <xf numFmtId="167" fontId="24" fillId="4" borderId="6" xfId="1" applyNumberFormat="1" applyFont="1" applyFill="1" applyBorder="1" applyAlignment="1" applyProtection="1">
      <alignment horizontal="center"/>
    </xf>
    <xf numFmtId="165" fontId="24" fillId="2" borderId="5" xfId="2" applyNumberFormat="1" applyFont="1" applyFill="1" applyBorder="1" applyProtection="1"/>
    <xf numFmtId="0" fontId="24" fillId="1" borderId="9" xfId="0" applyFont="1" applyFill="1" applyBorder="1"/>
    <xf numFmtId="165" fontId="24" fillId="7" borderId="5" xfId="2" applyNumberFormat="1" applyFont="1" applyFill="1" applyBorder="1" applyProtection="1"/>
    <xf numFmtId="167" fontId="24" fillId="4" borderId="19" xfId="1" applyNumberFormat="1" applyFont="1" applyFill="1" applyBorder="1" applyAlignment="1" applyProtection="1">
      <alignment horizontal="center"/>
    </xf>
    <xf numFmtId="165" fontId="24" fillId="4" borderId="19" xfId="2" applyNumberFormat="1" applyFont="1" applyFill="1" applyBorder="1" applyAlignment="1" applyProtection="1">
      <alignment horizontal="center"/>
    </xf>
    <xf numFmtId="165" fontId="24" fillId="4" borderId="28" xfId="2" applyNumberFormat="1" applyFont="1" applyFill="1" applyBorder="1" applyAlignment="1" applyProtection="1">
      <alignment horizontal="center"/>
    </xf>
    <xf numFmtId="165" fontId="24" fillId="5" borderId="29" xfId="2" applyNumberFormat="1" applyFont="1" applyFill="1" applyBorder="1" applyProtection="1"/>
    <xf numFmtId="165" fontId="24" fillId="5" borderId="19" xfId="2" applyNumberFormat="1" applyFont="1" applyFill="1" applyBorder="1" applyProtection="1"/>
    <xf numFmtId="165" fontId="24" fillId="5" borderId="28" xfId="2" applyNumberFormat="1" applyFont="1" applyFill="1" applyBorder="1" applyProtection="1"/>
    <xf numFmtId="165" fontId="27" fillId="6" borderId="19" xfId="2" applyNumberFormat="1" applyFont="1" applyFill="1" applyBorder="1" applyProtection="1"/>
    <xf numFmtId="165" fontId="24" fillId="6" borderId="28" xfId="2" applyNumberFormat="1" applyFont="1" applyFill="1" applyBorder="1" applyProtection="1"/>
    <xf numFmtId="165" fontId="24" fillId="2" borderId="3" xfId="2" applyNumberFormat="1" applyFont="1" applyFill="1" applyBorder="1" applyProtection="1"/>
    <xf numFmtId="0" fontId="24" fillId="1" borderId="19" xfId="0" applyFont="1" applyFill="1" applyBorder="1"/>
    <xf numFmtId="165" fontId="24" fillId="7" borderId="3" xfId="2" applyNumberFormat="1" applyFont="1" applyFill="1" applyBorder="1" applyProtection="1"/>
    <xf numFmtId="167" fontId="24" fillId="4" borderId="12" xfId="1" applyNumberFormat="1" applyFont="1" applyFill="1" applyBorder="1" applyAlignment="1" applyProtection="1">
      <alignment horizontal="center"/>
    </xf>
    <xf numFmtId="165" fontId="24" fillId="4" borderId="12" xfId="2" applyNumberFormat="1" applyFont="1" applyFill="1" applyBorder="1" applyAlignment="1" applyProtection="1">
      <alignment horizontal="center"/>
    </xf>
    <xf numFmtId="165" fontId="24" fillId="4" borderId="27" xfId="2" applyNumberFormat="1" applyFont="1" applyFill="1" applyBorder="1" applyAlignment="1" applyProtection="1">
      <alignment horizontal="center"/>
    </xf>
    <xf numFmtId="165" fontId="24" fillId="5" borderId="58" xfId="2" applyNumberFormat="1" applyFont="1" applyFill="1" applyBorder="1" applyProtection="1"/>
    <xf numFmtId="165" fontId="24" fillId="5" borderId="12" xfId="2" applyNumberFormat="1" applyFont="1" applyFill="1" applyBorder="1" applyProtection="1"/>
    <xf numFmtId="165" fontId="24" fillId="5" borderId="27" xfId="2" applyNumberFormat="1" applyFont="1" applyFill="1" applyBorder="1" applyProtection="1"/>
    <xf numFmtId="165" fontId="27" fillId="6" borderId="12" xfId="2" applyNumberFormat="1" applyFont="1" applyFill="1" applyBorder="1" applyProtection="1"/>
    <xf numFmtId="165" fontId="24" fillId="6" borderId="27" xfId="2" applyNumberFormat="1" applyFont="1" applyFill="1" applyBorder="1" applyProtection="1"/>
    <xf numFmtId="165" fontId="24" fillId="2" borderId="25" xfId="2" applyNumberFormat="1" applyFont="1" applyFill="1" applyBorder="1" applyProtection="1"/>
    <xf numFmtId="165" fontId="24" fillId="7" borderId="25" xfId="2" applyNumberFormat="1" applyFont="1" applyFill="1" applyBorder="1" applyProtection="1"/>
    <xf numFmtId="167" fontId="24" fillId="1" borderId="60" xfId="1" applyNumberFormat="1" applyFont="1" applyFill="1" applyBorder="1" applyAlignment="1" applyProtection="1">
      <alignment horizontal="center"/>
    </xf>
    <xf numFmtId="165" fontId="24" fillId="1" borderId="61" xfId="2" applyNumberFormat="1" applyFont="1" applyFill="1" applyBorder="1" applyAlignment="1" applyProtection="1">
      <alignment horizontal="center"/>
    </xf>
    <xf numFmtId="165" fontId="24" fillId="13" borderId="61" xfId="2" applyNumberFormat="1" applyFont="1" applyFill="1" applyBorder="1" applyProtection="1"/>
    <xf numFmtId="165" fontId="27" fillId="13" borderId="60" xfId="2" applyNumberFormat="1" applyFont="1" applyFill="1" applyBorder="1" applyProtection="1"/>
    <xf numFmtId="0" fontId="24" fillId="13" borderId="0" xfId="0" applyFont="1" applyFill="1"/>
    <xf numFmtId="165" fontId="24" fillId="13" borderId="62" xfId="2" applyNumberFormat="1" applyFont="1" applyFill="1" applyBorder="1" applyProtection="1"/>
    <xf numFmtId="167" fontId="24" fillId="4" borderId="17" xfId="1" applyNumberFormat="1" applyFont="1" applyFill="1" applyBorder="1" applyAlignment="1" applyProtection="1">
      <alignment horizontal="center"/>
    </xf>
    <xf numFmtId="167" fontId="24" fillId="13" borderId="61" xfId="1" applyNumberFormat="1" applyFont="1" applyFill="1" applyBorder="1" applyAlignment="1" applyProtection="1">
      <alignment horizontal="center"/>
    </xf>
    <xf numFmtId="165" fontId="24" fillId="13" borderId="61" xfId="2" applyNumberFormat="1" applyFont="1" applyFill="1" applyBorder="1" applyAlignment="1" applyProtection="1">
      <alignment horizontal="center"/>
    </xf>
    <xf numFmtId="165" fontId="27" fillId="13" borderId="12" xfId="2" applyNumberFormat="1" applyFont="1" applyFill="1" applyBorder="1" applyProtection="1"/>
    <xf numFmtId="165" fontId="27" fillId="6" borderId="29" xfId="2" applyNumberFormat="1" applyFont="1" applyFill="1" applyBorder="1" applyProtection="1"/>
    <xf numFmtId="165" fontId="24" fillId="13" borderId="12" xfId="2" applyNumberFormat="1" applyFont="1" applyFill="1" applyBorder="1" applyProtection="1"/>
    <xf numFmtId="9" fontId="14" fillId="0" borderId="22" xfId="3" applyFont="1" applyBorder="1" applyAlignment="1" applyProtection="1">
      <alignment horizontal="center"/>
    </xf>
    <xf numFmtId="167" fontId="24" fillId="4" borderId="0" xfId="1" applyNumberFormat="1" applyFont="1" applyFill="1" applyBorder="1" applyAlignment="1" applyProtection="1">
      <alignment horizontal="center"/>
    </xf>
    <xf numFmtId="165" fontId="24" fillId="4" borderId="0" xfId="2" applyNumberFormat="1" applyFont="1" applyFill="1" applyBorder="1" applyAlignment="1" applyProtection="1">
      <alignment horizontal="center"/>
    </xf>
    <xf numFmtId="165" fontId="24" fillId="4" borderId="2" xfId="2" applyNumberFormat="1" applyFont="1" applyFill="1" applyBorder="1" applyAlignment="1" applyProtection="1">
      <alignment horizontal="center"/>
    </xf>
    <xf numFmtId="165" fontId="24" fillId="5" borderId="17" xfId="2" applyNumberFormat="1" applyFont="1" applyFill="1" applyBorder="1" applyProtection="1"/>
    <xf numFmtId="165" fontId="24" fillId="5" borderId="0" xfId="2" applyNumberFormat="1" applyFont="1" applyFill="1" applyBorder="1" applyProtection="1"/>
    <xf numFmtId="165" fontId="24" fillId="5" borderId="2" xfId="2" applyNumberFormat="1" applyFont="1" applyFill="1" applyBorder="1" applyProtection="1"/>
    <xf numFmtId="165" fontId="27" fillId="6" borderId="0" xfId="2" applyNumberFormat="1" applyFont="1" applyFill="1" applyBorder="1" applyProtection="1"/>
    <xf numFmtId="165" fontId="24" fillId="6" borderId="2" xfId="2" applyNumberFormat="1" applyFont="1" applyFill="1" applyBorder="1" applyProtection="1"/>
    <xf numFmtId="165" fontId="24" fillId="2" borderId="9" xfId="2" applyNumberFormat="1" applyFont="1" applyFill="1" applyBorder="1" applyProtection="1"/>
    <xf numFmtId="0" fontId="24" fillId="1" borderId="0" xfId="0" applyFont="1" applyFill="1"/>
    <xf numFmtId="165" fontId="24" fillId="7" borderId="9" xfId="2" applyNumberFormat="1" applyFont="1" applyFill="1" applyBorder="1" applyProtection="1"/>
    <xf numFmtId="0" fontId="24" fillId="4" borderId="5" xfId="0" applyFont="1" applyFill="1" applyBorder="1" applyAlignment="1">
      <alignment horizontal="center"/>
    </xf>
    <xf numFmtId="0" fontId="24" fillId="4" borderId="9" xfId="0" applyFont="1" applyFill="1" applyBorder="1" applyAlignment="1">
      <alignment horizontal="center"/>
    </xf>
    <xf numFmtId="0" fontId="24" fillId="4" borderId="3" xfId="0" applyFont="1" applyFill="1" applyBorder="1" applyAlignment="1">
      <alignment horizontal="center"/>
    </xf>
    <xf numFmtId="0" fontId="28" fillId="0" borderId="0" xfId="0" applyFont="1" applyAlignment="1">
      <alignment horizontal="left" wrapText="1"/>
    </xf>
    <xf numFmtId="0" fontId="28" fillId="0" borderId="0" xfId="2" applyNumberFormat="1" applyFont="1" applyAlignment="1">
      <alignment horizontal="left" wrapText="1"/>
    </xf>
    <xf numFmtId="0" fontId="29" fillId="0" borderId="0" xfId="0" applyFont="1" applyAlignment="1">
      <alignment horizontal="left" wrapText="1"/>
    </xf>
    <xf numFmtId="0" fontId="29" fillId="0" borderId="0" xfId="0" applyFont="1" applyAlignment="1">
      <alignment horizontal="left"/>
    </xf>
    <xf numFmtId="0" fontId="29" fillId="0" borderId="0" xfId="2" applyNumberFormat="1" applyFont="1" applyAlignment="1">
      <alignment horizontal="left"/>
    </xf>
    <xf numFmtId="0" fontId="28" fillId="0" borderId="0" xfId="0" applyFont="1" applyAlignment="1">
      <alignment horizontal="center"/>
    </xf>
    <xf numFmtId="165" fontId="27" fillId="6" borderId="17" xfId="2" applyNumberFormat="1" applyFont="1" applyFill="1" applyBorder="1" applyProtection="1"/>
    <xf numFmtId="165" fontId="30" fillId="0" borderId="57" xfId="2" applyNumberFormat="1" applyFont="1" applyFill="1" applyBorder="1" applyProtection="1">
      <protection locked="0"/>
    </xf>
    <xf numFmtId="165" fontId="30" fillId="0" borderId="23" xfId="2" applyNumberFormat="1" applyFont="1" applyFill="1" applyBorder="1" applyProtection="1">
      <protection locked="0"/>
    </xf>
    <xf numFmtId="165" fontId="30" fillId="0" borderId="78" xfId="2" applyNumberFormat="1" applyFont="1" applyFill="1" applyBorder="1" applyProtection="1">
      <protection locked="0"/>
    </xf>
    <xf numFmtId="165" fontId="30" fillId="0" borderId="24" xfId="2" applyNumberFormat="1" applyFont="1" applyFill="1" applyBorder="1" applyProtection="1">
      <protection locked="0"/>
    </xf>
    <xf numFmtId="165" fontId="14" fillId="0" borderId="0" xfId="2" applyNumberFormat="1" applyFont="1" applyFill="1" applyBorder="1" applyProtection="1"/>
    <xf numFmtId="0" fontId="33" fillId="0" borderId="0" xfId="0" applyFont="1" applyProtection="1">
      <protection locked="0"/>
    </xf>
    <xf numFmtId="0" fontId="30" fillId="0" borderId="2" xfId="0" applyFont="1" applyBorder="1" applyAlignment="1" applyProtection="1">
      <alignment horizontal="center"/>
      <protection locked="0"/>
    </xf>
    <xf numFmtId="9" fontId="32" fillId="5" borderId="1" xfId="3" applyFont="1" applyFill="1" applyBorder="1" applyAlignment="1" applyProtection="1">
      <alignment horizontal="center"/>
      <protection locked="0"/>
    </xf>
    <xf numFmtId="44" fontId="32" fillId="5" borderId="3" xfId="2" applyFont="1" applyFill="1" applyBorder="1" applyAlignment="1" applyProtection="1">
      <alignment horizontal="center"/>
      <protection locked="0"/>
    </xf>
    <xf numFmtId="9" fontId="32" fillId="5" borderId="3" xfId="3" applyFont="1" applyFill="1" applyBorder="1" applyAlignment="1" applyProtection="1">
      <alignment horizontal="center"/>
      <protection locked="0"/>
    </xf>
    <xf numFmtId="164" fontId="32" fillId="5" borderId="3" xfId="3" applyNumberFormat="1" applyFont="1" applyFill="1" applyBorder="1" applyAlignment="1" applyProtection="1">
      <alignment horizontal="center"/>
      <protection locked="0"/>
    </xf>
    <xf numFmtId="165" fontId="25" fillId="0" borderId="0" xfId="2" applyNumberFormat="1" applyFont="1" applyProtection="1"/>
    <xf numFmtId="0" fontId="24" fillId="1" borderId="61" xfId="0" applyFont="1" applyFill="1" applyBorder="1"/>
    <xf numFmtId="165" fontId="24" fillId="1" borderId="61" xfId="2" applyNumberFormat="1" applyFont="1" applyFill="1" applyBorder="1" applyProtection="1"/>
    <xf numFmtId="165" fontId="24" fillId="1" borderId="12" xfId="2" applyNumberFormat="1" applyFont="1" applyFill="1" applyBorder="1" applyProtection="1"/>
    <xf numFmtId="0" fontId="24" fillId="1" borderId="62" xfId="0" applyFont="1" applyFill="1" applyBorder="1"/>
    <xf numFmtId="0" fontId="25" fillId="6" borderId="43" xfId="0" applyFont="1" applyFill="1" applyBorder="1" applyAlignment="1">
      <alignment horizontal="center"/>
    </xf>
    <xf numFmtId="0" fontId="25" fillId="6" borderId="44" xfId="0" applyFont="1" applyFill="1" applyBorder="1" applyAlignment="1">
      <alignment horizontal="center"/>
    </xf>
    <xf numFmtId="0" fontId="26" fillId="1" borderId="9" xfId="0" applyFont="1" applyFill="1" applyBorder="1" applyAlignment="1">
      <alignment horizontal="center"/>
    </xf>
    <xf numFmtId="165" fontId="26" fillId="2" borderId="45" xfId="2" applyNumberFormat="1" applyFont="1" applyFill="1" applyBorder="1" applyAlignment="1" applyProtection="1">
      <alignment horizontal="center"/>
    </xf>
    <xf numFmtId="0" fontId="26" fillId="1" borderId="12" xfId="0" applyFont="1" applyFill="1" applyBorder="1" applyAlignment="1">
      <alignment horizontal="center"/>
    </xf>
    <xf numFmtId="165" fontId="26" fillId="7" borderId="45" xfId="2" applyNumberFormat="1" applyFont="1" applyFill="1" applyBorder="1" applyAlignment="1" applyProtection="1">
      <alignment horizontal="center"/>
    </xf>
    <xf numFmtId="0" fontId="25" fillId="5" borderId="43" xfId="0" applyFont="1" applyFill="1" applyBorder="1" applyAlignment="1">
      <alignment horizontal="center"/>
    </xf>
    <xf numFmtId="0" fontId="25" fillId="5" borderId="44" xfId="0" applyFont="1" applyFill="1" applyBorder="1" applyAlignment="1">
      <alignment horizontal="center"/>
    </xf>
    <xf numFmtId="0" fontId="24" fillId="1" borderId="61" xfId="0" applyFont="1" applyFill="1" applyBorder="1" applyAlignment="1">
      <alignment horizontal="center"/>
    </xf>
    <xf numFmtId="0" fontId="25" fillId="4" borderId="43" xfId="0" applyFont="1" applyFill="1" applyBorder="1" applyAlignment="1">
      <alignment horizontal="center"/>
    </xf>
    <xf numFmtId="0" fontId="25" fillId="4" borderId="44" xfId="0" applyFont="1" applyFill="1" applyBorder="1" applyAlignment="1">
      <alignment horizontal="center"/>
    </xf>
    <xf numFmtId="165" fontId="14" fillId="0" borderId="19" xfId="2" applyNumberFormat="1" applyFont="1" applyBorder="1" applyProtection="1"/>
    <xf numFmtId="0" fontId="14" fillId="0" borderId="19" xfId="0" applyFont="1" applyBorder="1"/>
    <xf numFmtId="0" fontId="14" fillId="0" borderId="9" xfId="0" applyFont="1" applyBorder="1"/>
    <xf numFmtId="165" fontId="14" fillId="0" borderId="2" xfId="2" applyNumberFormat="1" applyFont="1" applyBorder="1" applyAlignment="1" applyProtection="1">
      <alignment horizontal="right"/>
    </xf>
    <xf numFmtId="165" fontId="14" fillId="0" borderId="0" xfId="2" applyNumberFormat="1" applyFont="1" applyAlignment="1" applyProtection="1">
      <alignment horizontal="right"/>
    </xf>
    <xf numFmtId="0" fontId="13" fillId="0" borderId="0" xfId="0" applyFont="1" applyAlignment="1">
      <alignment horizontal="right"/>
    </xf>
    <xf numFmtId="0" fontId="13" fillId="0" borderId="2" xfId="0" applyFont="1" applyBorder="1"/>
    <xf numFmtId="165" fontId="24" fillId="0" borderId="0" xfId="2" applyNumberFormat="1" applyFont="1" applyProtection="1"/>
    <xf numFmtId="9" fontId="14" fillId="0" borderId="0" xfId="3" applyFont="1" applyProtection="1"/>
    <xf numFmtId="0" fontId="32" fillId="0" borderId="26" xfId="0" applyFont="1" applyBorder="1" applyProtection="1">
      <protection locked="0"/>
    </xf>
    <xf numFmtId="44" fontId="32" fillId="0" borderId="71" xfId="2" applyFont="1" applyFill="1" applyBorder="1" applyProtection="1">
      <protection locked="0"/>
    </xf>
    <xf numFmtId="0" fontId="32" fillId="0" borderId="15" xfId="0" applyFont="1" applyBorder="1" applyProtection="1">
      <protection locked="0"/>
    </xf>
    <xf numFmtId="44" fontId="32" fillId="0" borderId="38" xfId="2" applyFont="1" applyFill="1" applyBorder="1" applyProtection="1">
      <protection locked="0"/>
    </xf>
    <xf numFmtId="0" fontId="32" fillId="0" borderId="50" xfId="0" applyFont="1" applyBorder="1" applyProtection="1">
      <protection locked="0"/>
    </xf>
    <xf numFmtId="44" fontId="32" fillId="0" borderId="72" xfId="2" applyFont="1" applyFill="1" applyBorder="1" applyProtection="1">
      <protection locked="0"/>
    </xf>
    <xf numFmtId="0" fontId="32" fillId="0" borderId="26" xfId="0" applyFont="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50" xfId="0" applyFont="1" applyBorder="1" applyAlignment="1" applyProtection="1">
      <alignment horizontal="center"/>
      <protection locked="0"/>
    </xf>
    <xf numFmtId="166" fontId="14" fillId="11" borderId="0" xfId="1" applyNumberFormat="1" applyFont="1" applyFill="1" applyAlignment="1" applyProtection="1">
      <alignment horizontal="center"/>
    </xf>
    <xf numFmtId="43" fontId="14" fillId="11" borderId="0" xfId="0" applyNumberFormat="1" applyFont="1" applyFill="1"/>
    <xf numFmtId="0" fontId="24" fillId="6" borderId="0" xfId="0" applyFont="1" applyFill="1"/>
    <xf numFmtId="0" fontId="24" fillId="7" borderId="0" xfId="0" applyFont="1" applyFill="1"/>
    <xf numFmtId="0" fontId="24" fillId="15" borderId="0" xfId="0" applyFont="1" applyFill="1"/>
    <xf numFmtId="0" fontId="24" fillId="2" borderId="0" xfId="0" applyFont="1" applyFill="1"/>
    <xf numFmtId="0" fontId="24" fillId="14" borderId="0" xfId="0" applyFont="1" applyFill="1"/>
    <xf numFmtId="44" fontId="14" fillId="0" borderId="0" xfId="2" applyFont="1" applyProtection="1"/>
    <xf numFmtId="0" fontId="25" fillId="0" borderId="9" xfId="0" applyFont="1" applyBorder="1" applyAlignment="1">
      <alignment horizontal="center"/>
    </xf>
    <xf numFmtId="0" fontId="25" fillId="0" borderId="3" xfId="0" applyFont="1" applyBorder="1" applyAlignment="1">
      <alignment horizontal="center"/>
    </xf>
    <xf numFmtId="0" fontId="25" fillId="0" borderId="5" xfId="0" applyFont="1" applyBorder="1" applyAlignment="1">
      <alignment horizontal="center"/>
    </xf>
    <xf numFmtId="0" fontId="34" fillId="0" borderId="0" xfId="0" applyFont="1" applyAlignment="1">
      <alignment horizontal="left"/>
    </xf>
    <xf numFmtId="0" fontId="18" fillId="12" borderId="0" xfId="0" applyFont="1" applyFill="1"/>
    <xf numFmtId="0" fontId="17" fillId="12" borderId="0" xfId="0" applyFont="1" applyFill="1" applyAlignment="1">
      <alignment horizontal="right"/>
    </xf>
    <xf numFmtId="0" fontId="14" fillId="0" borderId="2" xfId="0" applyFont="1" applyBorder="1" applyAlignment="1">
      <alignment horizontal="right"/>
    </xf>
    <xf numFmtId="165" fontId="15" fillId="0" borderId="0" xfId="2" applyNumberFormat="1" applyFont="1" applyProtection="1"/>
    <xf numFmtId="165" fontId="26" fillId="0" borderId="0" xfId="2" applyNumberFormat="1" applyFont="1" applyAlignment="1" applyProtection="1">
      <alignment horizontal="center"/>
    </xf>
    <xf numFmtId="165" fontId="25" fillId="0" borderId="0" xfId="2" applyNumberFormat="1" applyFont="1" applyFill="1" applyBorder="1" applyAlignment="1" applyProtection="1">
      <alignment vertical="top"/>
    </xf>
    <xf numFmtId="165" fontId="14" fillId="2" borderId="4" xfId="2" applyNumberFormat="1" applyFont="1" applyFill="1" applyBorder="1" applyProtection="1"/>
    <xf numFmtId="9" fontId="14" fillId="0" borderId="12" xfId="3" applyFont="1" applyFill="1" applyBorder="1" applyProtection="1"/>
    <xf numFmtId="0" fontId="18" fillId="0" borderId="0" xfId="0" applyFont="1"/>
    <xf numFmtId="0" fontId="33" fillId="0" borderId="30" xfId="1" applyNumberFormat="1" applyFont="1" applyFill="1" applyBorder="1" applyAlignment="1" applyProtection="1">
      <alignment horizontal="center"/>
      <protection locked="0"/>
    </xf>
    <xf numFmtId="0" fontId="33" fillId="0" borderId="37" xfId="1" applyNumberFormat="1" applyFont="1" applyFill="1" applyBorder="1" applyAlignment="1" applyProtection="1">
      <alignment horizontal="center"/>
      <protection locked="0"/>
    </xf>
    <xf numFmtId="0" fontId="35" fillId="9" borderId="60" xfId="0" applyFont="1" applyFill="1" applyBorder="1"/>
    <xf numFmtId="166" fontId="33" fillId="0" borderId="69" xfId="1" applyNumberFormat="1" applyFont="1" applyFill="1" applyBorder="1" applyAlignment="1" applyProtection="1">
      <alignment horizontal="center"/>
      <protection locked="0"/>
    </xf>
    <xf numFmtId="166" fontId="33" fillId="0" borderId="4" xfId="1" applyNumberFormat="1" applyFont="1" applyFill="1" applyBorder="1" applyAlignment="1" applyProtection="1">
      <alignment horizontal="center"/>
      <protection locked="0"/>
    </xf>
    <xf numFmtId="165" fontId="14" fillId="5" borderId="22" xfId="0" applyNumberFormat="1" applyFont="1" applyFill="1" applyBorder="1"/>
    <xf numFmtId="0" fontId="15" fillId="0" borderId="0" xfId="0" applyFont="1" applyAlignment="1">
      <alignment horizontal="center"/>
    </xf>
    <xf numFmtId="165" fontId="30" fillId="0" borderId="59" xfId="2" applyNumberFormat="1" applyFont="1" applyFill="1" applyBorder="1" applyProtection="1">
      <protection locked="0"/>
    </xf>
    <xf numFmtId="165" fontId="30" fillId="0" borderId="18" xfId="2" applyNumberFormat="1" applyFont="1" applyFill="1" applyBorder="1" applyProtection="1">
      <protection locked="0"/>
    </xf>
    <xf numFmtId="165" fontId="30" fillId="0" borderId="80" xfId="2" applyNumberFormat="1" applyFont="1" applyFill="1" applyBorder="1" applyProtection="1">
      <protection locked="0"/>
    </xf>
    <xf numFmtId="165" fontId="30" fillId="0" borderId="52" xfId="2" applyNumberFormat="1" applyFont="1" applyFill="1" applyBorder="1" applyProtection="1">
      <protection locked="0"/>
    </xf>
    <xf numFmtId="165" fontId="30" fillId="0" borderId="79" xfId="2" applyNumberFormat="1" applyFont="1" applyFill="1" applyBorder="1" applyProtection="1">
      <protection locked="0"/>
    </xf>
    <xf numFmtId="0" fontId="24" fillId="0" borderId="0" xfId="0" applyFont="1"/>
    <xf numFmtId="0" fontId="38" fillId="0" borderId="0" xfId="4" applyFont="1" applyAlignment="1">
      <alignment horizontal="left"/>
    </xf>
    <xf numFmtId="0" fontId="39" fillId="0" borderId="0" xfId="4" applyFont="1" applyAlignment="1">
      <alignment horizontal="left"/>
    </xf>
    <xf numFmtId="0" fontId="10" fillId="0" borderId="0" xfId="4" applyAlignment="1">
      <alignment horizontal="left"/>
    </xf>
    <xf numFmtId="12" fontId="10" fillId="0" borderId="0" xfId="4" applyNumberFormat="1"/>
    <xf numFmtId="12" fontId="10" fillId="0" borderId="0" xfId="4" applyNumberFormat="1" applyAlignment="1">
      <alignment horizontal="left"/>
    </xf>
    <xf numFmtId="2" fontId="10" fillId="0" borderId="0" xfId="4" applyNumberFormat="1" applyAlignment="1">
      <alignment horizontal="left"/>
    </xf>
    <xf numFmtId="169" fontId="10" fillId="0" borderId="0" xfId="5" applyNumberFormat="1" applyFont="1" applyAlignment="1">
      <alignment horizontal="right"/>
    </xf>
    <xf numFmtId="169" fontId="10" fillId="0" borderId="0" xfId="5" applyNumberFormat="1" applyFont="1" applyAlignment="1">
      <alignment horizontal="left"/>
    </xf>
    <xf numFmtId="172" fontId="10" fillId="0" borderId="0" xfId="4" applyNumberFormat="1" applyAlignment="1">
      <alignment horizontal="left"/>
    </xf>
    <xf numFmtId="169" fontId="10" fillId="0" borderId="0" xfId="5" applyNumberFormat="1" applyFont="1" applyAlignment="1">
      <alignment horizontal="center"/>
    </xf>
    <xf numFmtId="169" fontId="10" fillId="0" borderId="0" xfId="4" applyNumberFormat="1" applyAlignment="1">
      <alignment horizontal="left"/>
    </xf>
    <xf numFmtId="12" fontId="10" fillId="0" borderId="0" xfId="4" applyNumberFormat="1" applyAlignment="1">
      <alignment horizontal="center"/>
    </xf>
    <xf numFmtId="2" fontId="10" fillId="0" borderId="0" xfId="4" applyNumberFormat="1" applyAlignment="1">
      <alignment horizontal="center"/>
    </xf>
    <xf numFmtId="169" fontId="10" fillId="0" borderId="0" xfId="2" applyNumberFormat="1" applyFont="1" applyFill="1" applyAlignment="1">
      <alignment horizontal="center"/>
    </xf>
    <xf numFmtId="172" fontId="10" fillId="0" borderId="0" xfId="5" applyNumberFormat="1" applyFont="1" applyAlignment="1">
      <alignment horizontal="center"/>
    </xf>
    <xf numFmtId="172" fontId="10" fillId="0" borderId="0" xfId="4" applyNumberFormat="1" applyAlignment="1">
      <alignment horizontal="center"/>
    </xf>
    <xf numFmtId="0" fontId="10" fillId="0" borderId="0" xfId="4" applyAlignment="1">
      <alignment horizontal="center"/>
    </xf>
    <xf numFmtId="173" fontId="10" fillId="0" borderId="0" xfId="4" applyNumberFormat="1" applyAlignment="1">
      <alignment horizontal="left"/>
    </xf>
    <xf numFmtId="44" fontId="10" fillId="0" borderId="0" xfId="2" applyFont="1" applyAlignment="1">
      <alignment horizontal="left"/>
    </xf>
    <xf numFmtId="2" fontId="10" fillId="0" borderId="0" xfId="2" applyNumberFormat="1" applyFont="1" applyAlignment="1">
      <alignment horizontal="left"/>
    </xf>
    <xf numFmtId="49" fontId="10" fillId="0" borderId="0" xfId="4" applyNumberFormat="1" applyAlignment="1">
      <alignment horizontal="left"/>
    </xf>
    <xf numFmtId="0" fontId="10" fillId="0" borderId="0" xfId="4" applyAlignment="1">
      <alignment horizontal="right"/>
    </xf>
    <xf numFmtId="169" fontId="21" fillId="0" borderId="0" xfId="5" applyNumberFormat="1" applyFont="1" applyAlignment="1">
      <alignment horizontal="center" vertical="top" wrapText="1"/>
    </xf>
    <xf numFmtId="0" fontId="10" fillId="0" borderId="2" xfId="4" applyBorder="1" applyAlignment="1">
      <alignment horizontal="left"/>
    </xf>
    <xf numFmtId="1" fontId="14" fillId="4" borderId="67" xfId="0" applyNumberFormat="1" applyFont="1" applyFill="1" applyBorder="1" applyAlignment="1">
      <alignment horizontal="center"/>
    </xf>
    <xf numFmtId="0" fontId="7" fillId="0" borderId="0" xfId="4" applyFont="1" applyAlignment="1">
      <alignment horizontal="left"/>
    </xf>
    <xf numFmtId="165" fontId="16" fillId="4" borderId="1" xfId="2" applyNumberFormat="1" applyFont="1" applyFill="1" applyBorder="1" applyAlignment="1">
      <alignment horizontal="center"/>
    </xf>
    <xf numFmtId="165" fontId="16" fillId="4" borderId="69" xfId="2" applyNumberFormat="1" applyFont="1" applyFill="1" applyBorder="1" applyAlignment="1">
      <alignment horizontal="center"/>
    </xf>
    <xf numFmtId="165" fontId="16" fillId="4" borderId="4" xfId="2" applyNumberFormat="1" applyFont="1" applyFill="1" applyBorder="1" applyAlignment="1">
      <alignment horizontal="center"/>
    </xf>
    <xf numFmtId="165" fontId="14" fillId="4" borderId="22" xfId="0" applyNumberFormat="1" applyFont="1" applyFill="1" applyBorder="1" applyAlignment="1">
      <alignment horizontal="center"/>
    </xf>
    <xf numFmtId="44" fontId="14" fillId="4" borderId="22" xfId="2" applyFont="1" applyFill="1" applyBorder="1"/>
    <xf numFmtId="0" fontId="44" fillId="12" borderId="22" xfId="0" applyFont="1" applyFill="1" applyBorder="1" applyAlignment="1">
      <alignment horizontal="center"/>
    </xf>
    <xf numFmtId="0" fontId="45" fillId="12" borderId="22" xfId="0" applyFont="1" applyFill="1" applyBorder="1" applyAlignment="1">
      <alignment horizontal="center"/>
    </xf>
    <xf numFmtId="0" fontId="41" fillId="0" borderId="53" xfId="0" applyFont="1" applyBorder="1" applyProtection="1">
      <protection locked="0"/>
    </xf>
    <xf numFmtId="0" fontId="41" fillId="0" borderId="54" xfId="0" applyFont="1" applyBorder="1" applyProtection="1">
      <protection locked="0"/>
    </xf>
    <xf numFmtId="0" fontId="41" fillId="0" borderId="55" xfId="0" applyFont="1" applyBorder="1" applyProtection="1">
      <protection locked="0"/>
    </xf>
    <xf numFmtId="0" fontId="41" fillId="0" borderId="54" xfId="0" applyFont="1" applyBorder="1" applyAlignment="1" applyProtection="1">
      <alignment horizontal="center"/>
      <protection locked="0"/>
    </xf>
    <xf numFmtId="165" fontId="41" fillId="0" borderId="56" xfId="2" applyNumberFormat="1" applyFont="1" applyBorder="1" applyAlignment="1" applyProtection="1">
      <alignment horizontal="center"/>
      <protection locked="0"/>
    </xf>
    <xf numFmtId="0" fontId="16" fillId="0" borderId="0" xfId="0" applyFont="1" applyProtection="1">
      <protection locked="0"/>
    </xf>
    <xf numFmtId="165" fontId="41" fillId="0" borderId="26" xfId="2" applyNumberFormat="1" applyFont="1" applyBorder="1" applyAlignment="1" applyProtection="1">
      <alignment horizontal="center"/>
      <protection locked="0"/>
    </xf>
    <xf numFmtId="165" fontId="41" fillId="0" borderId="71" xfId="2" applyNumberFormat="1" applyFont="1" applyBorder="1" applyAlignment="1" applyProtection="1">
      <alignment horizontal="center"/>
      <protection locked="0"/>
    </xf>
    <xf numFmtId="0" fontId="41" fillId="0" borderId="46" xfId="0" applyFont="1" applyBorder="1" applyProtection="1">
      <protection locked="0"/>
    </xf>
    <xf numFmtId="0" fontId="41" fillId="0" borderId="13" xfId="0" applyFont="1" applyBorder="1" applyProtection="1">
      <protection locked="0"/>
    </xf>
    <xf numFmtId="0" fontId="41" fillId="0" borderId="14" xfId="0" applyFont="1" applyBorder="1" applyProtection="1">
      <protection locked="0"/>
    </xf>
    <xf numFmtId="0" fontId="41" fillId="0" borderId="13" xfId="0" applyFont="1" applyBorder="1" applyAlignment="1" applyProtection="1">
      <alignment horizontal="center"/>
      <protection locked="0"/>
    </xf>
    <xf numFmtId="165" fontId="41" fillId="0" borderId="16" xfId="2" applyNumberFormat="1" applyFont="1" applyBorder="1" applyAlignment="1" applyProtection="1">
      <alignment horizontal="center"/>
      <protection locked="0"/>
    </xf>
    <xf numFmtId="165" fontId="41" fillId="0" borderId="15" xfId="2" applyNumberFormat="1" applyFont="1" applyBorder="1" applyAlignment="1" applyProtection="1">
      <alignment horizontal="center"/>
      <protection locked="0"/>
    </xf>
    <xf numFmtId="165" fontId="41" fillId="0" borderId="38" xfId="2" applyNumberFormat="1" applyFont="1" applyBorder="1" applyAlignment="1" applyProtection="1">
      <alignment horizontal="center"/>
      <protection locked="0"/>
    </xf>
    <xf numFmtId="0" fontId="41" fillId="0" borderId="47" xfId="0" applyFont="1" applyBorder="1" applyProtection="1">
      <protection locked="0"/>
    </xf>
    <xf numFmtId="0" fontId="41" fillId="0" borderId="48" xfId="0" applyFont="1" applyBorder="1" applyProtection="1">
      <protection locked="0"/>
    </xf>
    <xf numFmtId="0" fontId="41" fillId="0" borderId="49" xfId="0" applyFont="1" applyBorder="1" applyProtection="1">
      <protection locked="0"/>
    </xf>
    <xf numFmtId="0" fontId="41" fillId="0" borderId="48" xfId="0" applyFont="1" applyBorder="1" applyAlignment="1" applyProtection="1">
      <alignment horizontal="center"/>
      <protection locked="0"/>
    </xf>
    <xf numFmtId="165" fontId="41" fillId="0" borderId="51" xfId="2" applyNumberFormat="1" applyFont="1" applyBorder="1" applyAlignment="1" applyProtection="1">
      <alignment horizontal="center"/>
      <protection locked="0"/>
    </xf>
    <xf numFmtId="165" fontId="41" fillId="0" borderId="50" xfId="2" applyNumberFormat="1" applyFont="1" applyBorder="1" applyAlignment="1" applyProtection="1">
      <alignment horizontal="center"/>
      <protection locked="0"/>
    </xf>
    <xf numFmtId="165" fontId="41" fillId="0" borderId="72" xfId="2" applyNumberFormat="1" applyFont="1" applyBorder="1" applyAlignment="1" applyProtection="1">
      <alignment horizontal="center"/>
      <protection locked="0"/>
    </xf>
    <xf numFmtId="0" fontId="32" fillId="0" borderId="54" xfId="0" applyFont="1" applyBorder="1" applyAlignment="1" applyProtection="1">
      <alignment horizontal="center"/>
      <protection locked="0"/>
    </xf>
    <xf numFmtId="165" fontId="32" fillId="0" borderId="56" xfId="2" applyNumberFormat="1" applyFont="1" applyBorder="1" applyAlignment="1" applyProtection="1">
      <alignment horizontal="center"/>
      <protection locked="0"/>
    </xf>
    <xf numFmtId="0" fontId="32" fillId="0" borderId="13" xfId="0" applyFont="1" applyBorder="1" applyAlignment="1" applyProtection="1">
      <alignment horizontal="center"/>
      <protection locked="0"/>
    </xf>
    <xf numFmtId="165" fontId="32" fillId="0" borderId="16" xfId="2" applyNumberFormat="1" applyFont="1" applyBorder="1" applyAlignment="1" applyProtection="1">
      <alignment horizontal="center"/>
      <protection locked="0"/>
    </xf>
    <xf numFmtId="0" fontId="32" fillId="0" borderId="48" xfId="0" applyFont="1" applyBorder="1" applyAlignment="1" applyProtection="1">
      <alignment horizontal="center"/>
      <protection locked="0"/>
    </xf>
    <xf numFmtId="165" fontId="32" fillId="0" borderId="51" xfId="2" applyNumberFormat="1" applyFont="1" applyBorder="1" applyAlignment="1" applyProtection="1">
      <alignment horizontal="center"/>
      <protection locked="0"/>
    </xf>
    <xf numFmtId="44" fontId="43" fillId="4" borderId="1" xfId="2" applyFont="1" applyFill="1" applyBorder="1" applyProtection="1"/>
    <xf numFmtId="0" fontId="15" fillId="0" borderId="0" xfId="0" applyFont="1"/>
    <xf numFmtId="43" fontId="14" fillId="0" borderId="0" xfId="1" applyFont="1" applyProtection="1"/>
    <xf numFmtId="0" fontId="15" fillId="0" borderId="0" xfId="0" applyFont="1" applyAlignment="1">
      <alignment horizontal="right"/>
    </xf>
    <xf numFmtId="0" fontId="14" fillId="0" borderId="0" xfId="1" applyNumberFormat="1" applyFont="1" applyAlignment="1" applyProtection="1">
      <alignment horizontal="center"/>
    </xf>
    <xf numFmtId="0" fontId="14" fillId="0" borderId="0" xfId="2" applyNumberFormat="1" applyFont="1" applyAlignment="1" applyProtection="1">
      <alignment horizontal="center"/>
    </xf>
    <xf numFmtId="44" fontId="15" fillId="0" borderId="0" xfId="2" applyFont="1" applyProtection="1"/>
    <xf numFmtId="0" fontId="15" fillId="0" borderId="8" xfId="0" applyFont="1" applyBorder="1" applyAlignment="1">
      <alignment horizontal="center"/>
    </xf>
    <xf numFmtId="0" fontId="14" fillId="0" borderId="11" xfId="0" applyFont="1" applyBorder="1"/>
    <xf numFmtId="0" fontId="14" fillId="0" borderId="20" xfId="0" applyFont="1" applyBorder="1"/>
    <xf numFmtId="0" fontId="14" fillId="0" borderId="21" xfId="0" applyFont="1" applyBorder="1"/>
    <xf numFmtId="43" fontId="14" fillId="4" borderId="39" xfId="1" applyFont="1" applyFill="1" applyBorder="1" applyAlignment="1" applyProtection="1">
      <alignment horizontal="center"/>
    </xf>
    <xf numFmtId="44" fontId="14" fillId="4" borderId="40" xfId="2" applyFont="1" applyFill="1" applyBorder="1" applyProtection="1"/>
    <xf numFmtId="44" fontId="14" fillId="4" borderId="41" xfId="2" applyFont="1" applyFill="1" applyBorder="1" applyAlignment="1" applyProtection="1">
      <alignment horizontal="left"/>
    </xf>
    <xf numFmtId="44" fontId="14" fillId="0" borderId="0" xfId="2" applyFont="1" applyAlignment="1" applyProtection="1">
      <alignment horizontal="left"/>
    </xf>
    <xf numFmtId="43" fontId="24" fillId="0" borderId="0" xfId="1" applyFont="1"/>
    <xf numFmtId="43" fontId="11" fillId="0" borderId="0" xfId="0" applyNumberFormat="1" applyFont="1"/>
    <xf numFmtId="43" fontId="11" fillId="0" borderId="0" xfId="0" applyNumberFormat="1" applyFont="1" applyAlignment="1">
      <alignment horizontal="center"/>
    </xf>
    <xf numFmtId="12" fontId="46" fillId="0" borderId="0" xfId="4" applyNumberFormat="1" applyFont="1" applyAlignment="1">
      <alignment horizontal="center"/>
    </xf>
    <xf numFmtId="12" fontId="46" fillId="0" borderId="0" xfId="4" applyNumberFormat="1" applyFont="1" applyAlignment="1">
      <alignment horizontal="left"/>
    </xf>
    <xf numFmtId="2" fontId="46" fillId="0" borderId="0" xfId="4" applyNumberFormat="1" applyFont="1" applyAlignment="1">
      <alignment horizontal="left"/>
    </xf>
    <xf numFmtId="0" fontId="6" fillId="0" borderId="0" xfId="4" applyFont="1" applyAlignment="1">
      <alignment horizontal="left"/>
    </xf>
    <xf numFmtId="0" fontId="6" fillId="0" borderId="2" xfId="4" applyFont="1" applyBorder="1" applyAlignment="1">
      <alignment horizontal="left"/>
    </xf>
    <xf numFmtId="12" fontId="6" fillId="0" borderId="0" xfId="4" applyNumberFormat="1" applyFont="1" applyAlignment="1">
      <alignment horizontal="center"/>
    </xf>
    <xf numFmtId="12" fontId="6" fillId="0" borderId="0" xfId="4" applyNumberFormat="1" applyFont="1" applyAlignment="1">
      <alignment horizontal="left"/>
    </xf>
    <xf numFmtId="2" fontId="6" fillId="0" borderId="0" xfId="4" applyNumberFormat="1" applyFont="1" applyAlignment="1">
      <alignment horizontal="left"/>
    </xf>
    <xf numFmtId="0" fontId="34" fillId="0" borderId="81" xfId="0" applyFont="1" applyBorder="1" applyAlignment="1">
      <alignment horizontal="left"/>
    </xf>
    <xf numFmtId="44" fontId="43" fillId="4" borderId="22" xfId="2" applyFont="1" applyFill="1" applyBorder="1" applyProtection="1"/>
    <xf numFmtId="1" fontId="34" fillId="0" borderId="0" xfId="0" applyNumberFormat="1" applyFont="1" applyAlignment="1">
      <alignment horizontal="left"/>
    </xf>
    <xf numFmtId="1" fontId="34" fillId="0" borderId="81" xfId="0" applyNumberFormat="1" applyFont="1" applyBorder="1" applyAlignment="1">
      <alignment horizontal="left"/>
    </xf>
    <xf numFmtId="165" fontId="24" fillId="4" borderId="6" xfId="2" applyNumberFormat="1" applyFont="1" applyFill="1" applyBorder="1" applyAlignment="1" applyProtection="1">
      <alignment horizontal="center"/>
    </xf>
    <xf numFmtId="165" fontId="24" fillId="4" borderId="10" xfId="2" applyNumberFormat="1" applyFont="1" applyFill="1" applyBorder="1" applyAlignment="1" applyProtection="1">
      <alignment horizontal="center"/>
    </xf>
    <xf numFmtId="169" fontId="10" fillId="0" borderId="0" xfId="4" applyNumberFormat="1" applyAlignment="1" applyProtection="1">
      <alignment horizontal="center"/>
      <protection locked="0"/>
    </xf>
    <xf numFmtId="0" fontId="10" fillId="0" borderId="0" xfId="4" applyAlignment="1" applyProtection="1">
      <alignment horizontal="center"/>
      <protection locked="0"/>
    </xf>
    <xf numFmtId="0" fontId="39" fillId="16" borderId="22" xfId="4" applyFont="1" applyFill="1" applyBorder="1" applyAlignment="1" applyProtection="1">
      <alignment horizontal="center"/>
      <protection locked="0"/>
    </xf>
    <xf numFmtId="0" fontId="47" fillId="16" borderId="22" xfId="4" applyFont="1" applyFill="1" applyBorder="1" applyAlignment="1" applyProtection="1">
      <alignment horizontal="center"/>
      <protection locked="0"/>
    </xf>
    <xf numFmtId="0" fontId="39" fillId="16" borderId="60" xfId="4" applyFont="1" applyFill="1" applyBorder="1" applyAlignment="1" applyProtection="1">
      <alignment horizontal="center"/>
      <protection locked="0"/>
    </xf>
    <xf numFmtId="169" fontId="39" fillId="0" borderId="0" xfId="5" applyNumberFormat="1" applyFont="1" applyAlignment="1" applyProtection="1">
      <alignment horizontal="center"/>
      <protection locked="0"/>
    </xf>
    <xf numFmtId="0" fontId="41" fillId="0" borderId="76" xfId="0" applyFont="1" applyBorder="1" applyProtection="1">
      <protection locked="0"/>
    </xf>
    <xf numFmtId="0" fontId="14" fillId="0" borderId="12" xfId="0" applyFont="1" applyBorder="1"/>
    <xf numFmtId="165" fontId="16" fillId="4" borderId="88" xfId="2" applyNumberFormat="1" applyFont="1" applyFill="1" applyBorder="1" applyAlignment="1">
      <alignment horizontal="center"/>
    </xf>
    <xf numFmtId="0" fontId="14" fillId="0" borderId="61" xfId="0" applyFont="1" applyBorder="1"/>
    <xf numFmtId="0" fontId="5" fillId="0" borderId="0" xfId="4" applyFont="1" applyAlignment="1">
      <alignment horizontal="left"/>
    </xf>
    <xf numFmtId="12" fontId="5" fillId="0" borderId="0" xfId="4" applyNumberFormat="1" applyFont="1" applyAlignment="1">
      <alignment horizontal="center"/>
    </xf>
    <xf numFmtId="12" fontId="5" fillId="0" borderId="0" xfId="4" applyNumberFormat="1" applyFont="1" applyAlignment="1">
      <alignment horizontal="left"/>
    </xf>
    <xf numFmtId="2" fontId="5" fillId="0" borderId="0" xfId="4" applyNumberFormat="1" applyFont="1" applyAlignment="1">
      <alignment horizontal="left"/>
    </xf>
    <xf numFmtId="173" fontId="5" fillId="0" borderId="0" xfId="4" applyNumberFormat="1" applyFont="1" applyAlignment="1">
      <alignment horizontal="left"/>
    </xf>
    <xf numFmtId="0" fontId="40" fillId="0" borderId="0" xfId="13" applyFont="1" applyAlignment="1">
      <alignment vertical="center"/>
    </xf>
    <xf numFmtId="0" fontId="24" fillId="6" borderId="2" xfId="0" applyFont="1" applyFill="1" applyBorder="1"/>
    <xf numFmtId="0" fontId="24" fillId="7" borderId="2" xfId="0" applyFont="1" applyFill="1" applyBorder="1"/>
    <xf numFmtId="0" fontId="24" fillId="15" borderId="2" xfId="0" applyFont="1" applyFill="1" applyBorder="1"/>
    <xf numFmtId="0" fontId="24" fillId="2" borderId="2" xfId="0" applyFont="1" applyFill="1" applyBorder="1"/>
    <xf numFmtId="0" fontId="24" fillId="14" borderId="2" xfId="0" applyFont="1" applyFill="1" applyBorder="1"/>
    <xf numFmtId="165" fontId="30" fillId="0" borderId="101" xfId="2" applyNumberFormat="1" applyFont="1" applyFill="1" applyBorder="1" applyProtection="1">
      <protection locked="0"/>
    </xf>
    <xf numFmtId="165" fontId="30" fillId="0" borderId="102" xfId="2" applyNumberFormat="1" applyFont="1" applyFill="1" applyBorder="1" applyProtection="1">
      <protection locked="0"/>
    </xf>
    <xf numFmtId="165" fontId="30" fillId="0" borderId="107" xfId="2" applyNumberFormat="1" applyFont="1" applyFill="1" applyBorder="1" applyProtection="1">
      <protection locked="0"/>
    </xf>
    <xf numFmtId="165" fontId="30" fillId="0" borderId="103" xfId="2" applyNumberFormat="1" applyFont="1" applyFill="1" applyBorder="1" applyProtection="1">
      <protection locked="0"/>
    </xf>
    <xf numFmtId="0" fontId="4" fillId="0" borderId="0" xfId="4" applyFont="1" applyAlignment="1">
      <alignment horizontal="left"/>
    </xf>
    <xf numFmtId="12" fontId="4" fillId="0" borderId="0" xfId="4" applyNumberFormat="1" applyFont="1" applyAlignment="1">
      <alignment horizontal="center"/>
    </xf>
    <xf numFmtId="12" fontId="4" fillId="0" borderId="0" xfId="4" applyNumberFormat="1" applyFont="1" applyAlignment="1">
      <alignment horizontal="left"/>
    </xf>
    <xf numFmtId="2" fontId="4" fillId="0" borderId="0" xfId="4" applyNumberFormat="1" applyFont="1" applyAlignment="1">
      <alignment horizontal="left"/>
    </xf>
    <xf numFmtId="2" fontId="4" fillId="0" borderId="0" xfId="4" applyNumberFormat="1" applyFont="1" applyAlignment="1">
      <alignment horizontal="center"/>
    </xf>
    <xf numFmtId="169" fontId="4" fillId="0" borderId="0" xfId="2" applyNumberFormat="1" applyFont="1" applyFill="1" applyAlignment="1">
      <alignment horizontal="center"/>
    </xf>
    <xf numFmtId="169" fontId="4" fillId="0" borderId="0" xfId="2" applyNumberFormat="1" applyFont="1" applyFill="1" applyAlignment="1" applyProtection="1">
      <alignment horizontal="center"/>
      <protection locked="0"/>
    </xf>
    <xf numFmtId="0" fontId="39" fillId="16" borderId="58" xfId="4" applyFont="1" applyFill="1" applyBorder="1" applyAlignment="1" applyProtection="1">
      <alignment horizontal="center"/>
      <protection locked="0"/>
    </xf>
    <xf numFmtId="1" fontId="39" fillId="0" borderId="22" xfId="12" applyNumberFormat="1" applyFont="1" applyBorder="1" applyAlignment="1" applyProtection="1">
      <alignment horizontal="center"/>
      <protection locked="0"/>
    </xf>
    <xf numFmtId="1" fontId="39" fillId="0" borderId="86" xfId="12" applyNumberFormat="1" applyFont="1" applyBorder="1" applyAlignment="1" applyProtection="1">
      <alignment horizontal="center"/>
      <protection locked="0"/>
    </xf>
    <xf numFmtId="1" fontId="39" fillId="0" borderId="87" xfId="0" applyNumberFormat="1" applyFont="1" applyBorder="1" applyAlignment="1" applyProtection="1">
      <alignment horizontal="center"/>
      <protection locked="0"/>
    </xf>
    <xf numFmtId="0" fontId="70" fillId="0" borderId="0" xfId="10" applyFont="1" applyAlignment="1">
      <alignment horizontal="left"/>
    </xf>
    <xf numFmtId="0" fontId="8" fillId="0" borderId="0" xfId="10" applyFont="1"/>
    <xf numFmtId="0" fontId="8" fillId="0" borderId="0" xfId="0" applyFont="1"/>
    <xf numFmtId="0" fontId="21" fillId="0" borderId="0" xfId="10" applyFont="1"/>
    <xf numFmtId="0" fontId="21" fillId="0" borderId="0" xfId="0" applyFont="1"/>
    <xf numFmtId="0" fontId="38" fillId="0" borderId="7" xfId="10" applyFont="1" applyBorder="1" applyAlignment="1">
      <alignment horizontal="center"/>
    </xf>
    <xf numFmtId="0" fontId="38" fillId="0" borderId="8" xfId="10" applyFont="1" applyBorder="1" applyAlignment="1">
      <alignment horizontal="center"/>
    </xf>
    <xf numFmtId="0" fontId="38" fillId="0" borderId="85" xfId="10" applyFont="1" applyBorder="1" applyAlignment="1">
      <alignment horizontal="center"/>
    </xf>
    <xf numFmtId="0" fontId="8" fillId="0" borderId="8" xfId="10" applyFont="1" applyBorder="1"/>
    <xf numFmtId="0" fontId="8" fillId="0" borderId="85" xfId="10" applyFont="1" applyBorder="1"/>
    <xf numFmtId="12" fontId="8" fillId="0" borderId="11" xfId="10" applyNumberFormat="1" applyFont="1" applyBorder="1" applyAlignment="1">
      <alignment horizontal="right"/>
    </xf>
    <xf numFmtId="169" fontId="8" fillId="6" borderId="0" xfId="11" applyNumberFormat="1" applyFont="1" applyFill="1" applyBorder="1" applyAlignment="1" applyProtection="1">
      <alignment horizontal="center"/>
    </xf>
    <xf numFmtId="169" fontId="8" fillId="0" borderId="82" xfId="2" applyNumberFormat="1" applyFont="1" applyBorder="1" applyProtection="1"/>
    <xf numFmtId="169" fontId="40" fillId="6" borderId="0" xfId="11" applyNumberFormat="1" applyFont="1" applyFill="1" applyBorder="1" applyAlignment="1" applyProtection="1">
      <alignment horizontal="center"/>
    </xf>
    <xf numFmtId="12" fontId="8" fillId="0" borderId="20" xfId="10" applyNumberFormat="1" applyFont="1" applyBorder="1" applyAlignment="1">
      <alignment horizontal="right"/>
    </xf>
    <xf numFmtId="169" fontId="8" fillId="6" borderId="21" xfId="11" applyNumberFormat="1" applyFont="1" applyFill="1" applyBorder="1" applyAlignment="1" applyProtection="1">
      <alignment horizontal="center"/>
    </xf>
    <xf numFmtId="169" fontId="8" fillId="0" borderId="83" xfId="2" applyNumberFormat="1" applyFont="1" applyBorder="1" applyProtection="1"/>
    <xf numFmtId="169" fontId="40" fillId="6" borderId="21" xfId="11" applyNumberFormat="1" applyFont="1" applyFill="1" applyBorder="1" applyAlignment="1" applyProtection="1">
      <alignment horizontal="center"/>
    </xf>
    <xf numFmtId="12" fontId="8" fillId="0" borderId="0" xfId="10" applyNumberFormat="1" applyFont="1" applyAlignment="1">
      <alignment horizontal="left"/>
    </xf>
    <xf numFmtId="0" fontId="21" fillId="0" borderId="0" xfId="10" applyFont="1" applyAlignment="1">
      <alignment horizontal="right"/>
    </xf>
    <xf numFmtId="169" fontId="21" fillId="0" borderId="0" xfId="2" applyNumberFormat="1" applyFont="1" applyProtection="1"/>
    <xf numFmtId="169" fontId="21" fillId="0" borderId="0" xfId="10" applyNumberFormat="1" applyFont="1"/>
    <xf numFmtId="0" fontId="21" fillId="0" borderId="0" xfId="10" applyFont="1" applyAlignment="1">
      <alignment horizontal="left"/>
    </xf>
    <xf numFmtId="0" fontId="8" fillId="0" borderId="7" xfId="0" applyFont="1" applyBorder="1"/>
    <xf numFmtId="0" fontId="8" fillId="0" borderId="8" xfId="0" applyFont="1" applyBorder="1"/>
    <xf numFmtId="0" fontId="8" fillId="0" borderId="85" xfId="0" applyFont="1" applyBorder="1"/>
    <xf numFmtId="0" fontId="8" fillId="0" borderId="11" xfId="0" applyFont="1" applyBorder="1"/>
    <xf numFmtId="0" fontId="8" fillId="0" borderId="0" xfId="10" applyFont="1" applyAlignment="1">
      <alignment horizontal="left"/>
    </xf>
    <xf numFmtId="169" fontId="40" fillId="6" borderId="82" xfId="11" applyNumberFormat="1" applyFont="1" applyFill="1" applyBorder="1" applyAlignment="1" applyProtection="1">
      <alignment horizontal="center"/>
    </xf>
    <xf numFmtId="172" fontId="21" fillId="0" borderId="0" xfId="0" applyNumberFormat="1" applyFont="1"/>
    <xf numFmtId="169" fontId="8" fillId="0" borderId="82" xfId="0" applyNumberFormat="1" applyFont="1" applyBorder="1"/>
    <xf numFmtId="0" fontId="8" fillId="0" borderId="20" xfId="0" applyFont="1" applyBorder="1"/>
    <xf numFmtId="0" fontId="8" fillId="0" borderId="21" xfId="0" applyFont="1" applyBorder="1"/>
    <xf numFmtId="0" fontId="8" fillId="0" borderId="83" xfId="0" applyFont="1" applyBorder="1"/>
    <xf numFmtId="0" fontId="69" fillId="56" borderId="0" xfId="0" applyFont="1" applyFill="1"/>
    <xf numFmtId="172" fontId="70" fillId="56" borderId="0" xfId="0" applyNumberFormat="1" applyFont="1" applyFill="1"/>
    <xf numFmtId="169" fontId="21" fillId="0" borderId="0" xfId="0" applyNumberFormat="1" applyFont="1"/>
    <xf numFmtId="165" fontId="30" fillId="0" borderId="106" xfId="2" applyNumberFormat="1" applyFont="1" applyFill="1" applyBorder="1" applyAlignment="1" applyProtection="1">
      <protection locked="0"/>
    </xf>
    <xf numFmtId="165" fontId="30" fillId="0" borderId="100" xfId="2" applyNumberFormat="1" applyFont="1" applyFill="1" applyBorder="1" applyAlignment="1" applyProtection="1">
      <protection locked="0"/>
    </xf>
    <xf numFmtId="165" fontId="30" fillId="0" borderId="105" xfId="2" applyNumberFormat="1" applyFont="1" applyFill="1" applyBorder="1" applyAlignment="1" applyProtection="1">
      <protection locked="0"/>
    </xf>
    <xf numFmtId="165" fontId="30" fillId="0" borderId="104" xfId="2" applyNumberFormat="1" applyFont="1" applyFill="1" applyBorder="1" applyAlignment="1" applyProtection="1">
      <protection locked="0"/>
    </xf>
    <xf numFmtId="0" fontId="72" fillId="0" borderId="0" xfId="0" applyFont="1" applyAlignment="1">
      <alignment horizontal="left"/>
    </xf>
    <xf numFmtId="0" fontId="29" fillId="0" borderId="0" xfId="0" applyFont="1"/>
    <xf numFmtId="0" fontId="73" fillId="0" borderId="0" xfId="0" applyFont="1" applyAlignment="1">
      <alignment horizontal="left"/>
    </xf>
    <xf numFmtId="0" fontId="74" fillId="0" borderId="0" xfId="0" applyFont="1" applyAlignment="1">
      <alignment horizontal="left"/>
    </xf>
    <xf numFmtId="0" fontId="75" fillId="0" borderId="0" xfId="0" applyFont="1" applyAlignment="1">
      <alignment horizontal="left"/>
    </xf>
    <xf numFmtId="170" fontId="29" fillId="0" borderId="0" xfId="0" applyNumberFormat="1" applyFont="1"/>
    <xf numFmtId="0" fontId="72" fillId="0" borderId="0" xfId="0" applyFont="1" applyAlignment="1">
      <alignment horizontal="left" wrapText="1"/>
    </xf>
    <xf numFmtId="0" fontId="76" fillId="0" borderId="0" xfId="0" applyFont="1" applyProtection="1">
      <protection locked="0"/>
    </xf>
    <xf numFmtId="0" fontId="77" fillId="0" borderId="0" xfId="0" applyFont="1" applyProtection="1">
      <protection locked="0"/>
    </xf>
    <xf numFmtId="0" fontId="76" fillId="0" borderId="0" xfId="0" applyFont="1"/>
    <xf numFmtId="0" fontId="78" fillId="0" borderId="0" xfId="0" applyFont="1" applyAlignment="1">
      <alignment horizontal="justify"/>
    </xf>
    <xf numFmtId="0" fontId="78" fillId="0" borderId="0" xfId="0" applyFont="1" applyAlignment="1">
      <alignment horizontal="left"/>
    </xf>
    <xf numFmtId="0" fontId="79" fillId="0" borderId="0" xfId="0" applyFont="1" applyAlignment="1">
      <alignment horizontal="left"/>
    </xf>
    <xf numFmtId="0" fontId="76" fillId="0" borderId="0" xfId="0" applyFont="1" applyAlignment="1">
      <alignment horizontal="right"/>
    </xf>
    <xf numFmtId="172" fontId="81" fillId="0" borderId="0" xfId="2" applyNumberFormat="1" applyFont="1" applyAlignment="1">
      <alignment horizontal="center"/>
    </xf>
    <xf numFmtId="0" fontId="78" fillId="0" borderId="0" xfId="0" applyFont="1" applyAlignment="1">
      <alignment horizontal="left" wrapText="1"/>
    </xf>
    <xf numFmtId="0" fontId="82" fillId="0" borderId="0" xfId="0" applyFont="1" applyAlignment="1">
      <alignment horizontal="left"/>
    </xf>
    <xf numFmtId="0" fontId="83" fillId="0" borderId="0" xfId="0" applyFont="1" applyAlignment="1">
      <alignment horizontal="left" indent="10"/>
    </xf>
    <xf numFmtId="0" fontId="83" fillId="0" borderId="0" xfId="0" applyFont="1" applyAlignment="1">
      <alignment horizontal="right" indent="10"/>
    </xf>
    <xf numFmtId="0" fontId="78" fillId="0" borderId="0" xfId="0" applyFont="1" applyAlignment="1">
      <alignment horizontal="right" indent="8"/>
    </xf>
    <xf numFmtId="0" fontId="80" fillId="0" borderId="0" xfId="0" applyFont="1" applyAlignment="1">
      <alignment horizontal="left"/>
    </xf>
    <xf numFmtId="0" fontId="83" fillId="0" borderId="0" xfId="0" applyFont="1" applyAlignment="1">
      <alignment horizontal="left" indent="5"/>
    </xf>
    <xf numFmtId="0" fontId="78" fillId="0" borderId="0" xfId="0" applyFont="1" applyAlignment="1">
      <alignment horizontal="left" indent="5"/>
    </xf>
    <xf numFmtId="0" fontId="78" fillId="0" borderId="0" xfId="0" applyFont="1" applyAlignment="1">
      <alignment horizontal="right"/>
    </xf>
    <xf numFmtId="172" fontId="81" fillId="0" borderId="0" xfId="0" applyNumberFormat="1" applyFont="1" applyAlignment="1">
      <alignment horizontal="center"/>
    </xf>
    <xf numFmtId="172" fontId="79" fillId="0" borderId="0" xfId="0" applyNumberFormat="1" applyFont="1" applyAlignment="1">
      <alignment horizontal="center" wrapText="1"/>
    </xf>
    <xf numFmtId="0" fontId="84" fillId="0" borderId="0" xfId="0" applyFont="1" applyAlignment="1">
      <alignment horizontal="left"/>
    </xf>
    <xf numFmtId="0" fontId="85" fillId="0" borderId="0" xfId="0" applyFont="1"/>
    <xf numFmtId="0" fontId="86" fillId="0" borderId="0" xfId="0" applyFont="1" applyAlignment="1">
      <alignment horizontal="left" vertical="top" wrapText="1"/>
    </xf>
    <xf numFmtId="0" fontId="78" fillId="0" borderId="21" xfId="0" applyFont="1" applyBorder="1" applyAlignment="1">
      <alignment horizontal="left" wrapText="1"/>
    </xf>
    <xf numFmtId="0" fontId="78" fillId="0" borderId="21" xfId="0" applyFont="1" applyBorder="1" applyAlignment="1">
      <alignment horizontal="right"/>
    </xf>
    <xf numFmtId="172" fontId="79" fillId="0" borderId="21" xfId="0" applyNumberFormat="1" applyFont="1" applyBorder="1" applyAlignment="1">
      <alignment horizontal="center" wrapText="1"/>
    </xf>
    <xf numFmtId="0" fontId="92" fillId="0" borderId="0" xfId="0" applyFont="1"/>
    <xf numFmtId="170" fontId="32" fillId="0" borderId="0" xfId="0" applyNumberFormat="1" applyFont="1" applyAlignment="1" applyProtection="1">
      <alignment horizontal="left"/>
      <protection locked="0"/>
    </xf>
    <xf numFmtId="165" fontId="30" fillId="0" borderId="108" xfId="2" applyNumberFormat="1" applyFont="1" applyFill="1" applyBorder="1" applyAlignment="1" applyProtection="1">
      <protection locked="0"/>
    </xf>
    <xf numFmtId="165" fontId="30" fillId="0" borderId="109" xfId="2" applyNumberFormat="1" applyFont="1" applyFill="1" applyBorder="1" applyAlignment="1" applyProtection="1">
      <protection locked="0"/>
    </xf>
    <xf numFmtId="0" fontId="30" fillId="0" borderId="77" xfId="0" applyFont="1" applyBorder="1" applyAlignment="1" applyProtection="1">
      <alignment horizontal="center"/>
      <protection locked="0"/>
    </xf>
    <xf numFmtId="0" fontId="30" fillId="0" borderId="110" xfId="0" applyFont="1" applyBorder="1" applyAlignment="1" applyProtection="1">
      <alignment horizontal="center"/>
      <protection locked="0"/>
    </xf>
    <xf numFmtId="0" fontId="30" fillId="0" borderId="111" xfId="0" applyFont="1" applyBorder="1" applyAlignment="1" applyProtection="1">
      <alignment horizontal="center"/>
      <protection locked="0"/>
    </xf>
    <xf numFmtId="0" fontId="30" fillId="0" borderId="112" xfId="0" applyFont="1" applyBorder="1" applyAlignment="1" applyProtection="1">
      <alignment horizontal="center"/>
      <protection locked="0"/>
    </xf>
    <xf numFmtId="0" fontId="30" fillId="0" borderId="114" xfId="0" applyFont="1" applyBorder="1" applyAlignment="1" applyProtection="1">
      <alignment horizontal="center"/>
      <protection locked="0"/>
    </xf>
    <xf numFmtId="0" fontId="30" fillId="0" borderId="113" xfId="0" applyFont="1" applyBorder="1" applyAlignment="1" applyProtection="1">
      <alignment horizontal="center"/>
      <protection locked="0"/>
    </xf>
    <xf numFmtId="0" fontId="30" fillId="0" borderId="116" xfId="0" applyFont="1" applyBorder="1" applyAlignment="1" applyProtection="1">
      <alignment horizontal="center"/>
      <protection locked="0"/>
    </xf>
    <xf numFmtId="0" fontId="30" fillId="0" borderId="115" xfId="0" applyFont="1" applyBorder="1" applyAlignment="1" applyProtection="1">
      <alignment horizontal="center"/>
      <protection locked="0"/>
    </xf>
    <xf numFmtId="0" fontId="30" fillId="0" borderId="118" xfId="0" applyFont="1" applyBorder="1" applyAlignment="1" applyProtection="1">
      <alignment horizontal="center"/>
      <protection locked="0"/>
    </xf>
    <xf numFmtId="1" fontId="30" fillId="0" borderId="117" xfId="1" applyNumberFormat="1" applyFont="1" applyFill="1" applyBorder="1" applyAlignment="1" applyProtection="1">
      <alignment horizontal="center"/>
      <protection locked="0"/>
    </xf>
    <xf numFmtId="0" fontId="30" fillId="0" borderId="28" xfId="0" applyFont="1" applyBorder="1" applyAlignment="1" applyProtection="1">
      <alignment horizontal="center"/>
      <protection locked="0"/>
    </xf>
    <xf numFmtId="1" fontId="30" fillId="0" borderId="119" xfId="1" applyNumberFormat="1" applyFont="1" applyFill="1" applyBorder="1" applyAlignment="1" applyProtection="1">
      <alignment horizontal="center"/>
      <protection locked="0"/>
    </xf>
    <xf numFmtId="0" fontId="30" fillId="0" borderId="120" xfId="0" applyFont="1" applyBorder="1" applyAlignment="1" applyProtection="1">
      <alignment horizontal="center"/>
      <protection locked="0"/>
    </xf>
    <xf numFmtId="1" fontId="30" fillId="0" borderId="113" xfId="1" applyNumberFormat="1" applyFont="1" applyFill="1" applyBorder="1" applyAlignment="1" applyProtection="1">
      <alignment horizontal="center"/>
      <protection locked="0"/>
    </xf>
    <xf numFmtId="0" fontId="30" fillId="0" borderId="121" xfId="0" applyFont="1" applyBorder="1" applyAlignment="1" applyProtection="1">
      <alignment horizontal="center"/>
      <protection locked="0"/>
    </xf>
    <xf numFmtId="1" fontId="30" fillId="0" borderId="122" xfId="1" applyNumberFormat="1" applyFont="1" applyFill="1" applyBorder="1" applyAlignment="1" applyProtection="1">
      <alignment horizontal="center"/>
      <protection locked="0"/>
    </xf>
    <xf numFmtId="1" fontId="30" fillId="0" borderId="123" xfId="1" applyNumberFormat="1" applyFont="1" applyFill="1" applyBorder="1" applyAlignment="1" applyProtection="1">
      <alignment horizontal="center"/>
      <protection locked="0"/>
    </xf>
    <xf numFmtId="0" fontId="30" fillId="0" borderId="124" xfId="0" applyFont="1" applyBorder="1" applyAlignment="1" applyProtection="1">
      <alignment horizontal="center"/>
      <protection locked="0"/>
    </xf>
    <xf numFmtId="1" fontId="30" fillId="0" borderId="125" xfId="1" applyNumberFormat="1" applyFont="1" applyFill="1" applyBorder="1" applyAlignment="1" applyProtection="1">
      <alignment horizontal="center"/>
      <protection locked="0"/>
    </xf>
    <xf numFmtId="0" fontId="30" fillId="0" borderId="126" xfId="0" applyFont="1" applyBorder="1" applyAlignment="1" applyProtection="1">
      <alignment horizontal="center"/>
      <protection locked="0"/>
    </xf>
    <xf numFmtId="1" fontId="30" fillId="0" borderId="127" xfId="1" applyNumberFormat="1" applyFont="1" applyFill="1" applyBorder="1" applyAlignment="1" applyProtection="1">
      <alignment horizontal="center"/>
      <protection locked="0"/>
    </xf>
    <xf numFmtId="0" fontId="30" fillId="0" borderId="128" xfId="0" applyFont="1" applyBorder="1" applyAlignment="1" applyProtection="1">
      <alignment horizontal="center"/>
      <protection locked="0"/>
    </xf>
    <xf numFmtId="0" fontId="30" fillId="0" borderId="123" xfId="0" applyFont="1" applyBorder="1" applyAlignment="1" applyProtection="1">
      <alignment horizontal="center"/>
      <protection locked="0"/>
    </xf>
    <xf numFmtId="0" fontId="30" fillId="0" borderId="125" xfId="0" applyFont="1" applyBorder="1" applyAlignment="1" applyProtection="1">
      <alignment horizontal="center"/>
      <protection locked="0"/>
    </xf>
    <xf numFmtId="0" fontId="30" fillId="0" borderId="127" xfId="0" applyFont="1" applyBorder="1" applyAlignment="1" applyProtection="1">
      <alignment horizontal="center"/>
      <protection locked="0"/>
    </xf>
    <xf numFmtId="9" fontId="30" fillId="0" borderId="123" xfId="3" applyFont="1" applyFill="1" applyBorder="1" applyAlignment="1" applyProtection="1">
      <alignment horizontal="center"/>
      <protection locked="0"/>
    </xf>
    <xf numFmtId="9" fontId="30" fillId="0" borderId="125" xfId="3" applyFont="1" applyFill="1" applyBorder="1" applyAlignment="1" applyProtection="1">
      <alignment horizontal="center"/>
      <protection locked="0"/>
    </xf>
    <xf numFmtId="0" fontId="24" fillId="0" borderId="127" xfId="0" applyFont="1" applyBorder="1" applyProtection="1">
      <protection locked="0"/>
    </xf>
    <xf numFmtId="0" fontId="94" fillId="0" borderId="130" xfId="0" applyFont="1" applyBorder="1" applyAlignment="1">
      <alignment horizontal="right"/>
    </xf>
    <xf numFmtId="0" fontId="24" fillId="0" borderId="131" xfId="0" applyFont="1" applyBorder="1"/>
    <xf numFmtId="0" fontId="94" fillId="0" borderId="133" xfId="0" applyFont="1" applyBorder="1" applyAlignment="1">
      <alignment horizontal="right"/>
    </xf>
    <xf numFmtId="0" fontId="24" fillId="0" borderId="134" xfId="0" applyFont="1" applyBorder="1"/>
    <xf numFmtId="0" fontId="24" fillId="0" borderId="134" xfId="0" applyFont="1" applyBorder="1" applyProtection="1">
      <protection locked="0"/>
    </xf>
    <xf numFmtId="0" fontId="24" fillId="0" borderId="137" xfId="0" applyFont="1" applyBorder="1" applyProtection="1">
      <protection locked="0"/>
    </xf>
    <xf numFmtId="0" fontId="24" fillId="0" borderId="131" xfId="0" applyFont="1" applyBorder="1" applyProtection="1">
      <protection locked="0"/>
    </xf>
    <xf numFmtId="0" fontId="24" fillId="0" borderId="139" xfId="0" applyFont="1" applyBorder="1" applyProtection="1">
      <protection locked="0"/>
    </xf>
    <xf numFmtId="0" fontId="30" fillId="0" borderId="142" xfId="0" applyFont="1" applyBorder="1" applyAlignment="1" applyProtection="1">
      <alignment horizontal="center"/>
      <protection locked="0"/>
    </xf>
    <xf numFmtId="9" fontId="30" fillId="16" borderId="144" xfId="3" applyFont="1" applyFill="1" applyBorder="1" applyAlignment="1" applyProtection="1">
      <alignment horizontal="center"/>
      <protection locked="0"/>
    </xf>
    <xf numFmtId="9" fontId="30" fillId="16" borderId="145" xfId="3" applyFont="1" applyFill="1" applyBorder="1" applyAlignment="1" applyProtection="1">
      <alignment horizontal="center"/>
      <protection locked="0"/>
    </xf>
    <xf numFmtId="0" fontId="31" fillId="0" borderId="138" xfId="0" applyFont="1" applyBorder="1" applyProtection="1">
      <protection locked="0"/>
    </xf>
    <xf numFmtId="0" fontId="31" fillId="0" borderId="146" xfId="0" applyFont="1" applyBorder="1" applyProtection="1">
      <protection locked="0"/>
    </xf>
    <xf numFmtId="1" fontId="30" fillId="0" borderId="147" xfId="1" applyNumberFormat="1" applyFont="1" applyFill="1" applyBorder="1" applyAlignment="1" applyProtection="1">
      <alignment horizontal="center"/>
      <protection locked="0"/>
    </xf>
    <xf numFmtId="0" fontId="30" fillId="0" borderId="148" xfId="0" applyFont="1" applyBorder="1" applyAlignment="1" applyProtection="1">
      <alignment horizontal="center"/>
      <protection locked="0"/>
    </xf>
    <xf numFmtId="0" fontId="30" fillId="0" borderId="147" xfId="0" applyFont="1" applyBorder="1" applyAlignment="1" applyProtection="1">
      <alignment horizontal="center"/>
      <protection locked="0"/>
    </xf>
    <xf numFmtId="0" fontId="30" fillId="0" borderId="149" xfId="0" applyFont="1" applyBorder="1" applyAlignment="1" applyProtection="1">
      <alignment horizontal="center"/>
      <protection locked="0"/>
    </xf>
    <xf numFmtId="0" fontId="30" fillId="0" borderId="150" xfId="0" applyFont="1" applyBorder="1" applyAlignment="1" applyProtection="1">
      <alignment horizontal="center"/>
      <protection locked="0"/>
    </xf>
    <xf numFmtId="167" fontId="24" fillId="4" borderId="29" xfId="1" applyNumberFormat="1" applyFont="1" applyFill="1" applyBorder="1" applyAlignment="1" applyProtection="1">
      <alignment horizontal="center"/>
    </xf>
    <xf numFmtId="165" fontId="24" fillId="13" borderId="27" xfId="2" applyNumberFormat="1" applyFont="1" applyFill="1" applyBorder="1" applyProtection="1"/>
    <xf numFmtId="0" fontId="26" fillId="1" borderId="25" xfId="0" applyFont="1" applyFill="1" applyBorder="1" applyAlignment="1">
      <alignment horizontal="center"/>
    </xf>
    <xf numFmtId="0" fontId="94" fillId="0" borderId="132" xfId="0" applyFont="1" applyBorder="1" applyAlignment="1">
      <alignment horizontal="right"/>
    </xf>
    <xf numFmtId="5" fontId="24" fillId="0" borderId="0" xfId="2" applyNumberFormat="1" applyFont="1" applyAlignment="1" applyProtection="1">
      <alignment horizontal="left"/>
    </xf>
    <xf numFmtId="172" fontId="24" fillId="0" borderId="0" xfId="0" applyNumberFormat="1" applyFont="1" applyAlignment="1">
      <alignment horizontal="left"/>
    </xf>
    <xf numFmtId="0" fontId="95" fillId="0" borderId="132" xfId="0" applyFont="1" applyBorder="1" applyAlignment="1" applyProtection="1">
      <alignment horizontal="right"/>
      <protection locked="0"/>
    </xf>
    <xf numFmtId="0" fontId="95" fillId="0" borderId="133" xfId="0" applyFont="1" applyBorder="1" applyAlignment="1" applyProtection="1">
      <alignment horizontal="right"/>
      <protection locked="0"/>
    </xf>
    <xf numFmtId="0" fontId="95" fillId="0" borderId="130" xfId="0" applyFont="1" applyBorder="1" applyAlignment="1" applyProtection="1">
      <alignment horizontal="right"/>
      <protection locked="0"/>
    </xf>
    <xf numFmtId="0" fontId="31" fillId="0" borderId="5" xfId="0" applyFont="1" applyBorder="1" applyAlignment="1" applyProtection="1">
      <alignment horizontal="center"/>
      <protection locked="0"/>
    </xf>
    <xf numFmtId="0" fontId="31" fillId="0" borderId="9" xfId="0" applyFont="1" applyBorder="1" applyAlignment="1" applyProtection="1">
      <alignment horizontal="center"/>
      <protection locked="0"/>
    </xf>
    <xf numFmtId="165" fontId="30" fillId="0" borderId="156" xfId="2" applyNumberFormat="1" applyFont="1" applyFill="1" applyBorder="1" applyProtection="1">
      <protection locked="0"/>
    </xf>
    <xf numFmtId="165" fontId="30" fillId="0" borderId="157" xfId="2" applyNumberFormat="1" applyFont="1" applyFill="1" applyBorder="1" applyProtection="1">
      <protection locked="0"/>
    </xf>
    <xf numFmtId="165" fontId="30" fillId="0" borderId="155" xfId="2" applyNumberFormat="1" applyFont="1" applyFill="1" applyBorder="1" applyProtection="1">
      <protection locked="0"/>
    </xf>
    <xf numFmtId="0" fontId="25" fillId="0" borderId="17" xfId="0" applyFont="1" applyBorder="1" applyAlignment="1">
      <alignment horizontal="center"/>
    </xf>
    <xf numFmtId="0" fontId="31" fillId="0" borderId="2" xfId="0" applyFont="1" applyBorder="1" applyAlignment="1" applyProtection="1">
      <alignment horizontal="center"/>
      <protection locked="0"/>
    </xf>
    <xf numFmtId="165" fontId="30" fillId="0" borderId="158" xfId="2" applyNumberFormat="1" applyFont="1" applyFill="1" applyBorder="1" applyProtection="1">
      <protection locked="0"/>
    </xf>
    <xf numFmtId="165" fontId="30" fillId="0" borderId="160" xfId="2" applyNumberFormat="1" applyFont="1" applyFill="1" applyBorder="1" applyProtection="1">
      <protection locked="0"/>
    </xf>
    <xf numFmtId="165" fontId="30" fillId="0" borderId="159" xfId="2" applyNumberFormat="1" applyFont="1" applyFill="1" applyBorder="1" applyProtection="1">
      <protection locked="0"/>
    </xf>
    <xf numFmtId="0" fontId="14" fillId="0" borderId="7" xfId="0" applyFont="1" applyBorder="1"/>
    <xf numFmtId="0" fontId="14" fillId="0" borderId="8" xfId="0" applyFont="1" applyBorder="1"/>
    <xf numFmtId="0" fontId="14" fillId="0" borderId="8" xfId="0" applyFont="1" applyBorder="1" applyAlignment="1">
      <alignment horizontal="right"/>
    </xf>
    <xf numFmtId="0" fontId="14" fillId="0" borderId="21" xfId="0" applyFont="1" applyBorder="1" applyAlignment="1">
      <alignment horizontal="right"/>
    </xf>
    <xf numFmtId="44" fontId="14" fillId="0" borderId="85" xfId="2" applyFont="1" applyBorder="1" applyProtection="1"/>
    <xf numFmtId="44" fontId="14" fillId="0" borderId="83" xfId="2" applyFont="1" applyBorder="1" applyProtection="1"/>
    <xf numFmtId="0" fontId="14" fillId="0" borderId="161" xfId="0" applyFont="1" applyBorder="1" applyAlignment="1">
      <alignment horizontal="center"/>
    </xf>
    <xf numFmtId="0" fontId="14" fillId="0" borderId="162" xfId="0" applyFont="1" applyBorder="1" applyAlignment="1">
      <alignment horizontal="center"/>
    </xf>
    <xf numFmtId="0" fontId="14" fillId="0" borderId="163" xfId="0" applyFont="1" applyBorder="1" applyAlignment="1">
      <alignment horizontal="center"/>
    </xf>
    <xf numFmtId="44" fontId="14" fillId="0" borderId="8" xfId="2" applyFont="1" applyBorder="1" applyProtection="1"/>
    <xf numFmtId="44" fontId="14" fillId="0" borderId="21" xfId="2" applyFont="1" applyBorder="1" applyProtection="1"/>
    <xf numFmtId="0" fontId="34" fillId="0" borderId="6" xfId="0" applyFont="1" applyBorder="1" applyAlignment="1">
      <alignment horizontal="left"/>
    </xf>
    <xf numFmtId="1" fontId="34" fillId="0" borderId="6" xfId="0" applyNumberFormat="1" applyFont="1" applyBorder="1" applyAlignment="1">
      <alignment horizontal="left"/>
    </xf>
    <xf numFmtId="0" fontId="95" fillId="0" borderId="136" xfId="0" applyFont="1" applyBorder="1" applyAlignment="1" applyProtection="1">
      <alignment horizontal="right"/>
      <protection locked="0"/>
    </xf>
    <xf numFmtId="0" fontId="95" fillId="0" borderId="146" xfId="0" applyFont="1" applyBorder="1" applyAlignment="1" applyProtection="1">
      <alignment horizontal="right"/>
      <protection locked="0"/>
    </xf>
    <xf numFmtId="0" fontId="24" fillId="57" borderId="2" xfId="0" applyFont="1" applyFill="1" applyBorder="1"/>
    <xf numFmtId="0" fontId="24" fillId="57" borderId="0" xfId="0" applyFont="1" applyFill="1" applyAlignment="1">
      <alignment horizontal="left"/>
    </xf>
    <xf numFmtId="0" fontId="24" fillId="57" borderId="0" xfId="0" applyFont="1" applyFill="1"/>
    <xf numFmtId="164" fontId="30" fillId="0" borderId="123" xfId="3" applyNumberFormat="1" applyFont="1" applyFill="1" applyBorder="1" applyAlignment="1" applyProtection="1">
      <alignment horizontal="center"/>
      <protection locked="0"/>
    </xf>
    <xf numFmtId="164" fontId="30" fillId="0" borderId="125" xfId="3" applyNumberFormat="1" applyFont="1" applyFill="1" applyBorder="1" applyAlignment="1" applyProtection="1">
      <alignment horizontal="center"/>
      <protection locked="0"/>
    </xf>
    <xf numFmtId="164" fontId="30" fillId="0" borderId="125" xfId="1" applyNumberFormat="1" applyFont="1" applyFill="1" applyBorder="1" applyAlignment="1" applyProtection="1">
      <alignment horizontal="center"/>
      <protection locked="0"/>
    </xf>
    <xf numFmtId="164" fontId="30" fillId="0" borderId="147" xfId="1" applyNumberFormat="1" applyFont="1" applyFill="1" applyBorder="1" applyAlignment="1" applyProtection="1">
      <alignment horizontal="center"/>
      <protection locked="0"/>
    </xf>
    <xf numFmtId="164" fontId="30" fillId="0" borderId="127" xfId="3" applyNumberFormat="1" applyFont="1" applyFill="1" applyBorder="1" applyAlignment="1" applyProtection="1">
      <alignment horizontal="center"/>
      <protection locked="0"/>
    </xf>
    <xf numFmtId="0" fontId="14" fillId="0" borderId="81" xfId="0" applyFont="1" applyBorder="1"/>
    <xf numFmtId="44" fontId="14" fillId="0" borderId="81" xfId="0" applyNumberFormat="1" applyFont="1" applyBorder="1"/>
    <xf numFmtId="43" fontId="14" fillId="0" borderId="8" xfId="1" applyFont="1" applyBorder="1" applyProtection="1"/>
    <xf numFmtId="43" fontId="14" fillId="0" borderId="21" xfId="1" applyFont="1" applyBorder="1" applyProtection="1"/>
    <xf numFmtId="0" fontId="14" fillId="0" borderId="164" xfId="0" applyFont="1" applyBorder="1" applyAlignment="1">
      <alignment horizontal="center"/>
    </xf>
    <xf numFmtId="0" fontId="14" fillId="0" borderId="165" xfId="0" applyFont="1" applyBorder="1" applyAlignment="1">
      <alignment horizontal="center"/>
    </xf>
    <xf numFmtId="0" fontId="14" fillId="0" borderId="164" xfId="0" applyFont="1" applyBorder="1" applyAlignment="1">
      <alignment horizontal="right"/>
    </xf>
    <xf numFmtId="0" fontId="14" fillId="0" borderId="165" xfId="0" applyFont="1" applyBorder="1" applyAlignment="1">
      <alignment horizontal="right"/>
    </xf>
    <xf numFmtId="170" fontId="13" fillId="0" borderId="0" xfId="0" applyNumberFormat="1" applyFont="1" applyAlignment="1">
      <alignment horizontal="right"/>
    </xf>
    <xf numFmtId="0" fontId="42" fillId="0" borderId="141" xfId="0" applyFont="1" applyBorder="1" applyAlignment="1">
      <alignment horizontal="center"/>
    </xf>
    <xf numFmtId="0" fontId="42" fillId="0" borderId="142" xfId="0" applyFont="1" applyBorder="1" applyAlignment="1">
      <alignment horizontal="center"/>
    </xf>
    <xf numFmtId="0" fontId="30" fillId="0" borderId="171" xfId="0" applyFont="1" applyBorder="1" applyAlignment="1" applyProtection="1">
      <alignment horizontal="center"/>
      <protection locked="0"/>
    </xf>
    <xf numFmtId="0" fontId="24" fillId="16" borderId="134" xfId="0" applyFont="1" applyFill="1" applyBorder="1" applyProtection="1">
      <protection locked="0"/>
    </xf>
    <xf numFmtId="0" fontId="93" fillId="16" borderId="134" xfId="0" applyFont="1" applyFill="1" applyBorder="1" applyProtection="1">
      <protection locked="0"/>
    </xf>
    <xf numFmtId="0" fontId="93" fillId="16" borderId="140" xfId="0" applyFont="1" applyFill="1" applyBorder="1" applyProtection="1">
      <protection locked="0"/>
    </xf>
    <xf numFmtId="0" fontId="94" fillId="0" borderId="129" xfId="0" applyFont="1" applyBorder="1" applyAlignment="1">
      <alignment horizontal="right"/>
    </xf>
    <xf numFmtId="165" fontId="24" fillId="5" borderId="172" xfId="2" applyNumberFormat="1" applyFont="1" applyFill="1" applyBorder="1" applyProtection="1"/>
    <xf numFmtId="165" fontId="30" fillId="0" borderId="145" xfId="2" applyNumberFormat="1" applyFont="1" applyFill="1" applyBorder="1" applyProtection="1">
      <protection locked="0"/>
    </xf>
    <xf numFmtId="0" fontId="31" fillId="0" borderId="173" xfId="0" applyFont="1" applyBorder="1" applyProtection="1">
      <protection locked="0"/>
    </xf>
    <xf numFmtId="0" fontId="31" fillId="0" borderId="143" xfId="0" applyFont="1" applyBorder="1" applyProtection="1">
      <protection locked="0"/>
    </xf>
    <xf numFmtId="0" fontId="95" fillId="0" borderId="173" xfId="0" applyFont="1" applyBorder="1" applyAlignment="1" applyProtection="1">
      <alignment horizontal="right"/>
      <protection locked="0"/>
    </xf>
    <xf numFmtId="9" fontId="33" fillId="0" borderId="4" xfId="3" applyFont="1" applyFill="1" applyBorder="1" applyAlignment="1" applyProtection="1">
      <alignment horizontal="center"/>
      <protection locked="0"/>
    </xf>
    <xf numFmtId="165" fontId="24" fillId="13" borderId="170" xfId="2" applyNumberFormat="1" applyFont="1" applyFill="1" applyBorder="1" applyProtection="1"/>
    <xf numFmtId="43" fontId="14" fillId="0" borderId="0" xfId="1" applyFont="1" applyBorder="1" applyProtection="1"/>
    <xf numFmtId="44" fontId="14" fillId="0" borderId="0" xfId="2" applyFont="1" applyBorder="1" applyProtection="1"/>
    <xf numFmtId="0" fontId="81" fillId="0" borderId="0" xfId="0" applyFont="1" applyAlignment="1">
      <alignment horizontal="left"/>
    </xf>
    <xf numFmtId="0" fontId="14" fillId="0" borderId="2" xfId="0" applyFont="1" applyBorder="1" applyAlignment="1">
      <alignment horizontal="center"/>
    </xf>
    <xf numFmtId="44" fontId="14" fillId="0" borderId="82" xfId="2" applyFont="1" applyBorder="1" applyProtection="1"/>
    <xf numFmtId="0" fontId="43" fillId="0" borderId="30" xfId="1" applyNumberFormat="1" applyFont="1" applyFill="1" applyBorder="1" applyAlignment="1" applyProtection="1">
      <alignment horizontal="center"/>
    </xf>
    <xf numFmtId="0" fontId="43" fillId="0" borderId="37" xfId="1" applyNumberFormat="1" applyFont="1" applyFill="1" applyBorder="1" applyAlignment="1" applyProtection="1">
      <alignment horizontal="center"/>
    </xf>
    <xf numFmtId="0" fontId="0" fillId="0" borderId="84" xfId="0" applyBorder="1"/>
    <xf numFmtId="0" fontId="76" fillId="0" borderId="0" xfId="0" applyFont="1" applyAlignment="1">
      <alignment wrapText="1"/>
    </xf>
    <xf numFmtId="0" fontId="81" fillId="0" borderId="0" xfId="0" applyFont="1" applyAlignment="1">
      <alignment vertical="top" wrapText="1"/>
    </xf>
    <xf numFmtId="44" fontId="14" fillId="4" borderId="175" xfId="2" applyFont="1" applyFill="1" applyBorder="1" applyAlignment="1" applyProtection="1">
      <alignment horizontal="center"/>
    </xf>
    <xf numFmtId="44" fontId="14" fillId="4" borderId="162" xfId="2" applyFont="1" applyFill="1" applyBorder="1" applyProtection="1"/>
    <xf numFmtId="0" fontId="96" fillId="0" borderId="0" xfId="0" applyFont="1"/>
    <xf numFmtId="44" fontId="14" fillId="4" borderId="178" xfId="2" applyFont="1" applyFill="1" applyBorder="1" applyAlignment="1" applyProtection="1">
      <alignment horizontal="left"/>
    </xf>
    <xf numFmtId="0" fontId="14" fillId="0" borderId="85" xfId="0" applyFont="1" applyBorder="1" applyAlignment="1">
      <alignment horizontal="right"/>
    </xf>
    <xf numFmtId="0" fontId="14" fillId="0" borderId="82" xfId="0" applyFont="1" applyBorder="1" applyAlignment="1">
      <alignment horizontal="right"/>
    </xf>
    <xf numFmtId="0" fontId="14" fillId="0" borderId="161" xfId="0" applyFont="1" applyBorder="1"/>
    <xf numFmtId="0" fontId="43" fillId="0" borderId="176" xfId="1" applyNumberFormat="1" applyFont="1" applyFill="1" applyBorder="1" applyAlignment="1" applyProtection="1">
      <alignment horizontal="center"/>
    </xf>
    <xf numFmtId="0" fontId="14" fillId="0" borderId="163" xfId="0" applyFont="1" applyBorder="1"/>
    <xf numFmtId="44" fontId="0" fillId="0" borderId="0" xfId="0" applyNumberFormat="1"/>
    <xf numFmtId="166" fontId="32" fillId="0" borderId="15" xfId="0" applyNumberFormat="1" applyFont="1" applyBorder="1" applyProtection="1">
      <protection locked="0"/>
    </xf>
    <xf numFmtId="2" fontId="21" fillId="0" borderId="0" xfId="4" applyNumberFormat="1" applyFont="1"/>
    <xf numFmtId="2" fontId="21" fillId="0" borderId="0" xfId="4" applyNumberFormat="1" applyFont="1" applyAlignment="1">
      <alignment horizontal="center"/>
    </xf>
    <xf numFmtId="14" fontId="21" fillId="0" borderId="0" xfId="4" applyNumberFormat="1" applyFont="1" applyAlignment="1">
      <alignment horizontal="center"/>
    </xf>
    <xf numFmtId="14" fontId="21" fillId="0" borderId="0" xfId="5" applyNumberFormat="1" applyFont="1" applyAlignment="1">
      <alignment horizontal="center"/>
    </xf>
    <xf numFmtId="0" fontId="21" fillId="19" borderId="0" xfId="4" applyFont="1" applyFill="1" applyAlignment="1">
      <alignment horizontal="center" vertical="top"/>
    </xf>
    <xf numFmtId="0" fontId="3" fillId="0" borderId="0" xfId="4" applyFont="1" applyAlignment="1">
      <alignment horizontal="left"/>
    </xf>
    <xf numFmtId="0" fontId="97" fillId="0" borderId="0" xfId="0" applyFont="1" applyAlignment="1">
      <alignment horizontal="left"/>
    </xf>
    <xf numFmtId="0" fontId="47" fillId="16" borderId="60" xfId="4" applyFont="1" applyFill="1" applyBorder="1" applyAlignment="1" applyProtection="1">
      <alignment horizontal="center"/>
      <protection locked="0"/>
    </xf>
    <xf numFmtId="12" fontId="21" fillId="0" borderId="0" xfId="4" applyNumberFormat="1" applyFont="1" applyAlignment="1">
      <alignment horizontal="center" vertical="top"/>
    </xf>
    <xf numFmtId="12" fontId="10" fillId="0" borderId="17" xfId="4" applyNumberFormat="1" applyBorder="1" applyAlignment="1">
      <alignment horizontal="center"/>
    </xf>
    <xf numFmtId="12" fontId="46" fillId="0" borderId="17" xfId="4" applyNumberFormat="1" applyFont="1" applyBorder="1" applyAlignment="1">
      <alignment horizontal="center"/>
    </xf>
    <xf numFmtId="12" fontId="6" fillId="0" borderId="17" xfId="4" applyNumberFormat="1" applyFont="1" applyBorder="1" applyAlignment="1">
      <alignment horizontal="center"/>
    </xf>
    <xf numFmtId="2" fontId="21" fillId="0" borderId="0" xfId="4" applyNumberFormat="1" applyFont="1" applyAlignment="1">
      <alignment horizontal="center" vertical="top"/>
    </xf>
    <xf numFmtId="0" fontId="3" fillId="0" borderId="2" xfId="4" applyFont="1" applyBorder="1" applyAlignment="1">
      <alignment horizontal="left"/>
    </xf>
    <xf numFmtId="0" fontId="4" fillId="0" borderId="2" xfId="4" applyFont="1" applyBorder="1" applyAlignment="1">
      <alignment horizontal="left"/>
    </xf>
    <xf numFmtId="12" fontId="5" fillId="0" borderId="17" xfId="4" applyNumberFormat="1" applyFont="1" applyBorder="1" applyAlignment="1">
      <alignment horizontal="center"/>
    </xf>
    <xf numFmtId="0" fontId="97" fillId="0" borderId="0" xfId="4" applyFont="1" applyAlignment="1">
      <alignment horizontal="left"/>
    </xf>
    <xf numFmtId="0" fontId="39" fillId="16" borderId="166" xfId="4" applyFont="1" applyFill="1" applyBorder="1" applyAlignment="1" applyProtection="1">
      <alignment horizontal="center"/>
      <protection locked="0"/>
    </xf>
    <xf numFmtId="14" fontId="10" fillId="0" borderId="0" xfId="4" applyNumberFormat="1" applyAlignment="1">
      <alignment horizontal="left"/>
    </xf>
    <xf numFmtId="14" fontId="39" fillId="0" borderId="0" xfId="5" applyNumberFormat="1" applyFont="1" applyAlignment="1" applyProtection="1">
      <alignment horizontal="center"/>
      <protection locked="0"/>
    </xf>
    <xf numFmtId="14" fontId="21" fillId="0" borderId="0" xfId="4" applyNumberFormat="1" applyFont="1"/>
    <xf numFmtId="14" fontId="10" fillId="0" borderId="0" xfId="4" applyNumberFormat="1" applyAlignment="1">
      <alignment horizontal="center"/>
    </xf>
    <xf numFmtId="168" fontId="10" fillId="0" borderId="0" xfId="4" applyNumberFormat="1" applyAlignment="1">
      <alignment horizontal="left"/>
    </xf>
    <xf numFmtId="168" fontId="21" fillId="0" borderId="0" xfId="4" applyNumberFormat="1" applyFont="1"/>
    <xf numFmtId="168" fontId="10" fillId="0" borderId="0" xfId="4" applyNumberFormat="1" applyAlignment="1">
      <alignment horizontal="center"/>
    </xf>
    <xf numFmtId="168" fontId="0" fillId="0" borderId="0" xfId="0" applyNumberFormat="1"/>
    <xf numFmtId="172" fontId="10" fillId="0" borderId="0" xfId="5" applyNumberFormat="1" applyFont="1" applyAlignment="1">
      <alignment horizontal="right"/>
    </xf>
    <xf numFmtId="172" fontId="10" fillId="0" borderId="0" xfId="5" applyNumberFormat="1" applyFont="1" applyAlignment="1">
      <alignment horizontal="left"/>
    </xf>
    <xf numFmtId="172" fontId="21" fillId="0" borderId="0" xfId="4" applyNumberFormat="1" applyFont="1"/>
    <xf numFmtId="172" fontId="10" fillId="0" borderId="0" xfId="6" applyNumberFormat="1" applyFont="1" applyAlignment="1">
      <alignment horizontal="left"/>
    </xf>
    <xf numFmtId="0" fontId="10" fillId="0" borderId="0" xfId="4" applyAlignment="1">
      <alignment horizontal="center" vertical="top"/>
    </xf>
    <xf numFmtId="2" fontId="21" fillId="19" borderId="0" xfId="4" applyNumberFormat="1" applyFont="1" applyFill="1" applyAlignment="1">
      <alignment horizontal="center" vertical="top"/>
    </xf>
    <xf numFmtId="0" fontId="21" fillId="0" borderId="0" xfId="4" applyFont="1" applyAlignment="1">
      <alignment horizontal="center" vertical="top"/>
    </xf>
    <xf numFmtId="14" fontId="21" fillId="0" borderId="0" xfId="4" applyNumberFormat="1" applyFont="1" applyAlignment="1">
      <alignment horizontal="center" vertical="top"/>
    </xf>
    <xf numFmtId="168" fontId="21" fillId="0" borderId="0" xfId="4" applyNumberFormat="1" applyFont="1" applyAlignment="1">
      <alignment horizontal="center" vertical="top"/>
    </xf>
    <xf numFmtId="172" fontId="21" fillId="0" borderId="0" xfId="5" applyNumberFormat="1" applyFont="1" applyAlignment="1">
      <alignment horizontal="center" vertical="top"/>
    </xf>
    <xf numFmtId="172" fontId="21" fillId="0" borderId="0" xfId="4" applyNumberFormat="1" applyFont="1" applyAlignment="1">
      <alignment horizontal="center" vertical="top"/>
    </xf>
    <xf numFmtId="169" fontId="21" fillId="0" borderId="0" xfId="4" applyNumberFormat="1" applyFont="1" applyAlignment="1">
      <alignment horizontal="center" vertical="top"/>
    </xf>
    <xf numFmtId="0" fontId="10" fillId="0" borderId="0" xfId="4" applyAlignment="1">
      <alignment horizontal="center" vertical="top" wrapText="1"/>
    </xf>
    <xf numFmtId="2" fontId="3" fillId="0" borderId="0" xfId="4" applyNumberFormat="1" applyFont="1" applyAlignment="1">
      <alignment horizontal="center"/>
    </xf>
    <xf numFmtId="9" fontId="39" fillId="0" borderId="84" xfId="3" applyFont="1" applyBorder="1" applyAlignment="1" applyProtection="1">
      <alignment horizontal="center"/>
      <protection locked="0"/>
    </xf>
    <xf numFmtId="0" fontId="2" fillId="0" borderId="0" xfId="4" applyFont="1" applyAlignment="1">
      <alignment horizontal="left"/>
    </xf>
    <xf numFmtId="0" fontId="2" fillId="0" borderId="2" xfId="4" applyFont="1" applyBorder="1" applyAlignment="1">
      <alignment horizontal="left"/>
    </xf>
    <xf numFmtId="12" fontId="2" fillId="0" borderId="17" xfId="4" applyNumberFormat="1" applyFont="1" applyBorder="1" applyAlignment="1">
      <alignment horizontal="center"/>
    </xf>
    <xf numFmtId="12" fontId="2" fillId="0" borderId="0" xfId="4" applyNumberFormat="1" applyFont="1" applyAlignment="1">
      <alignment horizontal="center"/>
    </xf>
    <xf numFmtId="12" fontId="2" fillId="0" borderId="0" xfId="4" applyNumberFormat="1" applyFont="1" applyAlignment="1">
      <alignment horizontal="left"/>
    </xf>
    <xf numFmtId="2" fontId="2" fillId="0" borderId="0" xfId="4" applyNumberFormat="1" applyFont="1" applyAlignment="1">
      <alignment horizontal="left"/>
    </xf>
    <xf numFmtId="2" fontId="2" fillId="0" borderId="0" xfId="4" applyNumberFormat="1" applyFont="1" applyAlignment="1">
      <alignment horizontal="center"/>
    </xf>
    <xf numFmtId="169" fontId="2" fillId="0" borderId="0" xfId="2" applyNumberFormat="1" applyFont="1" applyFill="1" applyAlignment="1">
      <alignment horizontal="center"/>
    </xf>
    <xf numFmtId="169" fontId="2" fillId="0" borderId="0" xfId="2" applyNumberFormat="1" applyFont="1" applyFill="1" applyAlignment="1" applyProtection="1">
      <alignment horizontal="center"/>
      <protection locked="0"/>
    </xf>
    <xf numFmtId="14" fontId="2" fillId="0" borderId="0" xfId="4" applyNumberFormat="1" applyFont="1" applyAlignment="1" applyProtection="1">
      <alignment horizontal="center"/>
      <protection locked="0"/>
    </xf>
    <xf numFmtId="172" fontId="2" fillId="0" borderId="0" xfId="2" applyNumberFormat="1" applyFont="1" applyAlignment="1">
      <alignment horizontal="center"/>
    </xf>
    <xf numFmtId="172" fontId="2" fillId="0" borderId="0" xfId="4" applyNumberFormat="1" applyFont="1" applyAlignment="1">
      <alignment horizontal="center"/>
    </xf>
    <xf numFmtId="0" fontId="2" fillId="0" borderId="0" xfId="0" applyFont="1" applyAlignment="1">
      <alignment horizontal="left"/>
    </xf>
    <xf numFmtId="12" fontId="2" fillId="0" borderId="0" xfId="0" applyNumberFormat="1" applyFont="1" applyAlignment="1">
      <alignment horizontal="center"/>
    </xf>
    <xf numFmtId="12" fontId="2" fillId="0" borderId="0" xfId="0" applyNumberFormat="1" applyFont="1" applyAlignment="1">
      <alignment horizontal="left"/>
    </xf>
    <xf numFmtId="2" fontId="2" fillId="0" borderId="0" xfId="0" applyNumberFormat="1" applyFont="1" applyAlignment="1">
      <alignment horizontal="left"/>
    </xf>
    <xf numFmtId="169" fontId="2" fillId="0" borderId="0" xfId="0" applyNumberFormat="1" applyFont="1" applyAlignment="1">
      <alignment horizontal="center"/>
    </xf>
    <xf numFmtId="14" fontId="2" fillId="0" borderId="0" xfId="0" applyNumberFormat="1" applyFont="1" applyAlignment="1">
      <alignment horizontal="left"/>
    </xf>
    <xf numFmtId="168" fontId="2" fillId="19" borderId="0" xfId="0" applyNumberFormat="1" applyFont="1" applyFill="1" applyAlignment="1">
      <alignment horizontal="left"/>
    </xf>
    <xf numFmtId="172" fontId="2" fillId="0" borderId="0" xfId="0" applyNumberFormat="1" applyFont="1" applyAlignment="1">
      <alignment horizontal="left"/>
    </xf>
    <xf numFmtId="172" fontId="2" fillId="19" borderId="0" xfId="0" applyNumberFormat="1" applyFont="1" applyFill="1" applyAlignment="1">
      <alignment horizontal="left"/>
    </xf>
    <xf numFmtId="0" fontId="1" fillId="0" borderId="0" xfId="0" applyFont="1"/>
    <xf numFmtId="0" fontId="21" fillId="0" borderId="0" xfId="0" applyFont="1" applyAlignment="1">
      <alignment horizontal="left"/>
    </xf>
    <xf numFmtId="0" fontId="1" fillId="0" borderId="0" xfId="0" applyFont="1" applyAlignment="1">
      <alignment horizontal="center"/>
    </xf>
    <xf numFmtId="168" fontId="1" fillId="4" borderId="187" xfId="0" applyNumberFormat="1" applyFont="1" applyFill="1" applyBorder="1" applyAlignment="1">
      <alignment horizontal="center"/>
    </xf>
    <xf numFmtId="168" fontId="1" fillId="4" borderId="125" xfId="0" applyNumberFormat="1" applyFont="1" applyFill="1" applyBorder="1" applyAlignment="1">
      <alignment horizontal="center"/>
    </xf>
    <xf numFmtId="168" fontId="1" fillId="4" borderId="127" xfId="0" applyNumberFormat="1" applyFont="1" applyFill="1" applyBorder="1" applyAlignment="1">
      <alignment horizontal="center"/>
    </xf>
    <xf numFmtId="172" fontId="1" fillId="11" borderId="185" xfId="2" applyNumberFormat="1" applyFont="1" applyFill="1" applyBorder="1" applyAlignment="1">
      <alignment horizontal="center"/>
    </xf>
    <xf numFmtId="172" fontId="1" fillId="11" borderId="188" xfId="2" applyNumberFormat="1" applyFont="1" applyFill="1" applyBorder="1" applyAlignment="1">
      <alignment horizontal="center"/>
    </xf>
    <xf numFmtId="1" fontId="1" fillId="11" borderId="187" xfId="1" applyNumberFormat="1" applyFont="1" applyFill="1" applyBorder="1" applyAlignment="1">
      <alignment horizontal="center"/>
    </xf>
    <xf numFmtId="1" fontId="1" fillId="11" borderId="125" xfId="1" applyNumberFormat="1" applyFont="1" applyFill="1" applyBorder="1" applyAlignment="1">
      <alignment horizontal="center"/>
    </xf>
    <xf numFmtId="1" fontId="1" fillId="11" borderId="127" xfId="1" applyNumberFormat="1" applyFont="1" applyFill="1" applyBorder="1" applyAlignment="1">
      <alignment horizontal="center"/>
    </xf>
    <xf numFmtId="172" fontId="1" fillId="11" borderId="183" xfId="2" applyNumberFormat="1" applyFont="1" applyFill="1" applyBorder="1" applyAlignment="1">
      <alignment horizontal="center"/>
    </xf>
    <xf numFmtId="172" fontId="1" fillId="11" borderId="126" xfId="2" applyNumberFormat="1" applyFont="1" applyFill="1" applyBorder="1" applyAlignment="1">
      <alignment horizontal="center"/>
    </xf>
    <xf numFmtId="172" fontId="1" fillId="11" borderId="184" xfId="2" applyNumberFormat="1" applyFont="1" applyFill="1" applyBorder="1" applyAlignment="1">
      <alignment horizontal="center"/>
    </xf>
    <xf numFmtId="172" fontId="1" fillId="11" borderId="128" xfId="2" applyNumberFormat="1" applyFont="1" applyFill="1" applyBorder="1" applyAlignment="1">
      <alignment horizontal="center"/>
    </xf>
    <xf numFmtId="172" fontId="1" fillId="4" borderId="185" xfId="2" applyNumberFormat="1" applyFont="1" applyFill="1" applyBorder="1" applyAlignment="1">
      <alignment horizontal="center"/>
    </xf>
    <xf numFmtId="172" fontId="1" fillId="4" borderId="188" xfId="2" applyNumberFormat="1" applyFont="1" applyFill="1" applyBorder="1" applyAlignment="1">
      <alignment horizontal="center"/>
    </xf>
    <xf numFmtId="172" fontId="1" fillId="4" borderId="183" xfId="2" applyNumberFormat="1" applyFont="1" applyFill="1" applyBorder="1" applyAlignment="1">
      <alignment horizontal="center"/>
    </xf>
    <xf numFmtId="172" fontId="1" fillId="4" borderId="126" xfId="2" applyNumberFormat="1" applyFont="1" applyFill="1" applyBorder="1" applyAlignment="1">
      <alignment horizontal="center"/>
    </xf>
    <xf numFmtId="172" fontId="1" fillId="4" borderId="184" xfId="2" applyNumberFormat="1" applyFont="1" applyFill="1" applyBorder="1" applyAlignment="1">
      <alignment horizontal="center"/>
    </xf>
    <xf numFmtId="172" fontId="1" fillId="4" borderId="128" xfId="2" applyNumberFormat="1" applyFont="1" applyFill="1" applyBorder="1" applyAlignment="1">
      <alignment horizontal="center"/>
    </xf>
    <xf numFmtId="1" fontId="21" fillId="0" borderId="0" xfId="1" applyNumberFormat="1" applyFont="1" applyAlignment="1">
      <alignment horizontal="center"/>
    </xf>
    <xf numFmtId="172" fontId="21" fillId="0" borderId="0" xfId="0" applyNumberFormat="1" applyFont="1" applyAlignment="1">
      <alignment horizontal="center"/>
    </xf>
    <xf numFmtId="44" fontId="39" fillId="0" borderId="84" xfId="2" applyFont="1" applyBorder="1" applyProtection="1">
      <protection locked="0"/>
    </xf>
    <xf numFmtId="0" fontId="39" fillId="0" borderId="186" xfId="0" applyFont="1" applyBorder="1" applyAlignment="1" applyProtection="1">
      <alignment horizontal="center"/>
      <protection locked="0"/>
    </xf>
    <xf numFmtId="0" fontId="39" fillId="0" borderId="142" xfId="0" applyFont="1" applyBorder="1" applyAlignment="1" applyProtection="1">
      <alignment horizontal="center"/>
      <protection locked="0"/>
    </xf>
    <xf numFmtId="0" fontId="39" fillId="0" borderId="145" xfId="0" applyFont="1" applyBorder="1" applyAlignment="1" applyProtection="1">
      <alignment horizontal="center"/>
      <protection locked="0"/>
    </xf>
    <xf numFmtId="0" fontId="20" fillId="12" borderId="179" xfId="0" applyFont="1" applyFill="1" applyBorder="1" applyAlignment="1">
      <alignment horizontal="center" vertical="top" wrapText="1"/>
    </xf>
    <xf numFmtId="0" fontId="20" fillId="12" borderId="180" xfId="0" applyFont="1" applyFill="1" applyBorder="1" applyAlignment="1">
      <alignment horizontal="center" vertical="top" wrapText="1"/>
    </xf>
    <xf numFmtId="168" fontId="20" fillId="12" borderId="180" xfId="0" applyNumberFormat="1" applyFont="1" applyFill="1" applyBorder="1" applyAlignment="1">
      <alignment horizontal="center" vertical="top" wrapText="1"/>
    </xf>
    <xf numFmtId="168" fontId="20" fillId="12" borderId="181" xfId="0" applyNumberFormat="1" applyFont="1" applyFill="1" applyBorder="1" applyAlignment="1">
      <alignment horizontal="center" vertical="top" wrapText="1"/>
    </xf>
    <xf numFmtId="0" fontId="1" fillId="0" borderId="0" xfId="0" applyFont="1" applyAlignment="1">
      <alignment vertical="top"/>
    </xf>
    <xf numFmtId="16" fontId="98" fillId="0" borderId="0" xfId="0" applyNumberFormat="1" applyFont="1" applyAlignment="1">
      <alignment horizontal="center" wrapText="1"/>
    </xf>
    <xf numFmtId="0" fontId="98" fillId="0" borderId="0" xfId="0" applyFont="1" applyAlignment="1">
      <alignment horizontal="center" wrapText="1"/>
    </xf>
    <xf numFmtId="0" fontId="39" fillId="16" borderId="3" xfId="0" applyFont="1" applyFill="1" applyBorder="1" applyAlignment="1" applyProtection="1">
      <alignment horizontal="center" wrapText="1"/>
      <protection locked="0"/>
    </xf>
    <xf numFmtId="168" fontId="98" fillId="0" borderId="0" xfId="0" applyNumberFormat="1" applyFont="1" applyAlignment="1">
      <alignment horizontal="center" wrapText="1"/>
    </xf>
    <xf numFmtId="0" fontId="39" fillId="16" borderId="22" xfId="0" applyFont="1" applyFill="1" applyBorder="1" applyAlignment="1" applyProtection="1">
      <alignment horizontal="center" wrapText="1"/>
      <protection locked="0"/>
    </xf>
    <xf numFmtId="12" fontId="98" fillId="0" borderId="0" xfId="0" applyNumberFormat="1" applyFont="1" applyAlignment="1">
      <alignment horizontal="center" wrapText="1"/>
    </xf>
    <xf numFmtId="0" fontId="98" fillId="0" borderId="2" xfId="0" applyFont="1" applyBorder="1" applyAlignment="1">
      <alignment horizontal="center" wrapText="1"/>
    </xf>
    <xf numFmtId="0" fontId="39" fillId="16" borderId="182" xfId="0" applyFont="1" applyFill="1" applyBorder="1" applyAlignment="1" applyProtection="1">
      <alignment horizontal="center" wrapText="1"/>
      <protection locked="0"/>
    </xf>
    <xf numFmtId="168" fontId="98" fillId="0" borderId="17" xfId="0" applyNumberFormat="1" applyFont="1" applyBorder="1" applyAlignment="1">
      <alignment horizontal="center" wrapText="1"/>
    </xf>
    <xf numFmtId="168" fontId="1" fillId="0" borderId="0" xfId="0" applyNumberFormat="1" applyFont="1"/>
    <xf numFmtId="0" fontId="21" fillId="0" borderId="0" xfId="0" applyFont="1" applyAlignment="1">
      <alignment horizontal="center"/>
    </xf>
    <xf numFmtId="0" fontId="40" fillId="0" borderId="0" xfId="0" applyFont="1" applyAlignment="1">
      <alignment horizontal="center"/>
    </xf>
    <xf numFmtId="169" fontId="40" fillId="0" borderId="0" xfId="0" applyNumberFormat="1" applyFont="1" applyAlignment="1">
      <alignment horizontal="center"/>
    </xf>
    <xf numFmtId="172" fontId="40" fillId="0" borderId="0" xfId="2" applyNumberFormat="1" applyFont="1" applyAlignment="1" applyProtection="1">
      <alignment horizontal="center"/>
    </xf>
    <xf numFmtId="1" fontId="1" fillId="4" borderId="187" xfId="0" applyNumberFormat="1" applyFont="1" applyFill="1" applyBorder="1" applyAlignment="1">
      <alignment horizontal="center"/>
    </xf>
    <xf numFmtId="177" fontId="1" fillId="4" borderId="185" xfId="1" applyNumberFormat="1" applyFont="1" applyFill="1" applyBorder="1" applyAlignment="1" applyProtection="1">
      <alignment horizontal="center"/>
    </xf>
    <xf numFmtId="172" fontId="1" fillId="11" borderId="188" xfId="0" applyNumberFormat="1" applyFont="1" applyFill="1" applyBorder="1" applyAlignment="1">
      <alignment horizontal="center"/>
    </xf>
    <xf numFmtId="1" fontId="1" fillId="4" borderId="125" xfId="0" applyNumberFormat="1" applyFont="1" applyFill="1" applyBorder="1" applyAlignment="1">
      <alignment horizontal="center"/>
    </xf>
    <xf numFmtId="177" fontId="1" fillId="4" borderId="183" xfId="1" applyNumberFormat="1" applyFont="1" applyFill="1" applyBorder="1" applyAlignment="1" applyProtection="1">
      <alignment horizontal="center"/>
    </xf>
    <xf numFmtId="172" fontId="1" fillId="11" borderId="126" xfId="0" applyNumberFormat="1" applyFont="1" applyFill="1" applyBorder="1" applyAlignment="1">
      <alignment horizontal="center"/>
    </xf>
    <xf numFmtId="1" fontId="1" fillId="4" borderId="127" xfId="0" applyNumberFormat="1" applyFont="1" applyFill="1" applyBorder="1" applyAlignment="1">
      <alignment horizontal="center"/>
    </xf>
    <xf numFmtId="177" fontId="1" fillId="4" borderId="184" xfId="1" applyNumberFormat="1" applyFont="1" applyFill="1" applyBorder="1" applyAlignment="1" applyProtection="1">
      <alignment horizontal="center"/>
    </xf>
    <xf numFmtId="172" fontId="1" fillId="11" borderId="128" xfId="0" applyNumberFormat="1" applyFont="1" applyFill="1" applyBorder="1" applyAlignment="1">
      <alignment horizontal="center"/>
    </xf>
    <xf numFmtId="1" fontId="21" fillId="0" borderId="0" xfId="0" applyNumberFormat="1" applyFont="1" applyAlignment="1">
      <alignment horizontal="center"/>
    </xf>
    <xf numFmtId="177" fontId="21" fillId="0" borderId="0" xfId="0" applyNumberFormat="1" applyFont="1" applyAlignment="1">
      <alignment horizontal="center"/>
    </xf>
    <xf numFmtId="0" fontId="1" fillId="0" borderId="0" xfId="0" applyFont="1" applyAlignment="1">
      <alignment horizontal="left" vertical="top" wrapText="1"/>
    </xf>
    <xf numFmtId="177" fontId="39" fillId="0" borderId="186" xfId="1" applyNumberFormat="1" applyFont="1" applyBorder="1" applyAlignment="1" applyProtection="1">
      <alignment horizontal="center"/>
      <protection locked="0"/>
    </xf>
    <xf numFmtId="177" fontId="39" fillId="0" borderId="142" xfId="1" applyNumberFormat="1" applyFont="1" applyBorder="1" applyAlignment="1" applyProtection="1">
      <alignment horizontal="center"/>
      <protection locked="0"/>
    </xf>
    <xf numFmtId="177" fontId="39" fillId="0" borderId="145" xfId="1" applyNumberFormat="1" applyFont="1" applyBorder="1" applyAlignment="1" applyProtection="1">
      <alignment horizontal="center"/>
      <protection locked="0"/>
    </xf>
    <xf numFmtId="169" fontId="21" fillId="0" borderId="0" xfId="0" applyNumberFormat="1" applyFont="1" applyAlignment="1">
      <alignment horizontal="center"/>
    </xf>
    <xf numFmtId="44" fontId="14" fillId="0" borderId="0" xfId="0" applyNumberFormat="1" applyFont="1" applyProtection="1">
      <protection locked="0"/>
    </xf>
    <xf numFmtId="167" fontId="1" fillId="0" borderId="0" xfId="1" applyNumberFormat="1" applyFont="1" applyProtection="1"/>
    <xf numFmtId="167" fontId="21" fillId="0" borderId="0" xfId="0" applyNumberFormat="1" applyFont="1"/>
    <xf numFmtId="0" fontId="95" fillId="0" borderId="135" xfId="0" applyFont="1" applyBorder="1" applyAlignment="1" applyProtection="1">
      <alignment horizontal="right"/>
      <protection locked="0"/>
    </xf>
    <xf numFmtId="1" fontId="30" fillId="0" borderId="189" xfId="1" applyNumberFormat="1" applyFont="1" applyFill="1" applyBorder="1" applyAlignment="1" applyProtection="1">
      <alignment horizontal="center"/>
      <protection locked="0"/>
    </xf>
    <xf numFmtId="0" fontId="30" fillId="0" borderId="190" xfId="0" applyFont="1" applyBorder="1" applyAlignment="1" applyProtection="1">
      <alignment horizontal="center"/>
      <protection locked="0"/>
    </xf>
    <xf numFmtId="0" fontId="30" fillId="0" borderId="189" xfId="0" applyFont="1" applyBorder="1" applyAlignment="1" applyProtection="1">
      <alignment horizontal="center"/>
      <protection locked="0"/>
    </xf>
    <xf numFmtId="165" fontId="30" fillId="0" borderId="191" xfId="2" applyNumberFormat="1" applyFont="1" applyFill="1" applyBorder="1" applyAlignment="1" applyProtection="1">
      <protection locked="0"/>
    </xf>
    <xf numFmtId="0" fontId="24" fillId="4" borderId="182" xfId="0" applyFont="1" applyFill="1" applyBorder="1" applyAlignment="1">
      <alignment horizontal="center"/>
    </xf>
    <xf numFmtId="0" fontId="36" fillId="58" borderId="0" xfId="0" applyFont="1" applyFill="1" applyAlignment="1">
      <alignment horizontal="center"/>
    </xf>
    <xf numFmtId="0" fontId="101" fillId="58" borderId="25" xfId="0" applyFont="1" applyFill="1" applyBorder="1" applyAlignment="1">
      <alignment horizontal="center"/>
    </xf>
    <xf numFmtId="0" fontId="101" fillId="58" borderId="58" xfId="0" applyFont="1" applyFill="1" applyBorder="1" applyAlignment="1">
      <alignment horizontal="center"/>
    </xf>
    <xf numFmtId="0" fontId="42" fillId="58" borderId="9" xfId="0" applyFont="1" applyFill="1" applyBorder="1" applyAlignment="1">
      <alignment horizontal="center"/>
    </xf>
    <xf numFmtId="0" fontId="42" fillId="58" borderId="17" xfId="0" applyFont="1" applyFill="1" applyBorder="1" applyAlignment="1">
      <alignment horizontal="center"/>
    </xf>
    <xf numFmtId="165" fontId="93" fillId="58" borderId="0" xfId="2" applyNumberFormat="1" applyFont="1" applyFill="1" applyBorder="1" applyAlignment="1" applyProtection="1">
      <alignment horizontal="center" vertical="top"/>
    </xf>
    <xf numFmtId="0" fontId="101" fillId="58" borderId="9" xfId="0" applyFont="1" applyFill="1" applyBorder="1" applyAlignment="1">
      <alignment horizontal="center"/>
    </xf>
    <xf numFmtId="0" fontId="101" fillId="58" borderId="17" xfId="0" applyFont="1" applyFill="1" applyBorder="1" applyAlignment="1">
      <alignment horizontal="center"/>
    </xf>
    <xf numFmtId="2" fontId="42" fillId="58" borderId="9" xfId="0" applyNumberFormat="1" applyFont="1" applyFill="1" applyBorder="1" applyAlignment="1">
      <alignment horizontal="center"/>
    </xf>
    <xf numFmtId="2" fontId="42" fillId="58" borderId="17" xfId="0" applyNumberFormat="1" applyFont="1" applyFill="1" applyBorder="1" applyAlignment="1">
      <alignment horizontal="center"/>
    </xf>
    <xf numFmtId="0" fontId="93" fillId="58" borderId="0" xfId="0" applyFont="1" applyFill="1" applyAlignment="1">
      <alignment horizontal="center"/>
    </xf>
    <xf numFmtId="0" fontId="42" fillId="58" borderId="0" xfId="0" applyFont="1" applyFill="1" applyAlignment="1">
      <alignment horizontal="center"/>
    </xf>
    <xf numFmtId="0" fontId="101" fillId="58" borderId="2" xfId="0" applyFont="1" applyFill="1" applyBorder="1" applyAlignment="1">
      <alignment horizontal="center"/>
    </xf>
    <xf numFmtId="0" fontId="101" fillId="58" borderId="0" xfId="0" applyFont="1" applyFill="1" applyAlignment="1">
      <alignment horizontal="center"/>
    </xf>
    <xf numFmtId="0" fontId="42" fillId="58" borderId="2" xfId="0" applyFont="1" applyFill="1" applyBorder="1" applyAlignment="1">
      <alignment horizontal="center"/>
    </xf>
    <xf numFmtId="0" fontId="42" fillId="58" borderId="28" xfId="0" applyFont="1" applyFill="1" applyBorder="1" applyAlignment="1">
      <alignment horizontal="center"/>
    </xf>
    <xf numFmtId="0" fontId="42" fillId="58" borderId="19" xfId="0" applyFont="1" applyFill="1" applyBorder="1" applyAlignment="1">
      <alignment horizontal="center"/>
    </xf>
    <xf numFmtId="0" fontId="102" fillId="58" borderId="0" xfId="0" applyFont="1" applyFill="1" applyAlignment="1">
      <alignment horizontal="center"/>
    </xf>
    <xf numFmtId="0" fontId="31" fillId="0" borderId="3" xfId="0" applyFont="1" applyBorder="1" applyAlignment="1" applyProtection="1">
      <alignment horizontal="center"/>
      <protection locked="0"/>
    </xf>
    <xf numFmtId="0" fontId="31" fillId="0" borderId="135" xfId="0" applyFont="1" applyBorder="1" applyProtection="1">
      <protection locked="0"/>
    </xf>
    <xf numFmtId="0" fontId="31" fillId="0" borderId="136" xfId="0" applyFont="1" applyBorder="1" applyProtection="1">
      <protection locked="0"/>
    </xf>
    <xf numFmtId="0" fontId="31" fillId="0" borderId="129" xfId="0" applyFont="1" applyBorder="1" applyProtection="1">
      <protection locked="0"/>
    </xf>
    <xf numFmtId="0" fontId="31" fillId="0" borderId="132" xfId="0" applyFont="1" applyBorder="1" applyProtection="1">
      <protection locked="0"/>
    </xf>
    <xf numFmtId="0" fontId="31" fillId="0" borderId="133" xfId="0" applyFont="1" applyBorder="1" applyProtection="1">
      <protection locked="0"/>
    </xf>
    <xf numFmtId="0" fontId="31" fillId="0" borderId="130" xfId="0" applyFont="1" applyBorder="1" applyProtection="1">
      <protection locked="0"/>
    </xf>
    <xf numFmtId="0" fontId="17" fillId="12" borderId="0" xfId="0" applyFont="1" applyFill="1"/>
    <xf numFmtId="0" fontId="30" fillId="0" borderId="192" xfId="0" applyFont="1" applyBorder="1" applyAlignment="1" applyProtection="1">
      <alignment horizontal="center"/>
      <protection locked="0"/>
    </xf>
    <xf numFmtId="0" fontId="24" fillId="1" borderId="10" xfId="0" applyFont="1" applyFill="1" applyBorder="1"/>
    <xf numFmtId="0" fontId="24" fillId="1" borderId="2" xfId="0" applyFont="1" applyFill="1" applyBorder="1"/>
    <xf numFmtId="0" fontId="43" fillId="58" borderId="0" xfId="0" applyFont="1" applyFill="1" applyAlignment="1">
      <alignment horizontal="center"/>
    </xf>
    <xf numFmtId="166" fontId="14" fillId="0" borderId="0" xfId="1" applyNumberFormat="1" applyFont="1" applyAlignment="1" applyProtection="1">
      <alignment horizontal="center"/>
    </xf>
    <xf numFmtId="0" fontId="36" fillId="0" borderId="0" xfId="0" applyFont="1"/>
    <xf numFmtId="170" fontId="43" fillId="58" borderId="0" xfId="0" applyNumberFormat="1" applyFont="1" applyFill="1" applyAlignment="1">
      <alignment horizontal="center"/>
    </xf>
    <xf numFmtId="171" fontId="43" fillId="58" borderId="0" xfId="0" applyNumberFormat="1" applyFont="1" applyFill="1" applyAlignment="1">
      <alignment horizontal="center"/>
    </xf>
    <xf numFmtId="0" fontId="16" fillId="0" borderId="19" xfId="0" applyFont="1" applyBorder="1"/>
    <xf numFmtId="0" fontId="15" fillId="0" borderId="19" xfId="0" applyFont="1" applyBorder="1"/>
    <xf numFmtId="0" fontId="32" fillId="0" borderId="19" xfId="0" applyFont="1" applyBorder="1"/>
    <xf numFmtId="0" fontId="100" fillId="58" borderId="0" xfId="0" applyFont="1" applyFill="1" applyAlignment="1">
      <alignment horizontal="center"/>
    </xf>
    <xf numFmtId="165" fontId="15" fillId="0" borderId="0" xfId="2" applyNumberFormat="1" applyFont="1" applyBorder="1" applyAlignment="1" applyProtection="1">
      <alignment horizontal="center"/>
    </xf>
    <xf numFmtId="44" fontId="15" fillId="0" borderId="0" xfId="2" applyFont="1" applyBorder="1" applyAlignment="1" applyProtection="1">
      <alignment horizontal="center"/>
    </xf>
    <xf numFmtId="0" fontId="25" fillId="2" borderId="42" xfId="0" applyFont="1" applyFill="1" applyBorder="1"/>
    <xf numFmtId="0" fontId="25" fillId="2" borderId="43" xfId="0" applyFont="1" applyFill="1" applyBorder="1"/>
    <xf numFmtId="0" fontId="25" fillId="2" borderId="43" xfId="0" applyFont="1" applyFill="1" applyBorder="1" applyAlignment="1">
      <alignment horizontal="right"/>
    </xf>
    <xf numFmtId="0" fontId="25" fillId="2" borderId="44" xfId="0" applyFont="1" applyFill="1" applyBorder="1"/>
    <xf numFmtId="0" fontId="99" fillId="1" borderId="27" xfId="0" applyFont="1" applyFill="1" applyBorder="1"/>
    <xf numFmtId="0" fontId="25" fillId="2" borderId="25" xfId="0" applyFont="1" applyFill="1" applyBorder="1" applyAlignment="1">
      <alignment horizontal="center"/>
    </xf>
    <xf numFmtId="0" fontId="25" fillId="4" borderId="152" xfId="0" applyFont="1" applyFill="1" applyBorder="1"/>
    <xf numFmtId="0" fontId="25" fillId="4" borderId="153" xfId="0" applyFont="1" applyFill="1" applyBorder="1"/>
    <xf numFmtId="0" fontId="25" fillId="4" borderId="153" xfId="0" applyFont="1" applyFill="1" applyBorder="1" applyAlignment="1">
      <alignment horizontal="center"/>
    </xf>
    <xf numFmtId="0" fontId="25" fillId="4" borderId="154" xfId="0" applyFont="1" applyFill="1" applyBorder="1" applyAlignment="1">
      <alignment horizontal="center"/>
    </xf>
    <xf numFmtId="0" fontId="26" fillId="1" borderId="58" xfId="0" applyFont="1" applyFill="1" applyBorder="1" applyAlignment="1">
      <alignment horizontal="center"/>
    </xf>
    <xf numFmtId="0" fontId="25" fillId="6" borderId="58" xfId="0" applyFont="1" applyFill="1" applyBorder="1" applyAlignment="1">
      <alignment horizontal="center"/>
    </xf>
    <xf numFmtId="0" fontId="25" fillId="6" borderId="12" xfId="0" applyFont="1" applyFill="1" applyBorder="1" applyAlignment="1">
      <alignment horizontal="center"/>
    </xf>
    <xf numFmtId="0" fontId="25" fillId="6" borderId="27" xfId="0" applyFont="1" applyFill="1" applyBorder="1" applyAlignment="1">
      <alignment horizontal="center"/>
    </xf>
    <xf numFmtId="0" fontId="25" fillId="1" borderId="12" xfId="0" applyFont="1" applyFill="1" applyBorder="1" applyAlignment="1">
      <alignment horizontal="center"/>
    </xf>
    <xf numFmtId="44" fontId="26" fillId="0" borderId="0" xfId="2" applyFont="1" applyAlignment="1" applyProtection="1">
      <alignment horizontal="center"/>
    </xf>
    <xf numFmtId="0" fontId="26" fillId="0" borderId="0" xfId="0" applyFont="1" applyAlignment="1">
      <alignment horizontal="center"/>
    </xf>
    <xf numFmtId="0" fontId="24" fillId="16" borderId="139" xfId="0" applyFont="1" applyFill="1" applyBorder="1"/>
    <xf numFmtId="0" fontId="24" fillId="59" borderId="2" xfId="0" applyFont="1" applyFill="1" applyBorder="1"/>
    <xf numFmtId="0" fontId="24" fillId="1" borderId="17" xfId="0" applyFont="1" applyFill="1" applyBorder="1"/>
    <xf numFmtId="165" fontId="24" fillId="6" borderId="0" xfId="2" applyNumberFormat="1" applyFont="1" applyFill="1" applyBorder="1" applyProtection="1"/>
    <xf numFmtId="44" fontId="24" fillId="0" borderId="0" xfId="2" applyFont="1" applyProtection="1"/>
    <xf numFmtId="0" fontId="24" fillId="16" borderId="134" xfId="0" applyFont="1" applyFill="1" applyBorder="1"/>
    <xf numFmtId="0" fontId="24" fillId="17" borderId="17" xfId="0" applyFont="1" applyFill="1" applyBorder="1" applyAlignment="1">
      <alignment horizontal="center"/>
    </xf>
    <xf numFmtId="0" fontId="93" fillId="59" borderId="2" xfId="0" applyFont="1" applyFill="1" applyBorder="1"/>
    <xf numFmtId="0" fontId="24" fillId="17" borderId="3" xfId="0" applyFont="1" applyFill="1" applyBorder="1" applyAlignment="1">
      <alignment horizontal="center"/>
    </xf>
    <xf numFmtId="165" fontId="24" fillId="6" borderId="19" xfId="2" applyNumberFormat="1" applyFont="1" applyFill="1" applyBorder="1" applyProtection="1"/>
    <xf numFmtId="0" fontId="25" fillId="1" borderId="0" xfId="0" applyFont="1" applyFill="1" applyAlignment="1">
      <alignment vertical="top"/>
    </xf>
    <xf numFmtId="0" fontId="25" fillId="1" borderId="61" xfId="0" applyFont="1" applyFill="1" applyBorder="1" applyAlignment="1">
      <alignment vertical="top"/>
    </xf>
    <xf numFmtId="0" fontId="25" fillId="1" borderId="170" xfId="0" applyFont="1" applyFill="1" applyBorder="1" applyAlignment="1">
      <alignment vertical="top"/>
    </xf>
    <xf numFmtId="166" fontId="25" fillId="1" borderId="61" xfId="1" applyNumberFormat="1" applyFont="1" applyFill="1" applyBorder="1" applyAlignment="1" applyProtection="1">
      <alignment horizontal="center" vertical="top"/>
    </xf>
    <xf numFmtId="0" fontId="25" fillId="1" borderId="61" xfId="0" applyFont="1" applyFill="1" applyBorder="1" applyAlignment="1">
      <alignment horizontal="center" vertical="top"/>
    </xf>
    <xf numFmtId="0" fontId="25" fillId="1" borderId="0" xfId="0" applyFont="1" applyFill="1" applyAlignment="1">
      <alignment horizontal="center" vertical="top"/>
    </xf>
    <xf numFmtId="0" fontId="25" fillId="1" borderId="170" xfId="0" applyFont="1" applyFill="1" applyBorder="1" applyAlignment="1">
      <alignment horizontal="center" vertical="top"/>
    </xf>
    <xf numFmtId="165" fontId="25" fillId="1" borderId="0" xfId="2" applyNumberFormat="1" applyFont="1" applyFill="1" applyBorder="1" applyAlignment="1" applyProtection="1">
      <alignment horizontal="center" vertical="top"/>
    </xf>
    <xf numFmtId="44" fontId="25" fillId="0" borderId="0" xfId="2" applyFont="1" applyFill="1" applyBorder="1" applyAlignment="1" applyProtection="1">
      <alignment vertical="top"/>
    </xf>
    <xf numFmtId="0" fontId="25" fillId="0" borderId="0" xfId="0" applyFont="1" applyAlignment="1">
      <alignment vertical="top"/>
    </xf>
    <xf numFmtId="0" fontId="25" fillId="2" borderId="154" xfId="0" applyFont="1" applyFill="1" applyBorder="1" applyAlignment="1">
      <alignment horizontal="right"/>
    </xf>
    <xf numFmtId="0" fontId="25" fillId="2" borderId="44" xfId="0" applyFont="1" applyFill="1" applyBorder="1" applyAlignment="1">
      <alignment horizontal="center"/>
    </xf>
    <xf numFmtId="0" fontId="25" fillId="2" borderId="154" xfId="0" applyFont="1" applyFill="1" applyBorder="1" applyAlignment="1">
      <alignment horizontal="center"/>
    </xf>
    <xf numFmtId="0" fontId="25" fillId="2" borderId="182" xfId="0" applyFont="1" applyFill="1" applyBorder="1" applyAlignment="1">
      <alignment horizontal="center"/>
    </xf>
    <xf numFmtId="166" fontId="25" fillId="3" borderId="42" xfId="1" applyNumberFormat="1" applyFont="1" applyFill="1" applyBorder="1" applyAlignment="1" applyProtection="1">
      <alignment horizontal="center"/>
    </xf>
    <xf numFmtId="0" fontId="25" fillId="3" borderId="44" xfId="0" applyFont="1" applyFill="1" applyBorder="1" applyAlignment="1">
      <alignment horizontal="center"/>
    </xf>
    <xf numFmtId="0" fontId="25" fillId="4" borderId="42" xfId="0" applyFont="1" applyFill="1" applyBorder="1" applyAlignment="1">
      <alignment horizontal="center"/>
    </xf>
    <xf numFmtId="0" fontId="25" fillId="5" borderId="42" xfId="0" applyFont="1" applyFill="1" applyBorder="1" applyAlignment="1">
      <alignment horizontal="center"/>
    </xf>
    <xf numFmtId="0" fontId="25" fillId="1" borderId="9" xfId="0" applyFont="1" applyFill="1" applyBorder="1" applyAlignment="1">
      <alignment horizontal="center"/>
    </xf>
    <xf numFmtId="0" fontId="25" fillId="6" borderId="42" xfId="0" applyFont="1" applyFill="1" applyBorder="1" applyAlignment="1">
      <alignment horizontal="center"/>
    </xf>
    <xf numFmtId="0" fontId="26" fillId="1" borderId="0" xfId="0" applyFont="1" applyFill="1" applyAlignment="1">
      <alignment horizontal="center"/>
    </xf>
    <xf numFmtId="44" fontId="24" fillId="0" borderId="0" xfId="0" applyNumberFormat="1" applyFont="1"/>
    <xf numFmtId="165" fontId="24" fillId="0" borderId="0" xfId="0" applyNumberFormat="1" applyFont="1"/>
    <xf numFmtId="0" fontId="25" fillId="1" borderId="17" xfId="0" applyFont="1" applyFill="1" applyBorder="1"/>
    <xf numFmtId="0" fontId="25" fillId="1" borderId="0" xfId="0" applyFont="1" applyFill="1"/>
    <xf numFmtId="0" fontId="25" fillId="1" borderId="61" xfId="0" applyFont="1" applyFill="1" applyBorder="1"/>
    <xf numFmtId="0" fontId="25" fillId="1" borderId="170" xfId="0" applyFont="1" applyFill="1" applyBorder="1"/>
    <xf numFmtId="166" fontId="25" fillId="1" borderId="0" xfId="1" applyNumberFormat="1" applyFont="1" applyFill="1" applyBorder="1" applyAlignment="1" applyProtection="1">
      <alignment horizontal="center"/>
    </xf>
    <xf numFmtId="0" fontId="25" fillId="1" borderId="0" xfId="0" applyFont="1" applyFill="1" applyAlignment="1">
      <alignment horizontal="center"/>
    </xf>
    <xf numFmtId="0" fontId="25" fillId="1" borderId="61" xfId="0" applyFont="1" applyFill="1" applyBorder="1" applyAlignment="1">
      <alignment horizontal="center"/>
    </xf>
    <xf numFmtId="44" fontId="25" fillId="0" borderId="0" xfId="2" applyFont="1" applyProtection="1"/>
    <xf numFmtId="0" fontId="25" fillId="0" borderId="0" xfId="0" applyFont="1"/>
    <xf numFmtId="0" fontId="25" fillId="2" borderId="154" xfId="0" applyFont="1" applyFill="1" applyBorder="1"/>
    <xf numFmtId="0" fontId="24" fillId="1" borderId="29" xfId="0" applyFont="1" applyFill="1" applyBorder="1"/>
    <xf numFmtId="0" fontId="24" fillId="1" borderId="170" xfId="0" applyFont="1" applyFill="1" applyBorder="1"/>
    <xf numFmtId="166" fontId="24" fillId="1" borderId="61" xfId="1" applyNumberFormat="1" applyFont="1" applyFill="1" applyBorder="1" applyAlignment="1" applyProtection="1">
      <alignment horizontal="center"/>
    </xf>
    <xf numFmtId="0" fontId="24" fillId="1" borderId="0" xfId="0" applyFont="1" applyFill="1" applyAlignment="1">
      <alignment horizontal="center"/>
    </xf>
    <xf numFmtId="0" fontId="25" fillId="2" borderId="153" xfId="0" applyFont="1" applyFill="1" applyBorder="1"/>
    <xf numFmtId="0" fontId="24" fillId="1" borderId="28" xfId="0" applyFont="1" applyFill="1" applyBorder="1"/>
    <xf numFmtId="0" fontId="24" fillId="1" borderId="166" xfId="0" applyFont="1" applyFill="1" applyBorder="1"/>
    <xf numFmtId="1" fontId="27" fillId="1" borderId="61" xfId="1" applyNumberFormat="1" applyFont="1" applyFill="1" applyBorder="1" applyAlignment="1" applyProtection="1">
      <alignment horizontal="center"/>
    </xf>
    <xf numFmtId="0" fontId="27" fillId="1" borderId="0" xfId="0" applyFont="1" applyFill="1" applyAlignment="1">
      <alignment horizontal="center"/>
    </xf>
    <xf numFmtId="0" fontId="27" fillId="1" borderId="2" xfId="0" applyFont="1" applyFill="1" applyBorder="1" applyAlignment="1">
      <alignment horizontal="center"/>
    </xf>
    <xf numFmtId="165" fontId="27" fillId="1" borderId="61" xfId="2" applyNumberFormat="1" applyFont="1" applyFill="1" applyBorder="1" applyProtection="1"/>
    <xf numFmtId="165" fontId="27" fillId="1" borderId="170" xfId="2" applyNumberFormat="1" applyFont="1" applyFill="1" applyBorder="1" applyProtection="1"/>
    <xf numFmtId="165" fontId="27" fillId="1" borderId="62" xfId="2" applyNumberFormat="1" applyFont="1" applyFill="1" applyBorder="1" applyProtection="1"/>
    <xf numFmtId="0" fontId="31" fillId="1" borderId="0" xfId="0" applyFont="1" applyFill="1"/>
    <xf numFmtId="1" fontId="27" fillId="13" borderId="61" xfId="1" applyNumberFormat="1" applyFont="1" applyFill="1" applyBorder="1" applyAlignment="1" applyProtection="1">
      <alignment horizontal="center"/>
    </xf>
    <xf numFmtId="0" fontId="27" fillId="13" borderId="61" xfId="0" applyFont="1" applyFill="1" applyBorder="1" applyAlignment="1">
      <alignment horizontal="center"/>
    </xf>
    <xf numFmtId="165" fontId="27" fillId="13" borderId="61" xfId="2" applyNumberFormat="1" applyFont="1" applyFill="1" applyBorder="1" applyProtection="1"/>
    <xf numFmtId="165" fontId="27" fillId="13" borderId="170" xfId="2" applyNumberFormat="1" applyFont="1" applyFill="1" applyBorder="1" applyProtection="1"/>
    <xf numFmtId="0" fontId="31" fillId="1" borderId="9" xfId="0" applyFont="1" applyFill="1" applyBorder="1"/>
    <xf numFmtId="0" fontId="31" fillId="1" borderId="19" xfId="0" applyFont="1" applyFill="1" applyBorder="1"/>
    <xf numFmtId="165" fontId="43" fillId="58" borderId="0" xfId="2" applyNumberFormat="1" applyFont="1" applyFill="1" applyBorder="1" applyAlignment="1" applyProtection="1">
      <alignment horizontal="center"/>
    </xf>
    <xf numFmtId="166" fontId="14" fillId="0" borderId="0" xfId="1" applyNumberFormat="1" applyFont="1" applyBorder="1" applyAlignment="1" applyProtection="1">
      <alignment horizontal="center"/>
    </xf>
    <xf numFmtId="165" fontId="14" fillId="0" borderId="0" xfId="0" applyNumberFormat="1" applyFont="1"/>
    <xf numFmtId="0" fontId="37" fillId="58" borderId="0" xfId="0" applyFont="1" applyFill="1" applyAlignment="1">
      <alignment horizontal="center"/>
    </xf>
    <xf numFmtId="0" fontId="30" fillId="0" borderId="193" xfId="0" applyFont="1" applyBorder="1" applyAlignment="1" applyProtection="1">
      <alignment horizontal="center"/>
      <protection locked="0"/>
    </xf>
    <xf numFmtId="0" fontId="30" fillId="0" borderId="194" xfId="0" applyFont="1" applyBorder="1" applyAlignment="1" applyProtection="1">
      <alignment horizontal="center"/>
      <protection locked="0"/>
    </xf>
    <xf numFmtId="0" fontId="25" fillId="1" borderId="170" xfId="0" applyFont="1" applyFill="1" applyBorder="1" applyAlignment="1">
      <alignment horizontal="center"/>
    </xf>
    <xf numFmtId="0" fontId="13" fillId="0" borderId="0" xfId="0" applyFont="1" applyAlignment="1">
      <alignment horizontal="center"/>
    </xf>
    <xf numFmtId="0" fontId="41" fillId="0" borderId="46" xfId="0" applyFont="1" applyBorder="1" applyAlignment="1">
      <alignment horizontal="left"/>
    </xf>
    <xf numFmtId="0" fontId="41" fillId="0" borderId="13" xfId="0" applyFont="1" applyBorder="1" applyAlignment="1">
      <alignment horizontal="left"/>
    </xf>
    <xf numFmtId="0" fontId="41" fillId="0" borderId="14" xfId="0" applyFont="1" applyBorder="1" applyAlignment="1">
      <alignment horizontal="left"/>
    </xf>
    <xf numFmtId="166" fontId="32" fillId="0" borderId="26" xfId="1" applyNumberFormat="1" applyFont="1" applyBorder="1" applyProtection="1"/>
    <xf numFmtId="44" fontId="32" fillId="0" borderId="71" xfId="2" applyFont="1" applyBorder="1" applyProtection="1"/>
    <xf numFmtId="166" fontId="32" fillId="0" borderId="15" xfId="1" applyNumberFormat="1" applyFont="1" applyBorder="1" applyProtection="1"/>
    <xf numFmtId="44" fontId="32" fillId="0" borderId="38" xfId="2" applyFont="1" applyBorder="1" applyProtection="1"/>
    <xf numFmtId="166" fontId="32" fillId="0" borderId="73" xfId="1" applyNumberFormat="1" applyFont="1" applyBorder="1" applyProtection="1"/>
    <xf numFmtId="44" fontId="32" fillId="0" borderId="74" xfId="2" applyFont="1" applyBorder="1" applyProtection="1"/>
    <xf numFmtId="166" fontId="32" fillId="0" borderId="50" xfId="1" applyNumberFormat="1" applyFont="1" applyBorder="1" applyProtection="1"/>
    <xf numFmtId="44" fontId="32" fillId="0" borderId="72" xfId="2" applyFont="1" applyBorder="1" applyProtection="1"/>
    <xf numFmtId="0" fontId="32" fillId="0" borderId="0" xfId="0" applyFont="1"/>
    <xf numFmtId="0" fontId="33" fillId="0" borderId="26" xfId="0" applyFont="1" applyBorder="1" applyAlignment="1">
      <alignment horizontal="center"/>
    </xf>
    <xf numFmtId="0" fontId="33" fillId="0" borderId="71" xfId="0" applyFont="1" applyBorder="1" applyAlignment="1">
      <alignment horizontal="center"/>
    </xf>
    <xf numFmtId="0" fontId="33" fillId="0" borderId="56" xfId="0" applyFont="1" applyBorder="1" applyAlignment="1">
      <alignment horizontal="center"/>
    </xf>
    <xf numFmtId="0" fontId="33" fillId="0" borderId="15" xfId="0" applyFont="1" applyBorder="1" applyAlignment="1">
      <alignment horizontal="center"/>
    </xf>
    <xf numFmtId="0" fontId="33" fillId="0" borderId="38" xfId="0" applyFont="1" applyBorder="1" applyAlignment="1">
      <alignment horizontal="center"/>
    </xf>
    <xf numFmtId="0" fontId="33" fillId="0" borderId="16" xfId="0" applyFont="1" applyBorder="1" applyAlignment="1">
      <alignment horizontal="center"/>
    </xf>
    <xf numFmtId="0" fontId="33" fillId="0" borderId="73" xfId="0" applyFont="1" applyBorder="1" applyAlignment="1">
      <alignment horizontal="center"/>
    </xf>
    <xf numFmtId="0" fontId="33" fillId="0" borderId="74" xfId="0" applyFont="1" applyBorder="1" applyAlignment="1">
      <alignment horizontal="center"/>
    </xf>
    <xf numFmtId="0" fontId="33" fillId="0" borderId="75" xfId="0" applyFont="1" applyBorder="1" applyAlignment="1">
      <alignment horizontal="center"/>
    </xf>
    <xf numFmtId="0" fontId="33" fillId="0" borderId="50" xfId="0" applyFont="1" applyBorder="1" applyAlignment="1">
      <alignment horizontal="center"/>
    </xf>
    <xf numFmtId="0" fontId="33" fillId="0" borderId="72" xfId="0" applyFont="1" applyBorder="1" applyAlignment="1">
      <alignment horizontal="center"/>
    </xf>
    <xf numFmtId="0" fontId="33" fillId="0" borderId="51" xfId="0" applyFont="1" applyBorder="1" applyAlignment="1">
      <alignment horizontal="center"/>
    </xf>
    <xf numFmtId="0" fontId="73" fillId="0" borderId="0" xfId="0" applyFont="1"/>
    <xf numFmtId="44" fontId="14" fillId="11" borderId="36" xfId="2" applyFont="1" applyFill="1" applyBorder="1" applyAlignment="1" applyProtection="1">
      <alignment horizontal="center"/>
    </xf>
    <xf numFmtId="44" fontId="14" fillId="11" borderId="38" xfId="2" applyFont="1" applyFill="1" applyBorder="1" applyAlignment="1" applyProtection="1">
      <alignment horizontal="center"/>
    </xf>
    <xf numFmtId="44" fontId="14" fillId="11" borderId="174" xfId="2" applyFont="1" applyFill="1" applyBorder="1" applyAlignment="1" applyProtection="1">
      <alignment horizontal="center"/>
    </xf>
    <xf numFmtId="44" fontId="14" fillId="11" borderId="175" xfId="2" applyFont="1" applyFill="1" applyBorder="1" applyAlignment="1" applyProtection="1">
      <alignment horizontal="center"/>
    </xf>
    <xf numFmtId="44" fontId="14" fillId="60" borderId="38" xfId="2" applyFont="1" applyFill="1" applyBorder="1" applyAlignment="1" applyProtection="1">
      <alignment horizontal="center"/>
    </xf>
    <xf numFmtId="44" fontId="14" fillId="60" borderId="177" xfId="2" applyFont="1" applyFill="1" applyBorder="1" applyAlignment="1" applyProtection="1">
      <alignment horizontal="center"/>
    </xf>
    <xf numFmtId="44" fontId="14" fillId="8" borderId="56" xfId="2" applyFont="1" applyFill="1" applyBorder="1" applyProtection="1"/>
    <xf numFmtId="44" fontId="14" fillId="8" borderId="16" xfId="2" applyFont="1" applyFill="1" applyBorder="1" applyProtection="1"/>
    <xf numFmtId="44" fontId="14" fillId="8" borderId="75" xfId="2" applyFont="1" applyFill="1" applyBorder="1" applyProtection="1"/>
    <xf numFmtId="44" fontId="14" fillId="8" borderId="51" xfId="2" applyFont="1" applyFill="1" applyBorder="1" applyProtection="1"/>
    <xf numFmtId="0" fontId="106" fillId="0" borderId="0" xfId="0" applyFont="1"/>
    <xf numFmtId="0" fontId="107" fillId="0" borderId="0" xfId="0" applyFont="1"/>
    <xf numFmtId="172" fontId="104" fillId="0" borderId="0" xfId="2" applyNumberFormat="1" applyFont="1" applyAlignment="1" applyProtection="1">
      <alignment horizontal="center"/>
      <protection locked="0"/>
    </xf>
    <xf numFmtId="43" fontId="14" fillId="8" borderId="31" xfId="1" applyFont="1" applyFill="1" applyBorder="1" applyAlignment="1" applyProtection="1">
      <alignment horizontal="center"/>
    </xf>
    <xf numFmtId="43" fontId="14" fillId="8" borderId="32" xfId="1" applyFont="1" applyFill="1" applyBorder="1" applyAlignment="1" applyProtection="1">
      <alignment horizontal="center"/>
    </xf>
    <xf numFmtId="43" fontId="14" fillId="8" borderId="33" xfId="1" applyFont="1" applyFill="1" applyBorder="1" applyAlignment="1" applyProtection="1">
      <alignment horizontal="center"/>
    </xf>
    <xf numFmtId="0" fontId="17" fillId="12" borderId="0" xfId="0" applyFont="1" applyFill="1" applyAlignment="1">
      <alignment horizontal="center"/>
    </xf>
    <xf numFmtId="0" fontId="14" fillId="11" borderId="166" xfId="0" applyFont="1" applyFill="1" applyBorder="1" applyAlignment="1">
      <alignment horizontal="center"/>
    </xf>
    <xf numFmtId="0" fontId="14" fillId="11" borderId="170" xfId="0" applyFont="1" applyFill="1" applyBorder="1" applyAlignment="1">
      <alignment horizontal="center"/>
    </xf>
    <xf numFmtId="0" fontId="14" fillId="11" borderId="62" xfId="0" applyFont="1" applyFill="1" applyBorder="1" applyAlignment="1">
      <alignment horizontal="center"/>
    </xf>
    <xf numFmtId="44" fontId="14" fillId="60" borderId="166" xfId="2" applyFont="1" applyFill="1" applyBorder="1" applyAlignment="1" applyProtection="1">
      <alignment horizontal="center"/>
    </xf>
    <xf numFmtId="44" fontId="14" fillId="60" borderId="170" xfId="2" applyFont="1" applyFill="1" applyBorder="1" applyAlignment="1" applyProtection="1">
      <alignment horizontal="center"/>
    </xf>
    <xf numFmtId="44" fontId="14" fillId="60" borderId="62" xfId="2" applyFont="1" applyFill="1" applyBorder="1" applyAlignment="1" applyProtection="1">
      <alignment horizontal="center"/>
    </xf>
    <xf numFmtId="0" fontId="15" fillId="0" borderId="0" xfId="0" applyFont="1" applyAlignment="1">
      <alignment horizontal="right"/>
    </xf>
    <xf numFmtId="0" fontId="15" fillId="0" borderId="2" xfId="0" applyFont="1" applyBorder="1" applyAlignment="1">
      <alignment horizontal="right"/>
    </xf>
    <xf numFmtId="0" fontId="31" fillId="0" borderId="135" xfId="0" applyFont="1" applyBorder="1" applyProtection="1">
      <protection locked="0"/>
    </xf>
    <xf numFmtId="0" fontId="31" fillId="0" borderId="136" xfId="0" applyFont="1" applyBorder="1" applyProtection="1">
      <protection locked="0"/>
    </xf>
    <xf numFmtId="0" fontId="31" fillId="0" borderId="137" xfId="0" applyFont="1" applyBorder="1" applyProtection="1">
      <protection locked="0"/>
    </xf>
    <xf numFmtId="0" fontId="31" fillId="0" borderId="129" xfId="0" applyFont="1" applyBorder="1" applyProtection="1">
      <protection locked="0"/>
    </xf>
    <xf numFmtId="0" fontId="31" fillId="0" borderId="131" xfId="0" applyFont="1" applyBorder="1" applyProtection="1">
      <protection locked="0"/>
    </xf>
    <xf numFmtId="0" fontId="31" fillId="0" borderId="132" xfId="0" applyFont="1" applyBorder="1" applyProtection="1">
      <protection locked="0"/>
    </xf>
    <xf numFmtId="0" fontId="31" fillId="0" borderId="134" xfId="0" applyFont="1" applyBorder="1" applyProtection="1">
      <protection locked="0"/>
    </xf>
    <xf numFmtId="0" fontId="31" fillId="0" borderId="133" xfId="0" applyFont="1" applyBorder="1" applyProtection="1">
      <protection locked="0"/>
    </xf>
    <xf numFmtId="0" fontId="31" fillId="0" borderId="130" xfId="0" applyFont="1" applyBorder="1" applyProtection="1">
      <protection locked="0"/>
    </xf>
    <xf numFmtId="0" fontId="15" fillId="0" borderId="0" xfId="0" applyFont="1" applyAlignment="1">
      <alignment horizontal="center"/>
    </xf>
    <xf numFmtId="0" fontId="31" fillId="0" borderId="132" xfId="0" applyFont="1" applyBorder="1" applyAlignment="1" applyProtection="1">
      <alignment horizontal="left"/>
      <protection locked="0"/>
    </xf>
    <xf numFmtId="0" fontId="0" fillId="0" borderId="133" xfId="0" applyBorder="1" applyProtection="1">
      <protection locked="0"/>
    </xf>
    <xf numFmtId="0" fontId="0" fillId="0" borderId="134" xfId="0" applyBorder="1" applyProtection="1">
      <protection locked="0"/>
    </xf>
    <xf numFmtId="0" fontId="25" fillId="5" borderId="152" xfId="0" applyFont="1" applyFill="1" applyBorder="1" applyAlignment="1">
      <alignment horizontal="center"/>
    </xf>
    <xf numFmtId="0" fontId="25" fillId="5" borderId="153" xfId="0" applyFont="1" applyFill="1" applyBorder="1" applyAlignment="1">
      <alignment horizontal="center"/>
    </xf>
    <xf numFmtId="169" fontId="30" fillId="0" borderId="132" xfId="2" applyNumberFormat="1" applyFont="1" applyFill="1" applyBorder="1" applyAlignment="1" applyProtection="1">
      <alignment horizontal="center"/>
      <protection locked="0"/>
    </xf>
    <xf numFmtId="169" fontId="30" fillId="0" borderId="100" xfId="2" applyNumberFormat="1" applyFont="1" applyFill="1" applyBorder="1" applyAlignment="1" applyProtection="1">
      <alignment horizontal="center"/>
      <protection locked="0"/>
    </xf>
    <xf numFmtId="0" fontId="31" fillId="0" borderId="129" xfId="0" applyFont="1" applyBorder="1" applyAlignment="1" applyProtection="1">
      <alignment horizontal="left"/>
      <protection locked="0"/>
    </xf>
    <xf numFmtId="0" fontId="0" fillId="0" borderId="130" xfId="0" applyBorder="1" applyProtection="1">
      <protection locked="0"/>
    </xf>
    <xf numFmtId="0" fontId="0" fillId="0" borderId="131" xfId="0" applyBorder="1" applyProtection="1">
      <protection locked="0"/>
    </xf>
    <xf numFmtId="169" fontId="42" fillId="0" borderId="135" xfId="2" applyNumberFormat="1" applyFont="1" applyFill="1" applyBorder="1" applyAlignment="1" applyProtection="1">
      <alignment horizontal="center"/>
      <protection locked="0"/>
    </xf>
    <xf numFmtId="169" fontId="42" fillId="0" borderId="169" xfId="2" applyNumberFormat="1" applyFont="1" applyFill="1" applyBorder="1" applyAlignment="1" applyProtection="1">
      <alignment horizontal="center"/>
      <protection locked="0"/>
    </xf>
    <xf numFmtId="169" fontId="30" fillId="0" borderId="143" xfId="2" applyNumberFormat="1" applyFont="1" applyFill="1" applyBorder="1" applyAlignment="1" applyProtection="1">
      <alignment horizontal="center"/>
      <protection locked="0"/>
    </xf>
    <xf numFmtId="169" fontId="30" fillId="0" borderId="168" xfId="2" applyNumberFormat="1" applyFont="1" applyFill="1" applyBorder="1" applyAlignment="1" applyProtection="1">
      <alignment horizontal="center"/>
      <protection locked="0"/>
    </xf>
    <xf numFmtId="169" fontId="93" fillId="0" borderId="143" xfId="2" applyNumberFormat="1" applyFont="1" applyFill="1" applyBorder="1" applyAlignment="1" applyProtection="1">
      <alignment horizontal="center"/>
    </xf>
    <xf numFmtId="169" fontId="93" fillId="0" borderId="168" xfId="2" applyNumberFormat="1" applyFont="1" applyFill="1" applyBorder="1" applyAlignment="1" applyProtection="1">
      <alignment horizontal="center"/>
    </xf>
    <xf numFmtId="169" fontId="42" fillId="0" borderId="29" xfId="2" applyNumberFormat="1" applyFont="1" applyFill="1" applyBorder="1" applyAlignment="1" applyProtection="1">
      <alignment horizontal="center"/>
      <protection locked="0"/>
    </xf>
    <xf numFmtId="169" fontId="42" fillId="0" borderId="151" xfId="2" applyNumberFormat="1" applyFont="1" applyFill="1" applyBorder="1" applyAlignment="1" applyProtection="1">
      <alignment horizontal="center"/>
      <protection locked="0"/>
    </xf>
    <xf numFmtId="169" fontId="93" fillId="0" borderId="167" xfId="2" applyNumberFormat="1" applyFont="1" applyFill="1" applyBorder="1" applyAlignment="1" applyProtection="1">
      <alignment horizontal="center"/>
    </xf>
    <xf numFmtId="169" fontId="93" fillId="0" borderId="99" xfId="2" applyNumberFormat="1" applyFont="1" applyFill="1" applyBorder="1" applyAlignment="1" applyProtection="1">
      <alignment horizontal="center"/>
    </xf>
    <xf numFmtId="169" fontId="93" fillId="0" borderId="132" xfId="2" applyNumberFormat="1" applyFont="1" applyFill="1" applyBorder="1" applyAlignment="1" applyProtection="1">
      <alignment horizontal="center"/>
    </xf>
    <xf numFmtId="169" fontId="93" fillId="0" borderId="100" xfId="2" applyNumberFormat="1" applyFont="1" applyFill="1" applyBorder="1" applyAlignment="1" applyProtection="1">
      <alignment horizontal="center"/>
    </xf>
    <xf numFmtId="0" fontId="17" fillId="12" borderId="0" xfId="0" applyFont="1" applyFill="1"/>
    <xf numFmtId="0" fontId="37" fillId="0" borderId="0" xfId="0" applyFont="1" applyAlignment="1">
      <alignment horizontal="center"/>
    </xf>
    <xf numFmtId="169" fontId="30" fillId="16" borderId="135" xfId="2" applyNumberFormat="1" applyFont="1" applyFill="1" applyBorder="1" applyAlignment="1" applyProtection="1">
      <alignment horizontal="center"/>
      <protection locked="0"/>
    </xf>
    <xf numFmtId="169" fontId="30" fillId="16" borderId="137" xfId="2" applyNumberFormat="1" applyFont="1" applyFill="1" applyBorder="1" applyAlignment="1" applyProtection="1">
      <alignment horizontal="center"/>
      <protection locked="0"/>
    </xf>
    <xf numFmtId="169" fontId="30" fillId="16" borderId="132" xfId="2" applyNumberFormat="1" applyFont="1" applyFill="1" applyBorder="1" applyAlignment="1" applyProtection="1">
      <alignment horizontal="center"/>
      <protection locked="0"/>
    </xf>
    <xf numFmtId="169" fontId="30" fillId="16" borderId="134" xfId="2" applyNumberFormat="1" applyFont="1" applyFill="1" applyBorder="1" applyAlignment="1" applyProtection="1">
      <alignment horizontal="center"/>
      <protection locked="0"/>
    </xf>
    <xf numFmtId="169" fontId="42" fillId="16" borderId="132" xfId="2" applyNumberFormat="1" applyFont="1" applyFill="1" applyBorder="1" applyAlignment="1" applyProtection="1">
      <alignment horizontal="center"/>
    </xf>
    <xf numFmtId="169" fontId="42" fillId="16" borderId="134" xfId="2" applyNumberFormat="1" applyFont="1" applyFill="1" applyBorder="1" applyAlignment="1" applyProtection="1">
      <alignment horizontal="center"/>
    </xf>
    <xf numFmtId="169" fontId="42" fillId="16" borderId="129" xfId="2" applyNumberFormat="1" applyFont="1" applyFill="1" applyBorder="1" applyAlignment="1" applyProtection="1">
      <alignment horizontal="center"/>
    </xf>
    <xf numFmtId="169" fontId="42" fillId="16" borderId="131" xfId="2" applyNumberFormat="1" applyFont="1" applyFill="1" applyBorder="1" applyAlignment="1" applyProtection="1">
      <alignment horizontal="center"/>
    </xf>
    <xf numFmtId="166" fontId="15" fillId="0" borderId="0" xfId="1" applyNumberFormat="1" applyFont="1" applyBorder="1" applyAlignment="1" applyProtection="1">
      <alignment horizontal="center"/>
    </xf>
    <xf numFmtId="166" fontId="25" fillId="3" borderId="42" xfId="1" applyNumberFormat="1" applyFont="1" applyFill="1" applyBorder="1" applyAlignment="1" applyProtection="1">
      <alignment horizontal="center"/>
    </xf>
    <xf numFmtId="166" fontId="25" fillId="3" borderId="44" xfId="1" applyNumberFormat="1" applyFont="1" applyFill="1" applyBorder="1" applyAlignment="1" applyProtection="1">
      <alignment horizontal="center"/>
    </xf>
    <xf numFmtId="14" fontId="32" fillId="0" borderId="0" xfId="0" applyNumberFormat="1" applyFont="1" applyProtection="1">
      <protection locked="0"/>
    </xf>
    <xf numFmtId="171" fontId="32" fillId="0" borderId="0" xfId="0" applyNumberFormat="1" applyFont="1" applyProtection="1">
      <protection locked="0"/>
    </xf>
    <xf numFmtId="0" fontId="31" fillId="0" borderId="135" xfId="0" applyFont="1" applyBorder="1" applyAlignment="1" applyProtection="1">
      <alignment horizontal="left"/>
      <protection locked="0"/>
    </xf>
    <xf numFmtId="0" fontId="0" fillId="0" borderId="136" xfId="0" applyBorder="1" applyProtection="1">
      <protection locked="0"/>
    </xf>
    <xf numFmtId="0" fontId="0" fillId="0" borderId="137" xfId="0" applyBorder="1" applyProtection="1">
      <protection locked="0"/>
    </xf>
    <xf numFmtId="169" fontId="24" fillId="0" borderId="132" xfId="2" applyNumberFormat="1" applyFont="1" applyFill="1" applyBorder="1" applyAlignment="1" applyProtection="1">
      <alignment horizontal="center"/>
      <protection locked="0"/>
    </xf>
    <xf numFmtId="169" fontId="24" fillId="0" borderId="100" xfId="2" applyNumberFormat="1" applyFont="1" applyFill="1" applyBorder="1" applyAlignment="1" applyProtection="1">
      <alignment horizontal="center"/>
      <protection locked="0"/>
    </xf>
    <xf numFmtId="0" fontId="44" fillId="12" borderId="22" xfId="0" applyFont="1" applyFill="1" applyBorder="1" applyAlignment="1">
      <alignment horizontal="center"/>
    </xf>
    <xf numFmtId="0" fontId="20" fillId="12" borderId="0" xfId="0" applyFont="1" applyFill="1" applyAlignment="1">
      <alignment horizontal="center"/>
    </xf>
    <xf numFmtId="0" fontId="41" fillId="0" borderId="46" xfId="0" applyFont="1" applyBorder="1" applyAlignment="1">
      <alignment horizontal="left"/>
    </xf>
    <xf numFmtId="0" fontId="41" fillId="0" borderId="13" xfId="0" applyFont="1" applyBorder="1" applyAlignment="1">
      <alignment horizontal="left"/>
    </xf>
    <xf numFmtId="0" fontId="41" fillId="0" borderId="14" xfId="0" applyFont="1" applyBorder="1" applyAlignment="1">
      <alignment horizontal="left"/>
    </xf>
    <xf numFmtId="0" fontId="41" fillId="0" borderId="47" xfId="0" applyFont="1" applyBorder="1" applyAlignment="1">
      <alignment horizontal="left"/>
    </xf>
    <xf numFmtId="0" fontId="41" fillId="0" borderId="48" xfId="0" applyFont="1" applyBorder="1" applyAlignment="1">
      <alignment horizontal="left"/>
    </xf>
    <xf numFmtId="0" fontId="41" fillId="0" borderId="49" xfId="0" applyFont="1" applyBorder="1" applyAlignment="1">
      <alignment horizontal="left"/>
    </xf>
    <xf numFmtId="0" fontId="41" fillId="0" borderId="53" xfId="0" applyFont="1" applyBorder="1" applyAlignment="1">
      <alignment horizontal="left"/>
    </xf>
    <xf numFmtId="0" fontId="41" fillId="0" borderId="54" xfId="0" applyFont="1" applyBorder="1" applyAlignment="1">
      <alignment horizontal="left"/>
    </xf>
    <xf numFmtId="0" fontId="41" fillId="0" borderId="55" xfId="0" applyFont="1" applyBorder="1" applyAlignment="1">
      <alignment horizontal="left"/>
    </xf>
    <xf numFmtId="0" fontId="18" fillId="0" borderId="0" xfId="0" applyFont="1"/>
    <xf numFmtId="0" fontId="18" fillId="0" borderId="0" xfId="0" applyFont="1" applyAlignment="1">
      <alignment horizontal="left" wrapText="1"/>
    </xf>
    <xf numFmtId="0" fontId="18" fillId="0" borderId="0" xfId="0" applyFont="1" applyAlignment="1">
      <alignment horizontal="left" vertical="top" wrapText="1"/>
    </xf>
    <xf numFmtId="0" fontId="72" fillId="0" borderId="0" xfId="0" applyFont="1" applyAlignment="1">
      <alignment horizontal="left"/>
    </xf>
    <xf numFmtId="0" fontId="78" fillId="0" borderId="0" xfId="0" applyFont="1" applyAlignment="1">
      <alignment horizontal="left" wrapText="1"/>
    </xf>
    <xf numFmtId="0" fontId="86" fillId="0" borderId="0" xfId="0" applyFont="1" applyAlignment="1">
      <alignment horizontal="left" vertical="top" wrapText="1"/>
    </xf>
    <xf numFmtId="0" fontId="78" fillId="0" borderId="0" xfId="0" applyFont="1" applyAlignment="1">
      <alignment horizontal="justify"/>
    </xf>
    <xf numFmtId="0" fontId="104" fillId="0" borderId="0" xfId="0" applyFont="1" applyAlignment="1" applyProtection="1">
      <alignment horizontal="left"/>
      <protection locked="0"/>
    </xf>
    <xf numFmtId="0" fontId="72" fillId="0" borderId="0" xfId="0" applyFont="1" applyAlignment="1">
      <alignment horizontal="left" wrapText="1"/>
    </xf>
    <xf numFmtId="0" fontId="103" fillId="0" borderId="0" xfId="0" applyFont="1" applyAlignment="1">
      <alignment horizontal="left"/>
    </xf>
    <xf numFmtId="170" fontId="29" fillId="0" borderId="0" xfId="0" applyNumberFormat="1" applyFont="1" applyAlignment="1">
      <alignment horizontal="left"/>
    </xf>
    <xf numFmtId="0" fontId="88" fillId="0" borderId="0" xfId="0" applyFont="1" applyAlignment="1">
      <alignment horizontal="left" vertical="top" wrapText="1"/>
    </xf>
    <xf numFmtId="0" fontId="71" fillId="0" borderId="0" xfId="0" applyFont="1" applyAlignment="1">
      <alignment horizontal="center"/>
    </xf>
    <xf numFmtId="0" fontId="80" fillId="0" borderId="0" xfId="0" applyFont="1" applyAlignment="1">
      <alignment horizontal="left" wrapText="1"/>
    </xf>
    <xf numFmtId="0" fontId="105" fillId="0" borderId="0" xfId="0" applyFont="1" applyAlignment="1" applyProtection="1">
      <alignment horizontal="justify"/>
      <protection locked="0"/>
    </xf>
    <xf numFmtId="0" fontId="28" fillId="0" borderId="0" xfId="0" applyFont="1" applyAlignment="1">
      <alignment horizontal="left" vertical="top" wrapText="1"/>
    </xf>
    <xf numFmtId="0" fontId="78" fillId="0" borderId="0" xfId="0" applyFont="1" applyAlignment="1" applyProtection="1">
      <alignment horizontal="justify"/>
      <protection locked="0"/>
    </xf>
    <xf numFmtId="0" fontId="79" fillId="0" borderId="0" xfId="0" applyFont="1" applyAlignment="1">
      <alignment horizontal="left"/>
    </xf>
    <xf numFmtId="0" fontId="81" fillId="0" borderId="0" xfId="0" applyFont="1" applyAlignment="1">
      <alignment horizontal="left"/>
    </xf>
    <xf numFmtId="0" fontId="39" fillId="18" borderId="0" xfId="4" applyFont="1" applyFill="1" applyAlignment="1" applyProtection="1">
      <alignment horizontal="left"/>
      <protection locked="0"/>
    </xf>
    <xf numFmtId="0" fontId="10" fillId="0" borderId="0" xfId="4" applyAlignment="1">
      <alignment horizontal="center"/>
    </xf>
    <xf numFmtId="0" fontId="17" fillId="12" borderId="0" xfId="0" applyFont="1" applyFill="1" applyAlignment="1" applyProtection="1">
      <alignment horizontal="center"/>
      <protection locked="0"/>
    </xf>
    <xf numFmtId="0" fontId="13" fillId="0" borderId="0" xfId="0" applyFont="1" applyAlignment="1" applyProtection="1">
      <alignment horizontal="center"/>
      <protection locked="0"/>
    </xf>
    <xf numFmtId="0" fontId="1" fillId="0" borderId="0" xfId="0" applyFont="1" applyAlignment="1">
      <alignment horizontal="left" vertical="top" wrapText="1"/>
    </xf>
    <xf numFmtId="0" fontId="21" fillId="0" borderId="0" xfId="0" applyFont="1" applyAlignment="1">
      <alignment horizontal="center" wrapText="1"/>
    </xf>
    <xf numFmtId="0" fontId="21" fillId="0" borderId="0" xfId="0" applyFont="1" applyAlignment="1">
      <alignment horizontal="center" vertical="center" wrapText="1"/>
    </xf>
    <xf numFmtId="0" fontId="21" fillId="0" borderId="0" xfId="0" applyFont="1" applyAlignment="1">
      <alignment vertical="center"/>
    </xf>
    <xf numFmtId="0" fontId="21" fillId="0" borderId="19" xfId="0" applyFont="1" applyBorder="1" applyAlignment="1">
      <alignment vertical="center"/>
    </xf>
    <xf numFmtId="0" fontId="21" fillId="0" borderId="0" xfId="0" applyFont="1" applyAlignment="1">
      <alignment horizontal="center"/>
    </xf>
    <xf numFmtId="0" fontId="38" fillId="0" borderId="0" xfId="0" applyFont="1" applyAlignment="1">
      <alignment horizontal="center"/>
    </xf>
  </cellXfs>
  <cellStyles count="3516">
    <cellStyle name="20% - Accent1 10" xfId="14" xr:uid="{00000000-0005-0000-0000-000000000000}"/>
    <cellStyle name="20% - Accent1 10 10" xfId="15" xr:uid="{00000000-0005-0000-0000-000001000000}"/>
    <cellStyle name="20% - Accent1 10 11" xfId="16" xr:uid="{00000000-0005-0000-0000-000002000000}"/>
    <cellStyle name="20% - Accent1 10 2" xfId="17" xr:uid="{00000000-0005-0000-0000-000003000000}"/>
    <cellStyle name="20% - Accent1 10 3" xfId="18" xr:uid="{00000000-0005-0000-0000-000004000000}"/>
    <cellStyle name="20% - Accent1 10 4" xfId="19" xr:uid="{00000000-0005-0000-0000-000005000000}"/>
    <cellStyle name="20% - Accent1 10 5" xfId="20" xr:uid="{00000000-0005-0000-0000-000006000000}"/>
    <cellStyle name="20% - Accent1 10 6" xfId="21" xr:uid="{00000000-0005-0000-0000-000007000000}"/>
    <cellStyle name="20% - Accent1 10 7" xfId="22" xr:uid="{00000000-0005-0000-0000-000008000000}"/>
    <cellStyle name="20% - Accent1 10 8" xfId="23" xr:uid="{00000000-0005-0000-0000-000009000000}"/>
    <cellStyle name="20% - Accent1 10 9" xfId="24" xr:uid="{00000000-0005-0000-0000-00000A000000}"/>
    <cellStyle name="20% - Accent1 11" xfId="25" xr:uid="{00000000-0005-0000-0000-00000B000000}"/>
    <cellStyle name="20% - Accent1 11 2" xfId="26" xr:uid="{00000000-0005-0000-0000-00000C000000}"/>
    <cellStyle name="20% - Accent1 12" xfId="27" xr:uid="{00000000-0005-0000-0000-00000D000000}"/>
    <cellStyle name="20% - Accent1 13" xfId="28" xr:uid="{00000000-0005-0000-0000-00000E000000}"/>
    <cellStyle name="20% - Accent1 13 2" xfId="29" xr:uid="{00000000-0005-0000-0000-00000F000000}"/>
    <cellStyle name="20% - Accent1 13 3" xfId="30" xr:uid="{00000000-0005-0000-0000-000010000000}"/>
    <cellStyle name="20% - Accent1 13 4" xfId="31" xr:uid="{00000000-0005-0000-0000-000011000000}"/>
    <cellStyle name="20% - Accent1 14" xfId="32" xr:uid="{00000000-0005-0000-0000-000012000000}"/>
    <cellStyle name="20% - Accent1 14 2" xfId="33" xr:uid="{00000000-0005-0000-0000-000013000000}"/>
    <cellStyle name="20% - Accent1 14 3" xfId="34" xr:uid="{00000000-0005-0000-0000-000014000000}"/>
    <cellStyle name="20% - Accent1 14 4" xfId="35" xr:uid="{00000000-0005-0000-0000-000015000000}"/>
    <cellStyle name="20% - Accent1 15" xfId="36" xr:uid="{00000000-0005-0000-0000-000016000000}"/>
    <cellStyle name="20% - Accent1 15 2" xfId="37" xr:uid="{00000000-0005-0000-0000-000017000000}"/>
    <cellStyle name="20% - Accent1 15 3" xfId="38" xr:uid="{00000000-0005-0000-0000-000018000000}"/>
    <cellStyle name="20% - Accent1 15 4" xfId="39" xr:uid="{00000000-0005-0000-0000-000019000000}"/>
    <cellStyle name="20% - Accent1 16" xfId="40" xr:uid="{00000000-0005-0000-0000-00001A000000}"/>
    <cellStyle name="20% - Accent1 16 2" xfId="41" xr:uid="{00000000-0005-0000-0000-00001B000000}"/>
    <cellStyle name="20% - Accent1 16 3" xfId="42" xr:uid="{00000000-0005-0000-0000-00001C000000}"/>
    <cellStyle name="20% - Accent1 16 4" xfId="43" xr:uid="{00000000-0005-0000-0000-00001D000000}"/>
    <cellStyle name="20% - Accent1 17" xfId="44" xr:uid="{00000000-0005-0000-0000-00001E000000}"/>
    <cellStyle name="20% - Accent1 17 2" xfId="45" xr:uid="{00000000-0005-0000-0000-00001F000000}"/>
    <cellStyle name="20% - Accent1 17 3" xfId="46" xr:uid="{00000000-0005-0000-0000-000020000000}"/>
    <cellStyle name="20% - Accent1 17 4" xfId="47" xr:uid="{00000000-0005-0000-0000-000021000000}"/>
    <cellStyle name="20% - Accent1 18" xfId="48" xr:uid="{00000000-0005-0000-0000-000022000000}"/>
    <cellStyle name="20% - Accent1 18 2" xfId="49" xr:uid="{00000000-0005-0000-0000-000023000000}"/>
    <cellStyle name="20% - Accent1 18 3" xfId="50" xr:uid="{00000000-0005-0000-0000-000024000000}"/>
    <cellStyle name="20% - Accent1 18 4" xfId="51" xr:uid="{00000000-0005-0000-0000-000025000000}"/>
    <cellStyle name="20% - Accent1 19" xfId="52" xr:uid="{00000000-0005-0000-0000-000026000000}"/>
    <cellStyle name="20% - Accent1 2" xfId="53" xr:uid="{00000000-0005-0000-0000-000027000000}"/>
    <cellStyle name="20% - Accent1 20" xfId="54" xr:uid="{00000000-0005-0000-0000-000028000000}"/>
    <cellStyle name="20% - Accent1 21" xfId="55" xr:uid="{00000000-0005-0000-0000-000029000000}"/>
    <cellStyle name="20% - Accent1 3" xfId="56" xr:uid="{00000000-0005-0000-0000-00002A000000}"/>
    <cellStyle name="20% - Accent1 4" xfId="57" xr:uid="{00000000-0005-0000-0000-00002B000000}"/>
    <cellStyle name="20% - Accent1 5" xfId="58" xr:uid="{00000000-0005-0000-0000-00002C000000}"/>
    <cellStyle name="20% - Accent1 6" xfId="59" xr:uid="{00000000-0005-0000-0000-00002D000000}"/>
    <cellStyle name="20% - Accent1 6 10" xfId="60" xr:uid="{00000000-0005-0000-0000-00002E000000}"/>
    <cellStyle name="20% - Accent1 6 11" xfId="61" xr:uid="{00000000-0005-0000-0000-00002F000000}"/>
    <cellStyle name="20% - Accent1 6 12" xfId="62" xr:uid="{00000000-0005-0000-0000-000030000000}"/>
    <cellStyle name="20% - Accent1 6 13" xfId="63" xr:uid="{00000000-0005-0000-0000-000031000000}"/>
    <cellStyle name="20% - Accent1 6 14" xfId="64" xr:uid="{00000000-0005-0000-0000-000032000000}"/>
    <cellStyle name="20% - Accent1 6 15" xfId="65" xr:uid="{00000000-0005-0000-0000-000033000000}"/>
    <cellStyle name="20% - Accent1 6 2" xfId="66" xr:uid="{00000000-0005-0000-0000-000034000000}"/>
    <cellStyle name="20% - Accent1 6 2 10" xfId="67" xr:uid="{00000000-0005-0000-0000-000035000000}"/>
    <cellStyle name="20% - Accent1 6 2 11" xfId="68" xr:uid="{00000000-0005-0000-0000-000036000000}"/>
    <cellStyle name="20% - Accent1 6 2 12" xfId="69" xr:uid="{00000000-0005-0000-0000-000037000000}"/>
    <cellStyle name="20% - Accent1 6 2 13" xfId="70" xr:uid="{00000000-0005-0000-0000-000038000000}"/>
    <cellStyle name="20% - Accent1 6 2 2" xfId="71" xr:uid="{00000000-0005-0000-0000-000039000000}"/>
    <cellStyle name="20% - Accent1 6 2 2 2" xfId="72" xr:uid="{00000000-0005-0000-0000-00003A000000}"/>
    <cellStyle name="20% - Accent1 6 2 3" xfId="73" xr:uid="{00000000-0005-0000-0000-00003B000000}"/>
    <cellStyle name="20% - Accent1 6 2 3 2" xfId="74" xr:uid="{00000000-0005-0000-0000-00003C000000}"/>
    <cellStyle name="20% - Accent1 6 2 4" xfId="75" xr:uid="{00000000-0005-0000-0000-00003D000000}"/>
    <cellStyle name="20% - Accent1 6 2 5" xfId="76" xr:uid="{00000000-0005-0000-0000-00003E000000}"/>
    <cellStyle name="20% - Accent1 6 2 6" xfId="77" xr:uid="{00000000-0005-0000-0000-00003F000000}"/>
    <cellStyle name="20% - Accent1 6 2 7" xfId="78" xr:uid="{00000000-0005-0000-0000-000040000000}"/>
    <cellStyle name="20% - Accent1 6 2 8" xfId="79" xr:uid="{00000000-0005-0000-0000-000041000000}"/>
    <cellStyle name="20% - Accent1 6 2 9" xfId="80" xr:uid="{00000000-0005-0000-0000-000042000000}"/>
    <cellStyle name="20% - Accent1 6 3" xfId="81" xr:uid="{00000000-0005-0000-0000-000043000000}"/>
    <cellStyle name="20% - Accent1 6 3 10" xfId="82" xr:uid="{00000000-0005-0000-0000-000044000000}"/>
    <cellStyle name="20% - Accent1 6 3 11" xfId="83" xr:uid="{00000000-0005-0000-0000-000045000000}"/>
    <cellStyle name="20% - Accent1 6 3 2" xfId="84" xr:uid="{00000000-0005-0000-0000-000046000000}"/>
    <cellStyle name="20% - Accent1 6 3 3" xfId="85" xr:uid="{00000000-0005-0000-0000-000047000000}"/>
    <cellStyle name="20% - Accent1 6 3 4" xfId="86" xr:uid="{00000000-0005-0000-0000-000048000000}"/>
    <cellStyle name="20% - Accent1 6 3 5" xfId="87" xr:uid="{00000000-0005-0000-0000-000049000000}"/>
    <cellStyle name="20% - Accent1 6 3 6" xfId="88" xr:uid="{00000000-0005-0000-0000-00004A000000}"/>
    <cellStyle name="20% - Accent1 6 3 7" xfId="89" xr:uid="{00000000-0005-0000-0000-00004B000000}"/>
    <cellStyle name="20% - Accent1 6 3 8" xfId="90" xr:uid="{00000000-0005-0000-0000-00004C000000}"/>
    <cellStyle name="20% - Accent1 6 3 9" xfId="91" xr:uid="{00000000-0005-0000-0000-00004D000000}"/>
    <cellStyle name="20% - Accent1 6 4" xfId="92" xr:uid="{00000000-0005-0000-0000-00004E000000}"/>
    <cellStyle name="20% - Accent1 6 4 10" xfId="93" xr:uid="{00000000-0005-0000-0000-00004F000000}"/>
    <cellStyle name="20% - Accent1 6 4 11" xfId="94" xr:uid="{00000000-0005-0000-0000-000050000000}"/>
    <cellStyle name="20% - Accent1 6 4 2" xfId="95" xr:uid="{00000000-0005-0000-0000-000051000000}"/>
    <cellStyle name="20% - Accent1 6 4 3" xfId="96" xr:uid="{00000000-0005-0000-0000-000052000000}"/>
    <cellStyle name="20% - Accent1 6 4 4" xfId="97" xr:uid="{00000000-0005-0000-0000-000053000000}"/>
    <cellStyle name="20% - Accent1 6 4 5" xfId="98" xr:uid="{00000000-0005-0000-0000-000054000000}"/>
    <cellStyle name="20% - Accent1 6 4 6" xfId="99" xr:uid="{00000000-0005-0000-0000-000055000000}"/>
    <cellStyle name="20% - Accent1 6 4 7" xfId="100" xr:uid="{00000000-0005-0000-0000-000056000000}"/>
    <cellStyle name="20% - Accent1 6 4 8" xfId="101" xr:uid="{00000000-0005-0000-0000-000057000000}"/>
    <cellStyle name="20% - Accent1 6 4 9" xfId="102" xr:uid="{00000000-0005-0000-0000-000058000000}"/>
    <cellStyle name="20% - Accent1 6 5" xfId="103" xr:uid="{00000000-0005-0000-0000-000059000000}"/>
    <cellStyle name="20% - Accent1 6 5 10" xfId="104" xr:uid="{00000000-0005-0000-0000-00005A000000}"/>
    <cellStyle name="20% - Accent1 6 5 11" xfId="105" xr:uid="{00000000-0005-0000-0000-00005B000000}"/>
    <cellStyle name="20% - Accent1 6 5 2" xfId="106" xr:uid="{00000000-0005-0000-0000-00005C000000}"/>
    <cellStyle name="20% - Accent1 6 5 3" xfId="107" xr:uid="{00000000-0005-0000-0000-00005D000000}"/>
    <cellStyle name="20% - Accent1 6 5 4" xfId="108" xr:uid="{00000000-0005-0000-0000-00005E000000}"/>
    <cellStyle name="20% - Accent1 6 5 5" xfId="109" xr:uid="{00000000-0005-0000-0000-00005F000000}"/>
    <cellStyle name="20% - Accent1 6 5 6" xfId="110" xr:uid="{00000000-0005-0000-0000-000060000000}"/>
    <cellStyle name="20% - Accent1 6 5 7" xfId="111" xr:uid="{00000000-0005-0000-0000-000061000000}"/>
    <cellStyle name="20% - Accent1 6 5 8" xfId="112" xr:uid="{00000000-0005-0000-0000-000062000000}"/>
    <cellStyle name="20% - Accent1 6 5 9" xfId="113" xr:uid="{00000000-0005-0000-0000-000063000000}"/>
    <cellStyle name="20% - Accent1 6 6" xfId="114" xr:uid="{00000000-0005-0000-0000-000064000000}"/>
    <cellStyle name="20% - Accent1 6 7" xfId="115" xr:uid="{00000000-0005-0000-0000-000065000000}"/>
    <cellStyle name="20% - Accent1 6 8" xfId="116" xr:uid="{00000000-0005-0000-0000-000066000000}"/>
    <cellStyle name="20% - Accent1 6 9" xfId="117" xr:uid="{00000000-0005-0000-0000-000067000000}"/>
    <cellStyle name="20% - Accent1 7" xfId="118" xr:uid="{00000000-0005-0000-0000-000068000000}"/>
    <cellStyle name="20% - Accent1 7 10" xfId="119" xr:uid="{00000000-0005-0000-0000-000069000000}"/>
    <cellStyle name="20% - Accent1 7 11" xfId="120" xr:uid="{00000000-0005-0000-0000-00006A000000}"/>
    <cellStyle name="20% - Accent1 7 12" xfId="121" xr:uid="{00000000-0005-0000-0000-00006B000000}"/>
    <cellStyle name="20% - Accent1 7 13" xfId="122" xr:uid="{00000000-0005-0000-0000-00006C000000}"/>
    <cellStyle name="20% - Accent1 7 14" xfId="123" xr:uid="{00000000-0005-0000-0000-00006D000000}"/>
    <cellStyle name="20% - Accent1 7 2" xfId="124" xr:uid="{00000000-0005-0000-0000-00006E000000}"/>
    <cellStyle name="20% - Accent1 7 2 10" xfId="125" xr:uid="{00000000-0005-0000-0000-00006F000000}"/>
    <cellStyle name="20% - Accent1 7 2 11" xfId="126" xr:uid="{00000000-0005-0000-0000-000070000000}"/>
    <cellStyle name="20% - Accent1 7 2 2" xfId="127" xr:uid="{00000000-0005-0000-0000-000071000000}"/>
    <cellStyle name="20% - Accent1 7 2 3" xfId="128" xr:uid="{00000000-0005-0000-0000-000072000000}"/>
    <cellStyle name="20% - Accent1 7 2 4" xfId="129" xr:uid="{00000000-0005-0000-0000-000073000000}"/>
    <cellStyle name="20% - Accent1 7 2 5" xfId="130" xr:uid="{00000000-0005-0000-0000-000074000000}"/>
    <cellStyle name="20% - Accent1 7 2 6" xfId="131" xr:uid="{00000000-0005-0000-0000-000075000000}"/>
    <cellStyle name="20% - Accent1 7 2 7" xfId="132" xr:uid="{00000000-0005-0000-0000-000076000000}"/>
    <cellStyle name="20% - Accent1 7 2 8" xfId="133" xr:uid="{00000000-0005-0000-0000-000077000000}"/>
    <cellStyle name="20% - Accent1 7 2 9" xfId="134" xr:uid="{00000000-0005-0000-0000-000078000000}"/>
    <cellStyle name="20% - Accent1 7 3" xfId="135" xr:uid="{00000000-0005-0000-0000-000079000000}"/>
    <cellStyle name="20% - Accent1 7 3 10" xfId="136" xr:uid="{00000000-0005-0000-0000-00007A000000}"/>
    <cellStyle name="20% - Accent1 7 3 11" xfId="137" xr:uid="{00000000-0005-0000-0000-00007B000000}"/>
    <cellStyle name="20% - Accent1 7 3 2" xfId="138" xr:uid="{00000000-0005-0000-0000-00007C000000}"/>
    <cellStyle name="20% - Accent1 7 3 3" xfId="139" xr:uid="{00000000-0005-0000-0000-00007D000000}"/>
    <cellStyle name="20% - Accent1 7 3 4" xfId="140" xr:uid="{00000000-0005-0000-0000-00007E000000}"/>
    <cellStyle name="20% - Accent1 7 3 5" xfId="141" xr:uid="{00000000-0005-0000-0000-00007F000000}"/>
    <cellStyle name="20% - Accent1 7 3 6" xfId="142" xr:uid="{00000000-0005-0000-0000-000080000000}"/>
    <cellStyle name="20% - Accent1 7 3 7" xfId="143" xr:uid="{00000000-0005-0000-0000-000081000000}"/>
    <cellStyle name="20% - Accent1 7 3 8" xfId="144" xr:uid="{00000000-0005-0000-0000-000082000000}"/>
    <cellStyle name="20% - Accent1 7 3 9" xfId="145" xr:uid="{00000000-0005-0000-0000-000083000000}"/>
    <cellStyle name="20% - Accent1 7 4" xfId="146" xr:uid="{00000000-0005-0000-0000-000084000000}"/>
    <cellStyle name="20% - Accent1 7 5" xfId="147" xr:uid="{00000000-0005-0000-0000-000085000000}"/>
    <cellStyle name="20% - Accent1 7 6" xfId="148" xr:uid="{00000000-0005-0000-0000-000086000000}"/>
    <cellStyle name="20% - Accent1 7 7" xfId="149" xr:uid="{00000000-0005-0000-0000-000087000000}"/>
    <cellStyle name="20% - Accent1 7 8" xfId="150" xr:uid="{00000000-0005-0000-0000-000088000000}"/>
    <cellStyle name="20% - Accent1 7 9" xfId="151" xr:uid="{00000000-0005-0000-0000-000089000000}"/>
    <cellStyle name="20% - Accent1 8" xfId="152" xr:uid="{00000000-0005-0000-0000-00008A000000}"/>
    <cellStyle name="20% - Accent1 8 10" xfId="153" xr:uid="{00000000-0005-0000-0000-00008B000000}"/>
    <cellStyle name="20% - Accent1 8 11" xfId="154" xr:uid="{00000000-0005-0000-0000-00008C000000}"/>
    <cellStyle name="20% - Accent1 8 12" xfId="155" xr:uid="{00000000-0005-0000-0000-00008D000000}"/>
    <cellStyle name="20% - Accent1 8 13" xfId="156" xr:uid="{00000000-0005-0000-0000-00008E000000}"/>
    <cellStyle name="20% - Accent1 8 2" xfId="157" xr:uid="{00000000-0005-0000-0000-00008F000000}"/>
    <cellStyle name="20% - Accent1 8 2 2" xfId="158" xr:uid="{00000000-0005-0000-0000-000090000000}"/>
    <cellStyle name="20% - Accent1 8 3" xfId="159" xr:uid="{00000000-0005-0000-0000-000091000000}"/>
    <cellStyle name="20% - Accent1 8 3 2" xfId="160" xr:uid="{00000000-0005-0000-0000-000092000000}"/>
    <cellStyle name="20% - Accent1 8 4" xfId="161" xr:uid="{00000000-0005-0000-0000-000093000000}"/>
    <cellStyle name="20% - Accent1 8 5" xfId="162" xr:uid="{00000000-0005-0000-0000-000094000000}"/>
    <cellStyle name="20% - Accent1 8 6" xfId="163" xr:uid="{00000000-0005-0000-0000-000095000000}"/>
    <cellStyle name="20% - Accent1 8 7" xfId="164" xr:uid="{00000000-0005-0000-0000-000096000000}"/>
    <cellStyle name="20% - Accent1 8 8" xfId="165" xr:uid="{00000000-0005-0000-0000-000097000000}"/>
    <cellStyle name="20% - Accent1 8 9" xfId="166" xr:uid="{00000000-0005-0000-0000-000098000000}"/>
    <cellStyle name="20% - Accent1 9" xfId="167" xr:uid="{00000000-0005-0000-0000-000099000000}"/>
    <cellStyle name="20% - Accent1 9 10" xfId="168" xr:uid="{00000000-0005-0000-0000-00009A000000}"/>
    <cellStyle name="20% - Accent1 9 11" xfId="169" xr:uid="{00000000-0005-0000-0000-00009B000000}"/>
    <cellStyle name="20% - Accent1 9 12" xfId="170" xr:uid="{00000000-0005-0000-0000-00009C000000}"/>
    <cellStyle name="20% - Accent1 9 2" xfId="171" xr:uid="{00000000-0005-0000-0000-00009D000000}"/>
    <cellStyle name="20% - Accent1 9 2 2" xfId="172" xr:uid="{00000000-0005-0000-0000-00009E000000}"/>
    <cellStyle name="20% - Accent1 9 3" xfId="173" xr:uid="{00000000-0005-0000-0000-00009F000000}"/>
    <cellStyle name="20% - Accent1 9 4" xfId="174" xr:uid="{00000000-0005-0000-0000-0000A0000000}"/>
    <cellStyle name="20% - Accent1 9 5" xfId="175" xr:uid="{00000000-0005-0000-0000-0000A1000000}"/>
    <cellStyle name="20% - Accent1 9 6" xfId="176" xr:uid="{00000000-0005-0000-0000-0000A2000000}"/>
    <cellStyle name="20% - Accent1 9 7" xfId="177" xr:uid="{00000000-0005-0000-0000-0000A3000000}"/>
    <cellStyle name="20% - Accent1 9 8" xfId="178" xr:uid="{00000000-0005-0000-0000-0000A4000000}"/>
    <cellStyle name="20% - Accent1 9 9" xfId="179" xr:uid="{00000000-0005-0000-0000-0000A5000000}"/>
    <cellStyle name="20% - Accent2 10" xfId="180" xr:uid="{00000000-0005-0000-0000-0000A6000000}"/>
    <cellStyle name="20% - Accent2 10 10" xfId="181" xr:uid="{00000000-0005-0000-0000-0000A7000000}"/>
    <cellStyle name="20% - Accent2 10 11" xfId="182" xr:uid="{00000000-0005-0000-0000-0000A8000000}"/>
    <cellStyle name="20% - Accent2 10 2" xfId="183" xr:uid="{00000000-0005-0000-0000-0000A9000000}"/>
    <cellStyle name="20% - Accent2 10 3" xfId="184" xr:uid="{00000000-0005-0000-0000-0000AA000000}"/>
    <cellStyle name="20% - Accent2 10 4" xfId="185" xr:uid="{00000000-0005-0000-0000-0000AB000000}"/>
    <cellStyle name="20% - Accent2 10 5" xfId="186" xr:uid="{00000000-0005-0000-0000-0000AC000000}"/>
    <cellStyle name="20% - Accent2 10 6" xfId="187" xr:uid="{00000000-0005-0000-0000-0000AD000000}"/>
    <cellStyle name="20% - Accent2 10 7" xfId="188" xr:uid="{00000000-0005-0000-0000-0000AE000000}"/>
    <cellStyle name="20% - Accent2 10 8" xfId="189" xr:uid="{00000000-0005-0000-0000-0000AF000000}"/>
    <cellStyle name="20% - Accent2 10 9" xfId="190" xr:uid="{00000000-0005-0000-0000-0000B0000000}"/>
    <cellStyle name="20% - Accent2 11" xfId="191" xr:uid="{00000000-0005-0000-0000-0000B1000000}"/>
    <cellStyle name="20% - Accent2 11 2" xfId="192" xr:uid="{00000000-0005-0000-0000-0000B2000000}"/>
    <cellStyle name="20% - Accent2 12" xfId="193" xr:uid="{00000000-0005-0000-0000-0000B3000000}"/>
    <cellStyle name="20% - Accent2 13" xfId="194" xr:uid="{00000000-0005-0000-0000-0000B4000000}"/>
    <cellStyle name="20% - Accent2 13 2" xfId="195" xr:uid="{00000000-0005-0000-0000-0000B5000000}"/>
    <cellStyle name="20% - Accent2 13 3" xfId="196" xr:uid="{00000000-0005-0000-0000-0000B6000000}"/>
    <cellStyle name="20% - Accent2 13 4" xfId="197" xr:uid="{00000000-0005-0000-0000-0000B7000000}"/>
    <cellStyle name="20% - Accent2 14" xfId="198" xr:uid="{00000000-0005-0000-0000-0000B8000000}"/>
    <cellStyle name="20% - Accent2 14 2" xfId="199" xr:uid="{00000000-0005-0000-0000-0000B9000000}"/>
    <cellStyle name="20% - Accent2 14 3" xfId="200" xr:uid="{00000000-0005-0000-0000-0000BA000000}"/>
    <cellStyle name="20% - Accent2 14 4" xfId="201" xr:uid="{00000000-0005-0000-0000-0000BB000000}"/>
    <cellStyle name="20% - Accent2 15" xfId="202" xr:uid="{00000000-0005-0000-0000-0000BC000000}"/>
    <cellStyle name="20% - Accent2 15 2" xfId="203" xr:uid="{00000000-0005-0000-0000-0000BD000000}"/>
    <cellStyle name="20% - Accent2 15 3" xfId="204" xr:uid="{00000000-0005-0000-0000-0000BE000000}"/>
    <cellStyle name="20% - Accent2 15 4" xfId="205" xr:uid="{00000000-0005-0000-0000-0000BF000000}"/>
    <cellStyle name="20% - Accent2 16" xfId="206" xr:uid="{00000000-0005-0000-0000-0000C0000000}"/>
    <cellStyle name="20% - Accent2 16 2" xfId="207" xr:uid="{00000000-0005-0000-0000-0000C1000000}"/>
    <cellStyle name="20% - Accent2 16 3" xfId="208" xr:uid="{00000000-0005-0000-0000-0000C2000000}"/>
    <cellStyle name="20% - Accent2 16 4" xfId="209" xr:uid="{00000000-0005-0000-0000-0000C3000000}"/>
    <cellStyle name="20% - Accent2 17" xfId="210" xr:uid="{00000000-0005-0000-0000-0000C4000000}"/>
    <cellStyle name="20% - Accent2 17 2" xfId="211" xr:uid="{00000000-0005-0000-0000-0000C5000000}"/>
    <cellStyle name="20% - Accent2 17 3" xfId="212" xr:uid="{00000000-0005-0000-0000-0000C6000000}"/>
    <cellStyle name="20% - Accent2 17 4" xfId="213" xr:uid="{00000000-0005-0000-0000-0000C7000000}"/>
    <cellStyle name="20% - Accent2 18" xfId="214" xr:uid="{00000000-0005-0000-0000-0000C8000000}"/>
    <cellStyle name="20% - Accent2 18 2" xfId="215" xr:uid="{00000000-0005-0000-0000-0000C9000000}"/>
    <cellStyle name="20% - Accent2 18 3" xfId="216" xr:uid="{00000000-0005-0000-0000-0000CA000000}"/>
    <cellStyle name="20% - Accent2 18 4" xfId="217" xr:uid="{00000000-0005-0000-0000-0000CB000000}"/>
    <cellStyle name="20% - Accent2 19" xfId="218" xr:uid="{00000000-0005-0000-0000-0000CC000000}"/>
    <cellStyle name="20% - Accent2 2" xfId="219" xr:uid="{00000000-0005-0000-0000-0000CD000000}"/>
    <cellStyle name="20% - Accent2 20" xfId="220" xr:uid="{00000000-0005-0000-0000-0000CE000000}"/>
    <cellStyle name="20% - Accent2 21" xfId="221" xr:uid="{00000000-0005-0000-0000-0000CF000000}"/>
    <cellStyle name="20% - Accent2 3" xfId="222" xr:uid="{00000000-0005-0000-0000-0000D0000000}"/>
    <cellStyle name="20% - Accent2 4" xfId="223" xr:uid="{00000000-0005-0000-0000-0000D1000000}"/>
    <cellStyle name="20% - Accent2 5" xfId="224" xr:uid="{00000000-0005-0000-0000-0000D2000000}"/>
    <cellStyle name="20% - Accent2 6" xfId="225" xr:uid="{00000000-0005-0000-0000-0000D3000000}"/>
    <cellStyle name="20% - Accent2 6 10" xfId="226" xr:uid="{00000000-0005-0000-0000-0000D4000000}"/>
    <cellStyle name="20% - Accent2 6 11" xfId="227" xr:uid="{00000000-0005-0000-0000-0000D5000000}"/>
    <cellStyle name="20% - Accent2 6 12" xfId="228" xr:uid="{00000000-0005-0000-0000-0000D6000000}"/>
    <cellStyle name="20% - Accent2 6 13" xfId="229" xr:uid="{00000000-0005-0000-0000-0000D7000000}"/>
    <cellStyle name="20% - Accent2 6 14" xfId="230" xr:uid="{00000000-0005-0000-0000-0000D8000000}"/>
    <cellStyle name="20% - Accent2 6 15" xfId="231" xr:uid="{00000000-0005-0000-0000-0000D9000000}"/>
    <cellStyle name="20% - Accent2 6 2" xfId="232" xr:uid="{00000000-0005-0000-0000-0000DA000000}"/>
    <cellStyle name="20% - Accent2 6 2 10" xfId="233" xr:uid="{00000000-0005-0000-0000-0000DB000000}"/>
    <cellStyle name="20% - Accent2 6 2 11" xfId="234" xr:uid="{00000000-0005-0000-0000-0000DC000000}"/>
    <cellStyle name="20% - Accent2 6 2 12" xfId="235" xr:uid="{00000000-0005-0000-0000-0000DD000000}"/>
    <cellStyle name="20% - Accent2 6 2 13" xfId="236" xr:uid="{00000000-0005-0000-0000-0000DE000000}"/>
    <cellStyle name="20% - Accent2 6 2 2" xfId="237" xr:uid="{00000000-0005-0000-0000-0000DF000000}"/>
    <cellStyle name="20% - Accent2 6 2 2 2" xfId="238" xr:uid="{00000000-0005-0000-0000-0000E0000000}"/>
    <cellStyle name="20% - Accent2 6 2 3" xfId="239" xr:uid="{00000000-0005-0000-0000-0000E1000000}"/>
    <cellStyle name="20% - Accent2 6 2 3 2" xfId="240" xr:uid="{00000000-0005-0000-0000-0000E2000000}"/>
    <cellStyle name="20% - Accent2 6 2 4" xfId="241" xr:uid="{00000000-0005-0000-0000-0000E3000000}"/>
    <cellStyle name="20% - Accent2 6 2 5" xfId="242" xr:uid="{00000000-0005-0000-0000-0000E4000000}"/>
    <cellStyle name="20% - Accent2 6 2 6" xfId="243" xr:uid="{00000000-0005-0000-0000-0000E5000000}"/>
    <cellStyle name="20% - Accent2 6 2 7" xfId="244" xr:uid="{00000000-0005-0000-0000-0000E6000000}"/>
    <cellStyle name="20% - Accent2 6 2 8" xfId="245" xr:uid="{00000000-0005-0000-0000-0000E7000000}"/>
    <cellStyle name="20% - Accent2 6 2 9" xfId="246" xr:uid="{00000000-0005-0000-0000-0000E8000000}"/>
    <cellStyle name="20% - Accent2 6 3" xfId="247" xr:uid="{00000000-0005-0000-0000-0000E9000000}"/>
    <cellStyle name="20% - Accent2 6 3 10" xfId="248" xr:uid="{00000000-0005-0000-0000-0000EA000000}"/>
    <cellStyle name="20% - Accent2 6 3 11" xfId="249" xr:uid="{00000000-0005-0000-0000-0000EB000000}"/>
    <cellStyle name="20% - Accent2 6 3 2" xfId="250" xr:uid="{00000000-0005-0000-0000-0000EC000000}"/>
    <cellStyle name="20% - Accent2 6 3 3" xfId="251" xr:uid="{00000000-0005-0000-0000-0000ED000000}"/>
    <cellStyle name="20% - Accent2 6 3 4" xfId="252" xr:uid="{00000000-0005-0000-0000-0000EE000000}"/>
    <cellStyle name="20% - Accent2 6 3 5" xfId="253" xr:uid="{00000000-0005-0000-0000-0000EF000000}"/>
    <cellStyle name="20% - Accent2 6 3 6" xfId="254" xr:uid="{00000000-0005-0000-0000-0000F0000000}"/>
    <cellStyle name="20% - Accent2 6 3 7" xfId="255" xr:uid="{00000000-0005-0000-0000-0000F1000000}"/>
    <cellStyle name="20% - Accent2 6 3 8" xfId="256" xr:uid="{00000000-0005-0000-0000-0000F2000000}"/>
    <cellStyle name="20% - Accent2 6 3 9" xfId="257" xr:uid="{00000000-0005-0000-0000-0000F3000000}"/>
    <cellStyle name="20% - Accent2 6 4" xfId="258" xr:uid="{00000000-0005-0000-0000-0000F4000000}"/>
    <cellStyle name="20% - Accent2 6 4 10" xfId="259" xr:uid="{00000000-0005-0000-0000-0000F5000000}"/>
    <cellStyle name="20% - Accent2 6 4 11" xfId="260" xr:uid="{00000000-0005-0000-0000-0000F6000000}"/>
    <cellStyle name="20% - Accent2 6 4 2" xfId="261" xr:uid="{00000000-0005-0000-0000-0000F7000000}"/>
    <cellStyle name="20% - Accent2 6 4 3" xfId="262" xr:uid="{00000000-0005-0000-0000-0000F8000000}"/>
    <cellStyle name="20% - Accent2 6 4 4" xfId="263" xr:uid="{00000000-0005-0000-0000-0000F9000000}"/>
    <cellStyle name="20% - Accent2 6 4 5" xfId="264" xr:uid="{00000000-0005-0000-0000-0000FA000000}"/>
    <cellStyle name="20% - Accent2 6 4 6" xfId="265" xr:uid="{00000000-0005-0000-0000-0000FB000000}"/>
    <cellStyle name="20% - Accent2 6 4 7" xfId="266" xr:uid="{00000000-0005-0000-0000-0000FC000000}"/>
    <cellStyle name="20% - Accent2 6 4 8" xfId="267" xr:uid="{00000000-0005-0000-0000-0000FD000000}"/>
    <cellStyle name="20% - Accent2 6 4 9" xfId="268" xr:uid="{00000000-0005-0000-0000-0000FE000000}"/>
    <cellStyle name="20% - Accent2 6 5" xfId="269" xr:uid="{00000000-0005-0000-0000-0000FF000000}"/>
    <cellStyle name="20% - Accent2 6 5 10" xfId="270" xr:uid="{00000000-0005-0000-0000-000000010000}"/>
    <cellStyle name="20% - Accent2 6 5 11" xfId="271" xr:uid="{00000000-0005-0000-0000-000001010000}"/>
    <cellStyle name="20% - Accent2 6 5 2" xfId="272" xr:uid="{00000000-0005-0000-0000-000002010000}"/>
    <cellStyle name="20% - Accent2 6 5 3" xfId="273" xr:uid="{00000000-0005-0000-0000-000003010000}"/>
    <cellStyle name="20% - Accent2 6 5 4" xfId="274" xr:uid="{00000000-0005-0000-0000-000004010000}"/>
    <cellStyle name="20% - Accent2 6 5 5" xfId="275" xr:uid="{00000000-0005-0000-0000-000005010000}"/>
    <cellStyle name="20% - Accent2 6 5 6" xfId="276" xr:uid="{00000000-0005-0000-0000-000006010000}"/>
    <cellStyle name="20% - Accent2 6 5 7" xfId="277" xr:uid="{00000000-0005-0000-0000-000007010000}"/>
    <cellStyle name="20% - Accent2 6 5 8" xfId="278" xr:uid="{00000000-0005-0000-0000-000008010000}"/>
    <cellStyle name="20% - Accent2 6 5 9" xfId="279" xr:uid="{00000000-0005-0000-0000-000009010000}"/>
    <cellStyle name="20% - Accent2 6 6" xfId="280" xr:uid="{00000000-0005-0000-0000-00000A010000}"/>
    <cellStyle name="20% - Accent2 6 7" xfId="281" xr:uid="{00000000-0005-0000-0000-00000B010000}"/>
    <cellStyle name="20% - Accent2 6 8" xfId="282" xr:uid="{00000000-0005-0000-0000-00000C010000}"/>
    <cellStyle name="20% - Accent2 6 9" xfId="283" xr:uid="{00000000-0005-0000-0000-00000D010000}"/>
    <cellStyle name="20% - Accent2 7" xfId="284" xr:uid="{00000000-0005-0000-0000-00000E010000}"/>
    <cellStyle name="20% - Accent2 7 10" xfId="285" xr:uid="{00000000-0005-0000-0000-00000F010000}"/>
    <cellStyle name="20% - Accent2 7 11" xfId="286" xr:uid="{00000000-0005-0000-0000-000010010000}"/>
    <cellStyle name="20% - Accent2 7 12" xfId="287" xr:uid="{00000000-0005-0000-0000-000011010000}"/>
    <cellStyle name="20% - Accent2 7 13" xfId="288" xr:uid="{00000000-0005-0000-0000-000012010000}"/>
    <cellStyle name="20% - Accent2 7 14" xfId="289" xr:uid="{00000000-0005-0000-0000-000013010000}"/>
    <cellStyle name="20% - Accent2 7 2" xfId="290" xr:uid="{00000000-0005-0000-0000-000014010000}"/>
    <cellStyle name="20% - Accent2 7 2 10" xfId="291" xr:uid="{00000000-0005-0000-0000-000015010000}"/>
    <cellStyle name="20% - Accent2 7 2 11" xfId="292" xr:uid="{00000000-0005-0000-0000-000016010000}"/>
    <cellStyle name="20% - Accent2 7 2 2" xfId="293" xr:uid="{00000000-0005-0000-0000-000017010000}"/>
    <cellStyle name="20% - Accent2 7 2 3" xfId="294" xr:uid="{00000000-0005-0000-0000-000018010000}"/>
    <cellStyle name="20% - Accent2 7 2 4" xfId="295" xr:uid="{00000000-0005-0000-0000-000019010000}"/>
    <cellStyle name="20% - Accent2 7 2 5" xfId="296" xr:uid="{00000000-0005-0000-0000-00001A010000}"/>
    <cellStyle name="20% - Accent2 7 2 6" xfId="297" xr:uid="{00000000-0005-0000-0000-00001B010000}"/>
    <cellStyle name="20% - Accent2 7 2 7" xfId="298" xr:uid="{00000000-0005-0000-0000-00001C010000}"/>
    <cellStyle name="20% - Accent2 7 2 8" xfId="299" xr:uid="{00000000-0005-0000-0000-00001D010000}"/>
    <cellStyle name="20% - Accent2 7 2 9" xfId="300" xr:uid="{00000000-0005-0000-0000-00001E010000}"/>
    <cellStyle name="20% - Accent2 7 3" xfId="301" xr:uid="{00000000-0005-0000-0000-00001F010000}"/>
    <cellStyle name="20% - Accent2 7 3 10" xfId="302" xr:uid="{00000000-0005-0000-0000-000020010000}"/>
    <cellStyle name="20% - Accent2 7 3 11" xfId="303" xr:uid="{00000000-0005-0000-0000-000021010000}"/>
    <cellStyle name="20% - Accent2 7 3 2" xfId="304" xr:uid="{00000000-0005-0000-0000-000022010000}"/>
    <cellStyle name="20% - Accent2 7 3 3" xfId="305" xr:uid="{00000000-0005-0000-0000-000023010000}"/>
    <cellStyle name="20% - Accent2 7 3 4" xfId="306" xr:uid="{00000000-0005-0000-0000-000024010000}"/>
    <cellStyle name="20% - Accent2 7 3 5" xfId="307" xr:uid="{00000000-0005-0000-0000-000025010000}"/>
    <cellStyle name="20% - Accent2 7 3 6" xfId="308" xr:uid="{00000000-0005-0000-0000-000026010000}"/>
    <cellStyle name="20% - Accent2 7 3 7" xfId="309" xr:uid="{00000000-0005-0000-0000-000027010000}"/>
    <cellStyle name="20% - Accent2 7 3 8" xfId="310" xr:uid="{00000000-0005-0000-0000-000028010000}"/>
    <cellStyle name="20% - Accent2 7 3 9" xfId="311" xr:uid="{00000000-0005-0000-0000-000029010000}"/>
    <cellStyle name="20% - Accent2 7 4" xfId="312" xr:uid="{00000000-0005-0000-0000-00002A010000}"/>
    <cellStyle name="20% - Accent2 7 5" xfId="313" xr:uid="{00000000-0005-0000-0000-00002B010000}"/>
    <cellStyle name="20% - Accent2 7 6" xfId="314" xr:uid="{00000000-0005-0000-0000-00002C010000}"/>
    <cellStyle name="20% - Accent2 7 7" xfId="315" xr:uid="{00000000-0005-0000-0000-00002D010000}"/>
    <cellStyle name="20% - Accent2 7 8" xfId="316" xr:uid="{00000000-0005-0000-0000-00002E010000}"/>
    <cellStyle name="20% - Accent2 7 9" xfId="317" xr:uid="{00000000-0005-0000-0000-00002F010000}"/>
    <cellStyle name="20% - Accent2 8" xfId="318" xr:uid="{00000000-0005-0000-0000-000030010000}"/>
    <cellStyle name="20% - Accent2 8 10" xfId="319" xr:uid="{00000000-0005-0000-0000-000031010000}"/>
    <cellStyle name="20% - Accent2 8 11" xfId="320" xr:uid="{00000000-0005-0000-0000-000032010000}"/>
    <cellStyle name="20% - Accent2 8 12" xfId="321" xr:uid="{00000000-0005-0000-0000-000033010000}"/>
    <cellStyle name="20% - Accent2 8 13" xfId="322" xr:uid="{00000000-0005-0000-0000-000034010000}"/>
    <cellStyle name="20% - Accent2 8 2" xfId="323" xr:uid="{00000000-0005-0000-0000-000035010000}"/>
    <cellStyle name="20% - Accent2 8 2 2" xfId="324" xr:uid="{00000000-0005-0000-0000-000036010000}"/>
    <cellStyle name="20% - Accent2 8 3" xfId="325" xr:uid="{00000000-0005-0000-0000-000037010000}"/>
    <cellStyle name="20% - Accent2 8 3 2" xfId="326" xr:uid="{00000000-0005-0000-0000-000038010000}"/>
    <cellStyle name="20% - Accent2 8 4" xfId="327" xr:uid="{00000000-0005-0000-0000-000039010000}"/>
    <cellStyle name="20% - Accent2 8 5" xfId="328" xr:uid="{00000000-0005-0000-0000-00003A010000}"/>
    <cellStyle name="20% - Accent2 8 6" xfId="329" xr:uid="{00000000-0005-0000-0000-00003B010000}"/>
    <cellStyle name="20% - Accent2 8 7" xfId="330" xr:uid="{00000000-0005-0000-0000-00003C010000}"/>
    <cellStyle name="20% - Accent2 8 8" xfId="331" xr:uid="{00000000-0005-0000-0000-00003D010000}"/>
    <cellStyle name="20% - Accent2 8 9" xfId="332" xr:uid="{00000000-0005-0000-0000-00003E010000}"/>
    <cellStyle name="20% - Accent2 9" xfId="333" xr:uid="{00000000-0005-0000-0000-00003F010000}"/>
    <cellStyle name="20% - Accent2 9 10" xfId="334" xr:uid="{00000000-0005-0000-0000-000040010000}"/>
    <cellStyle name="20% - Accent2 9 11" xfId="335" xr:uid="{00000000-0005-0000-0000-000041010000}"/>
    <cellStyle name="20% - Accent2 9 12" xfId="336" xr:uid="{00000000-0005-0000-0000-000042010000}"/>
    <cellStyle name="20% - Accent2 9 2" xfId="337" xr:uid="{00000000-0005-0000-0000-000043010000}"/>
    <cellStyle name="20% - Accent2 9 2 2" xfId="338" xr:uid="{00000000-0005-0000-0000-000044010000}"/>
    <cellStyle name="20% - Accent2 9 3" xfId="339" xr:uid="{00000000-0005-0000-0000-000045010000}"/>
    <cellStyle name="20% - Accent2 9 4" xfId="340" xr:uid="{00000000-0005-0000-0000-000046010000}"/>
    <cellStyle name="20% - Accent2 9 5" xfId="341" xr:uid="{00000000-0005-0000-0000-000047010000}"/>
    <cellStyle name="20% - Accent2 9 6" xfId="342" xr:uid="{00000000-0005-0000-0000-000048010000}"/>
    <cellStyle name="20% - Accent2 9 7" xfId="343" xr:uid="{00000000-0005-0000-0000-000049010000}"/>
    <cellStyle name="20% - Accent2 9 8" xfId="344" xr:uid="{00000000-0005-0000-0000-00004A010000}"/>
    <cellStyle name="20% - Accent2 9 9" xfId="345" xr:uid="{00000000-0005-0000-0000-00004B010000}"/>
    <cellStyle name="20% - Accent3 10" xfId="346" xr:uid="{00000000-0005-0000-0000-00004C010000}"/>
    <cellStyle name="20% - Accent3 10 10" xfId="347" xr:uid="{00000000-0005-0000-0000-00004D010000}"/>
    <cellStyle name="20% - Accent3 10 11" xfId="348" xr:uid="{00000000-0005-0000-0000-00004E010000}"/>
    <cellStyle name="20% - Accent3 10 2" xfId="349" xr:uid="{00000000-0005-0000-0000-00004F010000}"/>
    <cellStyle name="20% - Accent3 10 3" xfId="350" xr:uid="{00000000-0005-0000-0000-000050010000}"/>
    <cellStyle name="20% - Accent3 10 4" xfId="351" xr:uid="{00000000-0005-0000-0000-000051010000}"/>
    <cellStyle name="20% - Accent3 10 5" xfId="352" xr:uid="{00000000-0005-0000-0000-000052010000}"/>
    <cellStyle name="20% - Accent3 10 6" xfId="353" xr:uid="{00000000-0005-0000-0000-000053010000}"/>
    <cellStyle name="20% - Accent3 10 7" xfId="354" xr:uid="{00000000-0005-0000-0000-000054010000}"/>
    <cellStyle name="20% - Accent3 10 8" xfId="355" xr:uid="{00000000-0005-0000-0000-000055010000}"/>
    <cellStyle name="20% - Accent3 10 9" xfId="356" xr:uid="{00000000-0005-0000-0000-000056010000}"/>
    <cellStyle name="20% - Accent3 11" xfId="357" xr:uid="{00000000-0005-0000-0000-000057010000}"/>
    <cellStyle name="20% - Accent3 11 2" xfId="358" xr:uid="{00000000-0005-0000-0000-000058010000}"/>
    <cellStyle name="20% - Accent3 12" xfId="359" xr:uid="{00000000-0005-0000-0000-000059010000}"/>
    <cellStyle name="20% - Accent3 13" xfId="360" xr:uid="{00000000-0005-0000-0000-00005A010000}"/>
    <cellStyle name="20% - Accent3 13 2" xfId="361" xr:uid="{00000000-0005-0000-0000-00005B010000}"/>
    <cellStyle name="20% - Accent3 13 3" xfId="362" xr:uid="{00000000-0005-0000-0000-00005C010000}"/>
    <cellStyle name="20% - Accent3 13 4" xfId="363" xr:uid="{00000000-0005-0000-0000-00005D010000}"/>
    <cellStyle name="20% - Accent3 14" xfId="364" xr:uid="{00000000-0005-0000-0000-00005E010000}"/>
    <cellStyle name="20% - Accent3 14 2" xfId="365" xr:uid="{00000000-0005-0000-0000-00005F010000}"/>
    <cellStyle name="20% - Accent3 14 3" xfId="366" xr:uid="{00000000-0005-0000-0000-000060010000}"/>
    <cellStyle name="20% - Accent3 14 4" xfId="367" xr:uid="{00000000-0005-0000-0000-000061010000}"/>
    <cellStyle name="20% - Accent3 15" xfId="368" xr:uid="{00000000-0005-0000-0000-000062010000}"/>
    <cellStyle name="20% - Accent3 15 2" xfId="369" xr:uid="{00000000-0005-0000-0000-000063010000}"/>
    <cellStyle name="20% - Accent3 15 3" xfId="370" xr:uid="{00000000-0005-0000-0000-000064010000}"/>
    <cellStyle name="20% - Accent3 15 4" xfId="371" xr:uid="{00000000-0005-0000-0000-000065010000}"/>
    <cellStyle name="20% - Accent3 16" xfId="372" xr:uid="{00000000-0005-0000-0000-000066010000}"/>
    <cellStyle name="20% - Accent3 16 2" xfId="373" xr:uid="{00000000-0005-0000-0000-000067010000}"/>
    <cellStyle name="20% - Accent3 16 3" xfId="374" xr:uid="{00000000-0005-0000-0000-000068010000}"/>
    <cellStyle name="20% - Accent3 16 4" xfId="375" xr:uid="{00000000-0005-0000-0000-000069010000}"/>
    <cellStyle name="20% - Accent3 17" xfId="376" xr:uid="{00000000-0005-0000-0000-00006A010000}"/>
    <cellStyle name="20% - Accent3 17 2" xfId="377" xr:uid="{00000000-0005-0000-0000-00006B010000}"/>
    <cellStyle name="20% - Accent3 17 3" xfId="378" xr:uid="{00000000-0005-0000-0000-00006C010000}"/>
    <cellStyle name="20% - Accent3 17 4" xfId="379" xr:uid="{00000000-0005-0000-0000-00006D010000}"/>
    <cellStyle name="20% - Accent3 18" xfId="380" xr:uid="{00000000-0005-0000-0000-00006E010000}"/>
    <cellStyle name="20% - Accent3 18 2" xfId="381" xr:uid="{00000000-0005-0000-0000-00006F010000}"/>
    <cellStyle name="20% - Accent3 18 3" xfId="382" xr:uid="{00000000-0005-0000-0000-000070010000}"/>
    <cellStyle name="20% - Accent3 18 4" xfId="383" xr:uid="{00000000-0005-0000-0000-000071010000}"/>
    <cellStyle name="20% - Accent3 19" xfId="384" xr:uid="{00000000-0005-0000-0000-000072010000}"/>
    <cellStyle name="20% - Accent3 2" xfId="385" xr:uid="{00000000-0005-0000-0000-000073010000}"/>
    <cellStyle name="20% - Accent3 20" xfId="386" xr:uid="{00000000-0005-0000-0000-000074010000}"/>
    <cellStyle name="20% - Accent3 21" xfId="387" xr:uid="{00000000-0005-0000-0000-000075010000}"/>
    <cellStyle name="20% - Accent3 3" xfId="388" xr:uid="{00000000-0005-0000-0000-000076010000}"/>
    <cellStyle name="20% - Accent3 4" xfId="389" xr:uid="{00000000-0005-0000-0000-000077010000}"/>
    <cellStyle name="20% - Accent3 5" xfId="390" xr:uid="{00000000-0005-0000-0000-000078010000}"/>
    <cellStyle name="20% - Accent3 6" xfId="391" xr:uid="{00000000-0005-0000-0000-000079010000}"/>
    <cellStyle name="20% - Accent3 6 10" xfId="392" xr:uid="{00000000-0005-0000-0000-00007A010000}"/>
    <cellStyle name="20% - Accent3 6 11" xfId="393" xr:uid="{00000000-0005-0000-0000-00007B010000}"/>
    <cellStyle name="20% - Accent3 6 12" xfId="394" xr:uid="{00000000-0005-0000-0000-00007C010000}"/>
    <cellStyle name="20% - Accent3 6 13" xfId="395" xr:uid="{00000000-0005-0000-0000-00007D010000}"/>
    <cellStyle name="20% - Accent3 6 14" xfId="396" xr:uid="{00000000-0005-0000-0000-00007E010000}"/>
    <cellStyle name="20% - Accent3 6 15" xfId="397" xr:uid="{00000000-0005-0000-0000-00007F010000}"/>
    <cellStyle name="20% - Accent3 6 2" xfId="398" xr:uid="{00000000-0005-0000-0000-000080010000}"/>
    <cellStyle name="20% - Accent3 6 2 10" xfId="399" xr:uid="{00000000-0005-0000-0000-000081010000}"/>
    <cellStyle name="20% - Accent3 6 2 11" xfId="400" xr:uid="{00000000-0005-0000-0000-000082010000}"/>
    <cellStyle name="20% - Accent3 6 2 12" xfId="401" xr:uid="{00000000-0005-0000-0000-000083010000}"/>
    <cellStyle name="20% - Accent3 6 2 13" xfId="402" xr:uid="{00000000-0005-0000-0000-000084010000}"/>
    <cellStyle name="20% - Accent3 6 2 2" xfId="403" xr:uid="{00000000-0005-0000-0000-000085010000}"/>
    <cellStyle name="20% - Accent3 6 2 2 2" xfId="404" xr:uid="{00000000-0005-0000-0000-000086010000}"/>
    <cellStyle name="20% - Accent3 6 2 3" xfId="405" xr:uid="{00000000-0005-0000-0000-000087010000}"/>
    <cellStyle name="20% - Accent3 6 2 3 2" xfId="406" xr:uid="{00000000-0005-0000-0000-000088010000}"/>
    <cellStyle name="20% - Accent3 6 2 4" xfId="407" xr:uid="{00000000-0005-0000-0000-000089010000}"/>
    <cellStyle name="20% - Accent3 6 2 5" xfId="408" xr:uid="{00000000-0005-0000-0000-00008A010000}"/>
    <cellStyle name="20% - Accent3 6 2 6" xfId="409" xr:uid="{00000000-0005-0000-0000-00008B010000}"/>
    <cellStyle name="20% - Accent3 6 2 7" xfId="410" xr:uid="{00000000-0005-0000-0000-00008C010000}"/>
    <cellStyle name="20% - Accent3 6 2 8" xfId="411" xr:uid="{00000000-0005-0000-0000-00008D010000}"/>
    <cellStyle name="20% - Accent3 6 2 9" xfId="412" xr:uid="{00000000-0005-0000-0000-00008E010000}"/>
    <cellStyle name="20% - Accent3 6 3" xfId="413" xr:uid="{00000000-0005-0000-0000-00008F010000}"/>
    <cellStyle name="20% - Accent3 6 3 10" xfId="414" xr:uid="{00000000-0005-0000-0000-000090010000}"/>
    <cellStyle name="20% - Accent3 6 3 11" xfId="415" xr:uid="{00000000-0005-0000-0000-000091010000}"/>
    <cellStyle name="20% - Accent3 6 3 2" xfId="416" xr:uid="{00000000-0005-0000-0000-000092010000}"/>
    <cellStyle name="20% - Accent3 6 3 3" xfId="417" xr:uid="{00000000-0005-0000-0000-000093010000}"/>
    <cellStyle name="20% - Accent3 6 3 4" xfId="418" xr:uid="{00000000-0005-0000-0000-000094010000}"/>
    <cellStyle name="20% - Accent3 6 3 5" xfId="419" xr:uid="{00000000-0005-0000-0000-000095010000}"/>
    <cellStyle name="20% - Accent3 6 3 6" xfId="420" xr:uid="{00000000-0005-0000-0000-000096010000}"/>
    <cellStyle name="20% - Accent3 6 3 7" xfId="421" xr:uid="{00000000-0005-0000-0000-000097010000}"/>
    <cellStyle name="20% - Accent3 6 3 8" xfId="422" xr:uid="{00000000-0005-0000-0000-000098010000}"/>
    <cellStyle name="20% - Accent3 6 3 9" xfId="423" xr:uid="{00000000-0005-0000-0000-000099010000}"/>
    <cellStyle name="20% - Accent3 6 4" xfId="424" xr:uid="{00000000-0005-0000-0000-00009A010000}"/>
    <cellStyle name="20% - Accent3 6 4 10" xfId="425" xr:uid="{00000000-0005-0000-0000-00009B010000}"/>
    <cellStyle name="20% - Accent3 6 4 11" xfId="426" xr:uid="{00000000-0005-0000-0000-00009C010000}"/>
    <cellStyle name="20% - Accent3 6 4 2" xfId="427" xr:uid="{00000000-0005-0000-0000-00009D010000}"/>
    <cellStyle name="20% - Accent3 6 4 3" xfId="428" xr:uid="{00000000-0005-0000-0000-00009E010000}"/>
    <cellStyle name="20% - Accent3 6 4 4" xfId="429" xr:uid="{00000000-0005-0000-0000-00009F010000}"/>
    <cellStyle name="20% - Accent3 6 4 5" xfId="430" xr:uid="{00000000-0005-0000-0000-0000A0010000}"/>
    <cellStyle name="20% - Accent3 6 4 6" xfId="431" xr:uid="{00000000-0005-0000-0000-0000A1010000}"/>
    <cellStyle name="20% - Accent3 6 4 7" xfId="432" xr:uid="{00000000-0005-0000-0000-0000A2010000}"/>
    <cellStyle name="20% - Accent3 6 4 8" xfId="433" xr:uid="{00000000-0005-0000-0000-0000A3010000}"/>
    <cellStyle name="20% - Accent3 6 4 9" xfId="434" xr:uid="{00000000-0005-0000-0000-0000A4010000}"/>
    <cellStyle name="20% - Accent3 6 5" xfId="435" xr:uid="{00000000-0005-0000-0000-0000A5010000}"/>
    <cellStyle name="20% - Accent3 6 5 10" xfId="436" xr:uid="{00000000-0005-0000-0000-0000A6010000}"/>
    <cellStyle name="20% - Accent3 6 5 11" xfId="437" xr:uid="{00000000-0005-0000-0000-0000A7010000}"/>
    <cellStyle name="20% - Accent3 6 5 2" xfId="438" xr:uid="{00000000-0005-0000-0000-0000A8010000}"/>
    <cellStyle name="20% - Accent3 6 5 3" xfId="439" xr:uid="{00000000-0005-0000-0000-0000A9010000}"/>
    <cellStyle name="20% - Accent3 6 5 4" xfId="440" xr:uid="{00000000-0005-0000-0000-0000AA010000}"/>
    <cellStyle name="20% - Accent3 6 5 5" xfId="441" xr:uid="{00000000-0005-0000-0000-0000AB010000}"/>
    <cellStyle name="20% - Accent3 6 5 6" xfId="442" xr:uid="{00000000-0005-0000-0000-0000AC010000}"/>
    <cellStyle name="20% - Accent3 6 5 7" xfId="443" xr:uid="{00000000-0005-0000-0000-0000AD010000}"/>
    <cellStyle name="20% - Accent3 6 5 8" xfId="444" xr:uid="{00000000-0005-0000-0000-0000AE010000}"/>
    <cellStyle name="20% - Accent3 6 5 9" xfId="445" xr:uid="{00000000-0005-0000-0000-0000AF010000}"/>
    <cellStyle name="20% - Accent3 6 6" xfId="446" xr:uid="{00000000-0005-0000-0000-0000B0010000}"/>
    <cellStyle name="20% - Accent3 6 7" xfId="447" xr:uid="{00000000-0005-0000-0000-0000B1010000}"/>
    <cellStyle name="20% - Accent3 6 8" xfId="448" xr:uid="{00000000-0005-0000-0000-0000B2010000}"/>
    <cellStyle name="20% - Accent3 6 9" xfId="449" xr:uid="{00000000-0005-0000-0000-0000B3010000}"/>
    <cellStyle name="20% - Accent3 7" xfId="450" xr:uid="{00000000-0005-0000-0000-0000B4010000}"/>
    <cellStyle name="20% - Accent3 7 10" xfId="451" xr:uid="{00000000-0005-0000-0000-0000B5010000}"/>
    <cellStyle name="20% - Accent3 7 11" xfId="452" xr:uid="{00000000-0005-0000-0000-0000B6010000}"/>
    <cellStyle name="20% - Accent3 7 12" xfId="453" xr:uid="{00000000-0005-0000-0000-0000B7010000}"/>
    <cellStyle name="20% - Accent3 7 13" xfId="454" xr:uid="{00000000-0005-0000-0000-0000B8010000}"/>
    <cellStyle name="20% - Accent3 7 14" xfId="455" xr:uid="{00000000-0005-0000-0000-0000B9010000}"/>
    <cellStyle name="20% - Accent3 7 2" xfId="456" xr:uid="{00000000-0005-0000-0000-0000BA010000}"/>
    <cellStyle name="20% - Accent3 7 2 10" xfId="457" xr:uid="{00000000-0005-0000-0000-0000BB010000}"/>
    <cellStyle name="20% - Accent3 7 2 11" xfId="458" xr:uid="{00000000-0005-0000-0000-0000BC010000}"/>
    <cellStyle name="20% - Accent3 7 2 2" xfId="459" xr:uid="{00000000-0005-0000-0000-0000BD010000}"/>
    <cellStyle name="20% - Accent3 7 2 3" xfId="460" xr:uid="{00000000-0005-0000-0000-0000BE010000}"/>
    <cellStyle name="20% - Accent3 7 2 4" xfId="461" xr:uid="{00000000-0005-0000-0000-0000BF010000}"/>
    <cellStyle name="20% - Accent3 7 2 5" xfId="462" xr:uid="{00000000-0005-0000-0000-0000C0010000}"/>
    <cellStyle name="20% - Accent3 7 2 6" xfId="463" xr:uid="{00000000-0005-0000-0000-0000C1010000}"/>
    <cellStyle name="20% - Accent3 7 2 7" xfId="464" xr:uid="{00000000-0005-0000-0000-0000C2010000}"/>
    <cellStyle name="20% - Accent3 7 2 8" xfId="465" xr:uid="{00000000-0005-0000-0000-0000C3010000}"/>
    <cellStyle name="20% - Accent3 7 2 9" xfId="466" xr:uid="{00000000-0005-0000-0000-0000C4010000}"/>
    <cellStyle name="20% - Accent3 7 3" xfId="467" xr:uid="{00000000-0005-0000-0000-0000C5010000}"/>
    <cellStyle name="20% - Accent3 7 3 10" xfId="468" xr:uid="{00000000-0005-0000-0000-0000C6010000}"/>
    <cellStyle name="20% - Accent3 7 3 11" xfId="469" xr:uid="{00000000-0005-0000-0000-0000C7010000}"/>
    <cellStyle name="20% - Accent3 7 3 2" xfId="470" xr:uid="{00000000-0005-0000-0000-0000C8010000}"/>
    <cellStyle name="20% - Accent3 7 3 3" xfId="471" xr:uid="{00000000-0005-0000-0000-0000C9010000}"/>
    <cellStyle name="20% - Accent3 7 3 4" xfId="472" xr:uid="{00000000-0005-0000-0000-0000CA010000}"/>
    <cellStyle name="20% - Accent3 7 3 5" xfId="473" xr:uid="{00000000-0005-0000-0000-0000CB010000}"/>
    <cellStyle name="20% - Accent3 7 3 6" xfId="474" xr:uid="{00000000-0005-0000-0000-0000CC010000}"/>
    <cellStyle name="20% - Accent3 7 3 7" xfId="475" xr:uid="{00000000-0005-0000-0000-0000CD010000}"/>
    <cellStyle name="20% - Accent3 7 3 8" xfId="476" xr:uid="{00000000-0005-0000-0000-0000CE010000}"/>
    <cellStyle name="20% - Accent3 7 3 9" xfId="477" xr:uid="{00000000-0005-0000-0000-0000CF010000}"/>
    <cellStyle name="20% - Accent3 7 4" xfId="478" xr:uid="{00000000-0005-0000-0000-0000D0010000}"/>
    <cellStyle name="20% - Accent3 7 5" xfId="479" xr:uid="{00000000-0005-0000-0000-0000D1010000}"/>
    <cellStyle name="20% - Accent3 7 6" xfId="480" xr:uid="{00000000-0005-0000-0000-0000D2010000}"/>
    <cellStyle name="20% - Accent3 7 7" xfId="481" xr:uid="{00000000-0005-0000-0000-0000D3010000}"/>
    <cellStyle name="20% - Accent3 7 8" xfId="482" xr:uid="{00000000-0005-0000-0000-0000D4010000}"/>
    <cellStyle name="20% - Accent3 7 9" xfId="483" xr:uid="{00000000-0005-0000-0000-0000D5010000}"/>
    <cellStyle name="20% - Accent3 8" xfId="484" xr:uid="{00000000-0005-0000-0000-0000D6010000}"/>
    <cellStyle name="20% - Accent3 8 10" xfId="485" xr:uid="{00000000-0005-0000-0000-0000D7010000}"/>
    <cellStyle name="20% - Accent3 8 11" xfId="486" xr:uid="{00000000-0005-0000-0000-0000D8010000}"/>
    <cellStyle name="20% - Accent3 8 12" xfId="487" xr:uid="{00000000-0005-0000-0000-0000D9010000}"/>
    <cellStyle name="20% - Accent3 8 13" xfId="488" xr:uid="{00000000-0005-0000-0000-0000DA010000}"/>
    <cellStyle name="20% - Accent3 8 2" xfId="489" xr:uid="{00000000-0005-0000-0000-0000DB010000}"/>
    <cellStyle name="20% - Accent3 8 2 2" xfId="490" xr:uid="{00000000-0005-0000-0000-0000DC010000}"/>
    <cellStyle name="20% - Accent3 8 3" xfId="491" xr:uid="{00000000-0005-0000-0000-0000DD010000}"/>
    <cellStyle name="20% - Accent3 8 3 2" xfId="492" xr:uid="{00000000-0005-0000-0000-0000DE010000}"/>
    <cellStyle name="20% - Accent3 8 4" xfId="493" xr:uid="{00000000-0005-0000-0000-0000DF010000}"/>
    <cellStyle name="20% - Accent3 8 5" xfId="494" xr:uid="{00000000-0005-0000-0000-0000E0010000}"/>
    <cellStyle name="20% - Accent3 8 6" xfId="495" xr:uid="{00000000-0005-0000-0000-0000E1010000}"/>
    <cellStyle name="20% - Accent3 8 7" xfId="496" xr:uid="{00000000-0005-0000-0000-0000E2010000}"/>
    <cellStyle name="20% - Accent3 8 8" xfId="497" xr:uid="{00000000-0005-0000-0000-0000E3010000}"/>
    <cellStyle name="20% - Accent3 8 9" xfId="498" xr:uid="{00000000-0005-0000-0000-0000E4010000}"/>
    <cellStyle name="20% - Accent3 9" xfId="499" xr:uid="{00000000-0005-0000-0000-0000E5010000}"/>
    <cellStyle name="20% - Accent3 9 10" xfId="500" xr:uid="{00000000-0005-0000-0000-0000E6010000}"/>
    <cellStyle name="20% - Accent3 9 11" xfId="501" xr:uid="{00000000-0005-0000-0000-0000E7010000}"/>
    <cellStyle name="20% - Accent3 9 12" xfId="502" xr:uid="{00000000-0005-0000-0000-0000E8010000}"/>
    <cellStyle name="20% - Accent3 9 2" xfId="503" xr:uid="{00000000-0005-0000-0000-0000E9010000}"/>
    <cellStyle name="20% - Accent3 9 2 2" xfId="504" xr:uid="{00000000-0005-0000-0000-0000EA010000}"/>
    <cellStyle name="20% - Accent3 9 3" xfId="505" xr:uid="{00000000-0005-0000-0000-0000EB010000}"/>
    <cellStyle name="20% - Accent3 9 4" xfId="506" xr:uid="{00000000-0005-0000-0000-0000EC010000}"/>
    <cellStyle name="20% - Accent3 9 5" xfId="507" xr:uid="{00000000-0005-0000-0000-0000ED010000}"/>
    <cellStyle name="20% - Accent3 9 6" xfId="508" xr:uid="{00000000-0005-0000-0000-0000EE010000}"/>
    <cellStyle name="20% - Accent3 9 7" xfId="509" xr:uid="{00000000-0005-0000-0000-0000EF010000}"/>
    <cellStyle name="20% - Accent3 9 8" xfId="510" xr:uid="{00000000-0005-0000-0000-0000F0010000}"/>
    <cellStyle name="20% - Accent3 9 9" xfId="511" xr:uid="{00000000-0005-0000-0000-0000F1010000}"/>
    <cellStyle name="20% - Accent4 10" xfId="512" xr:uid="{00000000-0005-0000-0000-0000F2010000}"/>
    <cellStyle name="20% - Accent4 10 10" xfId="513" xr:uid="{00000000-0005-0000-0000-0000F3010000}"/>
    <cellStyle name="20% - Accent4 10 11" xfId="514" xr:uid="{00000000-0005-0000-0000-0000F4010000}"/>
    <cellStyle name="20% - Accent4 10 2" xfId="515" xr:uid="{00000000-0005-0000-0000-0000F5010000}"/>
    <cellStyle name="20% - Accent4 10 3" xfId="516" xr:uid="{00000000-0005-0000-0000-0000F6010000}"/>
    <cellStyle name="20% - Accent4 10 4" xfId="517" xr:uid="{00000000-0005-0000-0000-0000F7010000}"/>
    <cellStyle name="20% - Accent4 10 5" xfId="518" xr:uid="{00000000-0005-0000-0000-0000F8010000}"/>
    <cellStyle name="20% - Accent4 10 6" xfId="519" xr:uid="{00000000-0005-0000-0000-0000F9010000}"/>
    <cellStyle name="20% - Accent4 10 7" xfId="520" xr:uid="{00000000-0005-0000-0000-0000FA010000}"/>
    <cellStyle name="20% - Accent4 10 8" xfId="521" xr:uid="{00000000-0005-0000-0000-0000FB010000}"/>
    <cellStyle name="20% - Accent4 10 9" xfId="522" xr:uid="{00000000-0005-0000-0000-0000FC010000}"/>
    <cellStyle name="20% - Accent4 11" xfId="523" xr:uid="{00000000-0005-0000-0000-0000FD010000}"/>
    <cellStyle name="20% - Accent4 11 2" xfId="524" xr:uid="{00000000-0005-0000-0000-0000FE010000}"/>
    <cellStyle name="20% - Accent4 12" xfId="525" xr:uid="{00000000-0005-0000-0000-0000FF010000}"/>
    <cellStyle name="20% - Accent4 13" xfId="526" xr:uid="{00000000-0005-0000-0000-000000020000}"/>
    <cellStyle name="20% - Accent4 13 2" xfId="527" xr:uid="{00000000-0005-0000-0000-000001020000}"/>
    <cellStyle name="20% - Accent4 13 3" xfId="528" xr:uid="{00000000-0005-0000-0000-000002020000}"/>
    <cellStyle name="20% - Accent4 13 4" xfId="529" xr:uid="{00000000-0005-0000-0000-000003020000}"/>
    <cellStyle name="20% - Accent4 14" xfId="530" xr:uid="{00000000-0005-0000-0000-000004020000}"/>
    <cellStyle name="20% - Accent4 14 2" xfId="531" xr:uid="{00000000-0005-0000-0000-000005020000}"/>
    <cellStyle name="20% - Accent4 14 3" xfId="532" xr:uid="{00000000-0005-0000-0000-000006020000}"/>
    <cellStyle name="20% - Accent4 14 4" xfId="533" xr:uid="{00000000-0005-0000-0000-000007020000}"/>
    <cellStyle name="20% - Accent4 15" xfId="534" xr:uid="{00000000-0005-0000-0000-000008020000}"/>
    <cellStyle name="20% - Accent4 15 2" xfId="535" xr:uid="{00000000-0005-0000-0000-000009020000}"/>
    <cellStyle name="20% - Accent4 15 3" xfId="536" xr:uid="{00000000-0005-0000-0000-00000A020000}"/>
    <cellStyle name="20% - Accent4 15 4" xfId="537" xr:uid="{00000000-0005-0000-0000-00000B020000}"/>
    <cellStyle name="20% - Accent4 16" xfId="538" xr:uid="{00000000-0005-0000-0000-00000C020000}"/>
    <cellStyle name="20% - Accent4 16 2" xfId="539" xr:uid="{00000000-0005-0000-0000-00000D020000}"/>
    <cellStyle name="20% - Accent4 16 3" xfId="540" xr:uid="{00000000-0005-0000-0000-00000E020000}"/>
    <cellStyle name="20% - Accent4 16 4" xfId="541" xr:uid="{00000000-0005-0000-0000-00000F020000}"/>
    <cellStyle name="20% - Accent4 17" xfId="542" xr:uid="{00000000-0005-0000-0000-000010020000}"/>
    <cellStyle name="20% - Accent4 17 2" xfId="543" xr:uid="{00000000-0005-0000-0000-000011020000}"/>
    <cellStyle name="20% - Accent4 17 3" xfId="544" xr:uid="{00000000-0005-0000-0000-000012020000}"/>
    <cellStyle name="20% - Accent4 17 4" xfId="545" xr:uid="{00000000-0005-0000-0000-000013020000}"/>
    <cellStyle name="20% - Accent4 18" xfId="546" xr:uid="{00000000-0005-0000-0000-000014020000}"/>
    <cellStyle name="20% - Accent4 18 2" xfId="547" xr:uid="{00000000-0005-0000-0000-000015020000}"/>
    <cellStyle name="20% - Accent4 18 3" xfId="548" xr:uid="{00000000-0005-0000-0000-000016020000}"/>
    <cellStyle name="20% - Accent4 18 4" xfId="549" xr:uid="{00000000-0005-0000-0000-000017020000}"/>
    <cellStyle name="20% - Accent4 19" xfId="550" xr:uid="{00000000-0005-0000-0000-000018020000}"/>
    <cellStyle name="20% - Accent4 2" xfId="551" xr:uid="{00000000-0005-0000-0000-000019020000}"/>
    <cellStyle name="20% - Accent4 20" xfId="552" xr:uid="{00000000-0005-0000-0000-00001A020000}"/>
    <cellStyle name="20% - Accent4 21" xfId="553" xr:uid="{00000000-0005-0000-0000-00001B020000}"/>
    <cellStyle name="20% - Accent4 3" xfId="554" xr:uid="{00000000-0005-0000-0000-00001C020000}"/>
    <cellStyle name="20% - Accent4 4" xfId="555" xr:uid="{00000000-0005-0000-0000-00001D020000}"/>
    <cellStyle name="20% - Accent4 5" xfId="556" xr:uid="{00000000-0005-0000-0000-00001E020000}"/>
    <cellStyle name="20% - Accent4 6" xfId="557" xr:uid="{00000000-0005-0000-0000-00001F020000}"/>
    <cellStyle name="20% - Accent4 6 10" xfId="558" xr:uid="{00000000-0005-0000-0000-000020020000}"/>
    <cellStyle name="20% - Accent4 6 11" xfId="559" xr:uid="{00000000-0005-0000-0000-000021020000}"/>
    <cellStyle name="20% - Accent4 6 12" xfId="560" xr:uid="{00000000-0005-0000-0000-000022020000}"/>
    <cellStyle name="20% - Accent4 6 13" xfId="561" xr:uid="{00000000-0005-0000-0000-000023020000}"/>
    <cellStyle name="20% - Accent4 6 14" xfId="562" xr:uid="{00000000-0005-0000-0000-000024020000}"/>
    <cellStyle name="20% - Accent4 6 15" xfId="563" xr:uid="{00000000-0005-0000-0000-000025020000}"/>
    <cellStyle name="20% - Accent4 6 2" xfId="564" xr:uid="{00000000-0005-0000-0000-000026020000}"/>
    <cellStyle name="20% - Accent4 6 2 10" xfId="565" xr:uid="{00000000-0005-0000-0000-000027020000}"/>
    <cellStyle name="20% - Accent4 6 2 11" xfId="566" xr:uid="{00000000-0005-0000-0000-000028020000}"/>
    <cellStyle name="20% - Accent4 6 2 12" xfId="567" xr:uid="{00000000-0005-0000-0000-000029020000}"/>
    <cellStyle name="20% - Accent4 6 2 13" xfId="568" xr:uid="{00000000-0005-0000-0000-00002A020000}"/>
    <cellStyle name="20% - Accent4 6 2 2" xfId="569" xr:uid="{00000000-0005-0000-0000-00002B020000}"/>
    <cellStyle name="20% - Accent4 6 2 2 2" xfId="570" xr:uid="{00000000-0005-0000-0000-00002C020000}"/>
    <cellStyle name="20% - Accent4 6 2 3" xfId="571" xr:uid="{00000000-0005-0000-0000-00002D020000}"/>
    <cellStyle name="20% - Accent4 6 2 3 2" xfId="572" xr:uid="{00000000-0005-0000-0000-00002E020000}"/>
    <cellStyle name="20% - Accent4 6 2 4" xfId="573" xr:uid="{00000000-0005-0000-0000-00002F020000}"/>
    <cellStyle name="20% - Accent4 6 2 5" xfId="574" xr:uid="{00000000-0005-0000-0000-000030020000}"/>
    <cellStyle name="20% - Accent4 6 2 6" xfId="575" xr:uid="{00000000-0005-0000-0000-000031020000}"/>
    <cellStyle name="20% - Accent4 6 2 7" xfId="576" xr:uid="{00000000-0005-0000-0000-000032020000}"/>
    <cellStyle name="20% - Accent4 6 2 8" xfId="577" xr:uid="{00000000-0005-0000-0000-000033020000}"/>
    <cellStyle name="20% - Accent4 6 2 9" xfId="578" xr:uid="{00000000-0005-0000-0000-000034020000}"/>
    <cellStyle name="20% - Accent4 6 3" xfId="579" xr:uid="{00000000-0005-0000-0000-000035020000}"/>
    <cellStyle name="20% - Accent4 6 3 10" xfId="580" xr:uid="{00000000-0005-0000-0000-000036020000}"/>
    <cellStyle name="20% - Accent4 6 3 11" xfId="581" xr:uid="{00000000-0005-0000-0000-000037020000}"/>
    <cellStyle name="20% - Accent4 6 3 2" xfId="582" xr:uid="{00000000-0005-0000-0000-000038020000}"/>
    <cellStyle name="20% - Accent4 6 3 3" xfId="583" xr:uid="{00000000-0005-0000-0000-000039020000}"/>
    <cellStyle name="20% - Accent4 6 3 4" xfId="584" xr:uid="{00000000-0005-0000-0000-00003A020000}"/>
    <cellStyle name="20% - Accent4 6 3 5" xfId="585" xr:uid="{00000000-0005-0000-0000-00003B020000}"/>
    <cellStyle name="20% - Accent4 6 3 6" xfId="586" xr:uid="{00000000-0005-0000-0000-00003C020000}"/>
    <cellStyle name="20% - Accent4 6 3 7" xfId="587" xr:uid="{00000000-0005-0000-0000-00003D020000}"/>
    <cellStyle name="20% - Accent4 6 3 8" xfId="588" xr:uid="{00000000-0005-0000-0000-00003E020000}"/>
    <cellStyle name="20% - Accent4 6 3 9" xfId="589" xr:uid="{00000000-0005-0000-0000-00003F020000}"/>
    <cellStyle name="20% - Accent4 6 4" xfId="590" xr:uid="{00000000-0005-0000-0000-000040020000}"/>
    <cellStyle name="20% - Accent4 6 4 10" xfId="591" xr:uid="{00000000-0005-0000-0000-000041020000}"/>
    <cellStyle name="20% - Accent4 6 4 11" xfId="592" xr:uid="{00000000-0005-0000-0000-000042020000}"/>
    <cellStyle name="20% - Accent4 6 4 2" xfId="593" xr:uid="{00000000-0005-0000-0000-000043020000}"/>
    <cellStyle name="20% - Accent4 6 4 3" xfId="594" xr:uid="{00000000-0005-0000-0000-000044020000}"/>
    <cellStyle name="20% - Accent4 6 4 4" xfId="595" xr:uid="{00000000-0005-0000-0000-000045020000}"/>
    <cellStyle name="20% - Accent4 6 4 5" xfId="596" xr:uid="{00000000-0005-0000-0000-000046020000}"/>
    <cellStyle name="20% - Accent4 6 4 6" xfId="597" xr:uid="{00000000-0005-0000-0000-000047020000}"/>
    <cellStyle name="20% - Accent4 6 4 7" xfId="598" xr:uid="{00000000-0005-0000-0000-000048020000}"/>
    <cellStyle name="20% - Accent4 6 4 8" xfId="599" xr:uid="{00000000-0005-0000-0000-000049020000}"/>
    <cellStyle name="20% - Accent4 6 4 9" xfId="600" xr:uid="{00000000-0005-0000-0000-00004A020000}"/>
    <cellStyle name="20% - Accent4 6 5" xfId="601" xr:uid="{00000000-0005-0000-0000-00004B020000}"/>
    <cellStyle name="20% - Accent4 6 5 10" xfId="602" xr:uid="{00000000-0005-0000-0000-00004C020000}"/>
    <cellStyle name="20% - Accent4 6 5 11" xfId="603" xr:uid="{00000000-0005-0000-0000-00004D020000}"/>
    <cellStyle name="20% - Accent4 6 5 2" xfId="604" xr:uid="{00000000-0005-0000-0000-00004E020000}"/>
    <cellStyle name="20% - Accent4 6 5 3" xfId="605" xr:uid="{00000000-0005-0000-0000-00004F020000}"/>
    <cellStyle name="20% - Accent4 6 5 4" xfId="606" xr:uid="{00000000-0005-0000-0000-000050020000}"/>
    <cellStyle name="20% - Accent4 6 5 5" xfId="607" xr:uid="{00000000-0005-0000-0000-000051020000}"/>
    <cellStyle name="20% - Accent4 6 5 6" xfId="608" xr:uid="{00000000-0005-0000-0000-000052020000}"/>
    <cellStyle name="20% - Accent4 6 5 7" xfId="609" xr:uid="{00000000-0005-0000-0000-000053020000}"/>
    <cellStyle name="20% - Accent4 6 5 8" xfId="610" xr:uid="{00000000-0005-0000-0000-000054020000}"/>
    <cellStyle name="20% - Accent4 6 5 9" xfId="611" xr:uid="{00000000-0005-0000-0000-000055020000}"/>
    <cellStyle name="20% - Accent4 6 6" xfId="612" xr:uid="{00000000-0005-0000-0000-000056020000}"/>
    <cellStyle name="20% - Accent4 6 7" xfId="613" xr:uid="{00000000-0005-0000-0000-000057020000}"/>
    <cellStyle name="20% - Accent4 6 8" xfId="614" xr:uid="{00000000-0005-0000-0000-000058020000}"/>
    <cellStyle name="20% - Accent4 6 9" xfId="615" xr:uid="{00000000-0005-0000-0000-000059020000}"/>
    <cellStyle name="20% - Accent4 7" xfId="616" xr:uid="{00000000-0005-0000-0000-00005A020000}"/>
    <cellStyle name="20% - Accent4 7 10" xfId="617" xr:uid="{00000000-0005-0000-0000-00005B020000}"/>
    <cellStyle name="20% - Accent4 7 11" xfId="618" xr:uid="{00000000-0005-0000-0000-00005C020000}"/>
    <cellStyle name="20% - Accent4 7 12" xfId="619" xr:uid="{00000000-0005-0000-0000-00005D020000}"/>
    <cellStyle name="20% - Accent4 7 13" xfId="620" xr:uid="{00000000-0005-0000-0000-00005E020000}"/>
    <cellStyle name="20% - Accent4 7 14" xfId="621" xr:uid="{00000000-0005-0000-0000-00005F020000}"/>
    <cellStyle name="20% - Accent4 7 2" xfId="622" xr:uid="{00000000-0005-0000-0000-000060020000}"/>
    <cellStyle name="20% - Accent4 7 2 10" xfId="623" xr:uid="{00000000-0005-0000-0000-000061020000}"/>
    <cellStyle name="20% - Accent4 7 2 11" xfId="624" xr:uid="{00000000-0005-0000-0000-000062020000}"/>
    <cellStyle name="20% - Accent4 7 2 2" xfId="625" xr:uid="{00000000-0005-0000-0000-000063020000}"/>
    <cellStyle name="20% - Accent4 7 2 3" xfId="626" xr:uid="{00000000-0005-0000-0000-000064020000}"/>
    <cellStyle name="20% - Accent4 7 2 4" xfId="627" xr:uid="{00000000-0005-0000-0000-000065020000}"/>
    <cellStyle name="20% - Accent4 7 2 5" xfId="628" xr:uid="{00000000-0005-0000-0000-000066020000}"/>
    <cellStyle name="20% - Accent4 7 2 6" xfId="629" xr:uid="{00000000-0005-0000-0000-000067020000}"/>
    <cellStyle name="20% - Accent4 7 2 7" xfId="630" xr:uid="{00000000-0005-0000-0000-000068020000}"/>
    <cellStyle name="20% - Accent4 7 2 8" xfId="631" xr:uid="{00000000-0005-0000-0000-000069020000}"/>
    <cellStyle name="20% - Accent4 7 2 9" xfId="632" xr:uid="{00000000-0005-0000-0000-00006A020000}"/>
    <cellStyle name="20% - Accent4 7 3" xfId="633" xr:uid="{00000000-0005-0000-0000-00006B020000}"/>
    <cellStyle name="20% - Accent4 7 3 10" xfId="634" xr:uid="{00000000-0005-0000-0000-00006C020000}"/>
    <cellStyle name="20% - Accent4 7 3 11" xfId="635" xr:uid="{00000000-0005-0000-0000-00006D020000}"/>
    <cellStyle name="20% - Accent4 7 3 2" xfId="636" xr:uid="{00000000-0005-0000-0000-00006E020000}"/>
    <cellStyle name="20% - Accent4 7 3 3" xfId="637" xr:uid="{00000000-0005-0000-0000-00006F020000}"/>
    <cellStyle name="20% - Accent4 7 3 4" xfId="638" xr:uid="{00000000-0005-0000-0000-000070020000}"/>
    <cellStyle name="20% - Accent4 7 3 5" xfId="639" xr:uid="{00000000-0005-0000-0000-000071020000}"/>
    <cellStyle name="20% - Accent4 7 3 6" xfId="640" xr:uid="{00000000-0005-0000-0000-000072020000}"/>
    <cellStyle name="20% - Accent4 7 3 7" xfId="641" xr:uid="{00000000-0005-0000-0000-000073020000}"/>
    <cellStyle name="20% - Accent4 7 3 8" xfId="642" xr:uid="{00000000-0005-0000-0000-000074020000}"/>
    <cellStyle name="20% - Accent4 7 3 9" xfId="643" xr:uid="{00000000-0005-0000-0000-000075020000}"/>
    <cellStyle name="20% - Accent4 7 4" xfId="644" xr:uid="{00000000-0005-0000-0000-000076020000}"/>
    <cellStyle name="20% - Accent4 7 5" xfId="645" xr:uid="{00000000-0005-0000-0000-000077020000}"/>
    <cellStyle name="20% - Accent4 7 6" xfId="646" xr:uid="{00000000-0005-0000-0000-000078020000}"/>
    <cellStyle name="20% - Accent4 7 7" xfId="647" xr:uid="{00000000-0005-0000-0000-000079020000}"/>
    <cellStyle name="20% - Accent4 7 8" xfId="648" xr:uid="{00000000-0005-0000-0000-00007A020000}"/>
    <cellStyle name="20% - Accent4 7 9" xfId="649" xr:uid="{00000000-0005-0000-0000-00007B020000}"/>
    <cellStyle name="20% - Accent4 8" xfId="650" xr:uid="{00000000-0005-0000-0000-00007C020000}"/>
    <cellStyle name="20% - Accent4 8 10" xfId="651" xr:uid="{00000000-0005-0000-0000-00007D020000}"/>
    <cellStyle name="20% - Accent4 8 11" xfId="652" xr:uid="{00000000-0005-0000-0000-00007E020000}"/>
    <cellStyle name="20% - Accent4 8 12" xfId="653" xr:uid="{00000000-0005-0000-0000-00007F020000}"/>
    <cellStyle name="20% - Accent4 8 13" xfId="654" xr:uid="{00000000-0005-0000-0000-000080020000}"/>
    <cellStyle name="20% - Accent4 8 2" xfId="655" xr:uid="{00000000-0005-0000-0000-000081020000}"/>
    <cellStyle name="20% - Accent4 8 2 2" xfId="656" xr:uid="{00000000-0005-0000-0000-000082020000}"/>
    <cellStyle name="20% - Accent4 8 3" xfId="657" xr:uid="{00000000-0005-0000-0000-000083020000}"/>
    <cellStyle name="20% - Accent4 8 3 2" xfId="658" xr:uid="{00000000-0005-0000-0000-000084020000}"/>
    <cellStyle name="20% - Accent4 8 4" xfId="659" xr:uid="{00000000-0005-0000-0000-000085020000}"/>
    <cellStyle name="20% - Accent4 8 5" xfId="660" xr:uid="{00000000-0005-0000-0000-000086020000}"/>
    <cellStyle name="20% - Accent4 8 6" xfId="661" xr:uid="{00000000-0005-0000-0000-000087020000}"/>
    <cellStyle name="20% - Accent4 8 7" xfId="662" xr:uid="{00000000-0005-0000-0000-000088020000}"/>
    <cellStyle name="20% - Accent4 8 8" xfId="663" xr:uid="{00000000-0005-0000-0000-000089020000}"/>
    <cellStyle name="20% - Accent4 8 9" xfId="664" xr:uid="{00000000-0005-0000-0000-00008A020000}"/>
    <cellStyle name="20% - Accent4 9" xfId="665" xr:uid="{00000000-0005-0000-0000-00008B020000}"/>
    <cellStyle name="20% - Accent4 9 10" xfId="666" xr:uid="{00000000-0005-0000-0000-00008C020000}"/>
    <cellStyle name="20% - Accent4 9 11" xfId="667" xr:uid="{00000000-0005-0000-0000-00008D020000}"/>
    <cellStyle name="20% - Accent4 9 12" xfId="668" xr:uid="{00000000-0005-0000-0000-00008E020000}"/>
    <cellStyle name="20% - Accent4 9 2" xfId="669" xr:uid="{00000000-0005-0000-0000-00008F020000}"/>
    <cellStyle name="20% - Accent4 9 2 2" xfId="670" xr:uid="{00000000-0005-0000-0000-000090020000}"/>
    <cellStyle name="20% - Accent4 9 3" xfId="671" xr:uid="{00000000-0005-0000-0000-000091020000}"/>
    <cellStyle name="20% - Accent4 9 4" xfId="672" xr:uid="{00000000-0005-0000-0000-000092020000}"/>
    <cellStyle name="20% - Accent4 9 5" xfId="673" xr:uid="{00000000-0005-0000-0000-000093020000}"/>
    <cellStyle name="20% - Accent4 9 6" xfId="674" xr:uid="{00000000-0005-0000-0000-000094020000}"/>
    <cellStyle name="20% - Accent4 9 7" xfId="675" xr:uid="{00000000-0005-0000-0000-000095020000}"/>
    <cellStyle name="20% - Accent4 9 8" xfId="676" xr:uid="{00000000-0005-0000-0000-000096020000}"/>
    <cellStyle name="20% - Accent4 9 9" xfId="677" xr:uid="{00000000-0005-0000-0000-000097020000}"/>
    <cellStyle name="20% - Accent5 10" xfId="678" xr:uid="{00000000-0005-0000-0000-000098020000}"/>
    <cellStyle name="20% - Accent5 10 10" xfId="679" xr:uid="{00000000-0005-0000-0000-000099020000}"/>
    <cellStyle name="20% - Accent5 10 11" xfId="680" xr:uid="{00000000-0005-0000-0000-00009A020000}"/>
    <cellStyle name="20% - Accent5 10 2" xfId="681" xr:uid="{00000000-0005-0000-0000-00009B020000}"/>
    <cellStyle name="20% - Accent5 10 3" xfId="682" xr:uid="{00000000-0005-0000-0000-00009C020000}"/>
    <cellStyle name="20% - Accent5 10 4" xfId="683" xr:uid="{00000000-0005-0000-0000-00009D020000}"/>
    <cellStyle name="20% - Accent5 10 5" xfId="684" xr:uid="{00000000-0005-0000-0000-00009E020000}"/>
    <cellStyle name="20% - Accent5 10 6" xfId="685" xr:uid="{00000000-0005-0000-0000-00009F020000}"/>
    <cellStyle name="20% - Accent5 10 7" xfId="686" xr:uid="{00000000-0005-0000-0000-0000A0020000}"/>
    <cellStyle name="20% - Accent5 10 8" xfId="687" xr:uid="{00000000-0005-0000-0000-0000A1020000}"/>
    <cellStyle name="20% - Accent5 10 9" xfId="688" xr:uid="{00000000-0005-0000-0000-0000A2020000}"/>
    <cellStyle name="20% - Accent5 11" xfId="689" xr:uid="{00000000-0005-0000-0000-0000A3020000}"/>
    <cellStyle name="20% - Accent5 11 2" xfId="690" xr:uid="{00000000-0005-0000-0000-0000A4020000}"/>
    <cellStyle name="20% - Accent5 12" xfId="691" xr:uid="{00000000-0005-0000-0000-0000A5020000}"/>
    <cellStyle name="20% - Accent5 13" xfId="692" xr:uid="{00000000-0005-0000-0000-0000A6020000}"/>
    <cellStyle name="20% - Accent5 13 2" xfId="693" xr:uid="{00000000-0005-0000-0000-0000A7020000}"/>
    <cellStyle name="20% - Accent5 13 3" xfId="694" xr:uid="{00000000-0005-0000-0000-0000A8020000}"/>
    <cellStyle name="20% - Accent5 13 4" xfId="695" xr:uid="{00000000-0005-0000-0000-0000A9020000}"/>
    <cellStyle name="20% - Accent5 14" xfId="696" xr:uid="{00000000-0005-0000-0000-0000AA020000}"/>
    <cellStyle name="20% - Accent5 14 2" xfId="697" xr:uid="{00000000-0005-0000-0000-0000AB020000}"/>
    <cellStyle name="20% - Accent5 14 3" xfId="698" xr:uid="{00000000-0005-0000-0000-0000AC020000}"/>
    <cellStyle name="20% - Accent5 14 4" xfId="699" xr:uid="{00000000-0005-0000-0000-0000AD020000}"/>
    <cellStyle name="20% - Accent5 15" xfId="700" xr:uid="{00000000-0005-0000-0000-0000AE020000}"/>
    <cellStyle name="20% - Accent5 15 2" xfId="701" xr:uid="{00000000-0005-0000-0000-0000AF020000}"/>
    <cellStyle name="20% - Accent5 15 3" xfId="702" xr:uid="{00000000-0005-0000-0000-0000B0020000}"/>
    <cellStyle name="20% - Accent5 15 4" xfId="703" xr:uid="{00000000-0005-0000-0000-0000B1020000}"/>
    <cellStyle name="20% - Accent5 16" xfId="704" xr:uid="{00000000-0005-0000-0000-0000B2020000}"/>
    <cellStyle name="20% - Accent5 16 2" xfId="705" xr:uid="{00000000-0005-0000-0000-0000B3020000}"/>
    <cellStyle name="20% - Accent5 16 3" xfId="706" xr:uid="{00000000-0005-0000-0000-0000B4020000}"/>
    <cellStyle name="20% - Accent5 16 4" xfId="707" xr:uid="{00000000-0005-0000-0000-0000B5020000}"/>
    <cellStyle name="20% - Accent5 17" xfId="708" xr:uid="{00000000-0005-0000-0000-0000B6020000}"/>
    <cellStyle name="20% - Accent5 17 2" xfId="709" xr:uid="{00000000-0005-0000-0000-0000B7020000}"/>
    <cellStyle name="20% - Accent5 17 3" xfId="710" xr:uid="{00000000-0005-0000-0000-0000B8020000}"/>
    <cellStyle name="20% - Accent5 17 4" xfId="711" xr:uid="{00000000-0005-0000-0000-0000B9020000}"/>
    <cellStyle name="20% - Accent5 18" xfId="712" xr:uid="{00000000-0005-0000-0000-0000BA020000}"/>
    <cellStyle name="20% - Accent5 18 2" xfId="713" xr:uid="{00000000-0005-0000-0000-0000BB020000}"/>
    <cellStyle name="20% - Accent5 18 3" xfId="714" xr:uid="{00000000-0005-0000-0000-0000BC020000}"/>
    <cellStyle name="20% - Accent5 18 4" xfId="715" xr:uid="{00000000-0005-0000-0000-0000BD020000}"/>
    <cellStyle name="20% - Accent5 19" xfId="716" xr:uid="{00000000-0005-0000-0000-0000BE020000}"/>
    <cellStyle name="20% - Accent5 2" xfId="717" xr:uid="{00000000-0005-0000-0000-0000BF020000}"/>
    <cellStyle name="20% - Accent5 20" xfId="718" xr:uid="{00000000-0005-0000-0000-0000C0020000}"/>
    <cellStyle name="20% - Accent5 21" xfId="719" xr:uid="{00000000-0005-0000-0000-0000C1020000}"/>
    <cellStyle name="20% - Accent5 3" xfId="720" xr:uid="{00000000-0005-0000-0000-0000C2020000}"/>
    <cellStyle name="20% - Accent5 4" xfId="721" xr:uid="{00000000-0005-0000-0000-0000C3020000}"/>
    <cellStyle name="20% - Accent5 5" xfId="722" xr:uid="{00000000-0005-0000-0000-0000C4020000}"/>
    <cellStyle name="20% - Accent5 6" xfId="723" xr:uid="{00000000-0005-0000-0000-0000C5020000}"/>
    <cellStyle name="20% - Accent5 6 10" xfId="724" xr:uid="{00000000-0005-0000-0000-0000C6020000}"/>
    <cellStyle name="20% - Accent5 6 11" xfId="725" xr:uid="{00000000-0005-0000-0000-0000C7020000}"/>
    <cellStyle name="20% - Accent5 6 12" xfId="726" xr:uid="{00000000-0005-0000-0000-0000C8020000}"/>
    <cellStyle name="20% - Accent5 6 13" xfId="727" xr:uid="{00000000-0005-0000-0000-0000C9020000}"/>
    <cellStyle name="20% - Accent5 6 14" xfId="728" xr:uid="{00000000-0005-0000-0000-0000CA020000}"/>
    <cellStyle name="20% - Accent5 6 15" xfId="729" xr:uid="{00000000-0005-0000-0000-0000CB020000}"/>
    <cellStyle name="20% - Accent5 6 2" xfId="730" xr:uid="{00000000-0005-0000-0000-0000CC020000}"/>
    <cellStyle name="20% - Accent5 6 2 10" xfId="731" xr:uid="{00000000-0005-0000-0000-0000CD020000}"/>
    <cellStyle name="20% - Accent5 6 2 11" xfId="732" xr:uid="{00000000-0005-0000-0000-0000CE020000}"/>
    <cellStyle name="20% - Accent5 6 2 12" xfId="733" xr:uid="{00000000-0005-0000-0000-0000CF020000}"/>
    <cellStyle name="20% - Accent5 6 2 13" xfId="734" xr:uid="{00000000-0005-0000-0000-0000D0020000}"/>
    <cellStyle name="20% - Accent5 6 2 2" xfId="735" xr:uid="{00000000-0005-0000-0000-0000D1020000}"/>
    <cellStyle name="20% - Accent5 6 2 2 2" xfId="736" xr:uid="{00000000-0005-0000-0000-0000D2020000}"/>
    <cellStyle name="20% - Accent5 6 2 3" xfId="737" xr:uid="{00000000-0005-0000-0000-0000D3020000}"/>
    <cellStyle name="20% - Accent5 6 2 3 2" xfId="738" xr:uid="{00000000-0005-0000-0000-0000D4020000}"/>
    <cellStyle name="20% - Accent5 6 2 4" xfId="739" xr:uid="{00000000-0005-0000-0000-0000D5020000}"/>
    <cellStyle name="20% - Accent5 6 2 5" xfId="740" xr:uid="{00000000-0005-0000-0000-0000D6020000}"/>
    <cellStyle name="20% - Accent5 6 2 6" xfId="741" xr:uid="{00000000-0005-0000-0000-0000D7020000}"/>
    <cellStyle name="20% - Accent5 6 2 7" xfId="742" xr:uid="{00000000-0005-0000-0000-0000D8020000}"/>
    <cellStyle name="20% - Accent5 6 2 8" xfId="743" xr:uid="{00000000-0005-0000-0000-0000D9020000}"/>
    <cellStyle name="20% - Accent5 6 2 9" xfId="744" xr:uid="{00000000-0005-0000-0000-0000DA020000}"/>
    <cellStyle name="20% - Accent5 6 3" xfId="745" xr:uid="{00000000-0005-0000-0000-0000DB020000}"/>
    <cellStyle name="20% - Accent5 6 3 10" xfId="746" xr:uid="{00000000-0005-0000-0000-0000DC020000}"/>
    <cellStyle name="20% - Accent5 6 3 11" xfId="747" xr:uid="{00000000-0005-0000-0000-0000DD020000}"/>
    <cellStyle name="20% - Accent5 6 3 2" xfId="748" xr:uid="{00000000-0005-0000-0000-0000DE020000}"/>
    <cellStyle name="20% - Accent5 6 3 3" xfId="749" xr:uid="{00000000-0005-0000-0000-0000DF020000}"/>
    <cellStyle name="20% - Accent5 6 3 4" xfId="750" xr:uid="{00000000-0005-0000-0000-0000E0020000}"/>
    <cellStyle name="20% - Accent5 6 3 5" xfId="751" xr:uid="{00000000-0005-0000-0000-0000E1020000}"/>
    <cellStyle name="20% - Accent5 6 3 6" xfId="752" xr:uid="{00000000-0005-0000-0000-0000E2020000}"/>
    <cellStyle name="20% - Accent5 6 3 7" xfId="753" xr:uid="{00000000-0005-0000-0000-0000E3020000}"/>
    <cellStyle name="20% - Accent5 6 3 8" xfId="754" xr:uid="{00000000-0005-0000-0000-0000E4020000}"/>
    <cellStyle name="20% - Accent5 6 3 9" xfId="755" xr:uid="{00000000-0005-0000-0000-0000E5020000}"/>
    <cellStyle name="20% - Accent5 6 4" xfId="756" xr:uid="{00000000-0005-0000-0000-0000E6020000}"/>
    <cellStyle name="20% - Accent5 6 4 10" xfId="757" xr:uid="{00000000-0005-0000-0000-0000E7020000}"/>
    <cellStyle name="20% - Accent5 6 4 11" xfId="758" xr:uid="{00000000-0005-0000-0000-0000E8020000}"/>
    <cellStyle name="20% - Accent5 6 4 2" xfId="759" xr:uid="{00000000-0005-0000-0000-0000E9020000}"/>
    <cellStyle name="20% - Accent5 6 4 3" xfId="760" xr:uid="{00000000-0005-0000-0000-0000EA020000}"/>
    <cellStyle name="20% - Accent5 6 4 4" xfId="761" xr:uid="{00000000-0005-0000-0000-0000EB020000}"/>
    <cellStyle name="20% - Accent5 6 4 5" xfId="762" xr:uid="{00000000-0005-0000-0000-0000EC020000}"/>
    <cellStyle name="20% - Accent5 6 4 6" xfId="763" xr:uid="{00000000-0005-0000-0000-0000ED020000}"/>
    <cellStyle name="20% - Accent5 6 4 7" xfId="764" xr:uid="{00000000-0005-0000-0000-0000EE020000}"/>
    <cellStyle name="20% - Accent5 6 4 8" xfId="765" xr:uid="{00000000-0005-0000-0000-0000EF020000}"/>
    <cellStyle name="20% - Accent5 6 4 9" xfId="766" xr:uid="{00000000-0005-0000-0000-0000F0020000}"/>
    <cellStyle name="20% - Accent5 6 5" xfId="767" xr:uid="{00000000-0005-0000-0000-0000F1020000}"/>
    <cellStyle name="20% - Accent5 6 5 10" xfId="768" xr:uid="{00000000-0005-0000-0000-0000F2020000}"/>
    <cellStyle name="20% - Accent5 6 5 11" xfId="769" xr:uid="{00000000-0005-0000-0000-0000F3020000}"/>
    <cellStyle name="20% - Accent5 6 5 2" xfId="770" xr:uid="{00000000-0005-0000-0000-0000F4020000}"/>
    <cellStyle name="20% - Accent5 6 5 3" xfId="771" xr:uid="{00000000-0005-0000-0000-0000F5020000}"/>
    <cellStyle name="20% - Accent5 6 5 4" xfId="772" xr:uid="{00000000-0005-0000-0000-0000F6020000}"/>
    <cellStyle name="20% - Accent5 6 5 5" xfId="773" xr:uid="{00000000-0005-0000-0000-0000F7020000}"/>
    <cellStyle name="20% - Accent5 6 5 6" xfId="774" xr:uid="{00000000-0005-0000-0000-0000F8020000}"/>
    <cellStyle name="20% - Accent5 6 5 7" xfId="775" xr:uid="{00000000-0005-0000-0000-0000F9020000}"/>
    <cellStyle name="20% - Accent5 6 5 8" xfId="776" xr:uid="{00000000-0005-0000-0000-0000FA020000}"/>
    <cellStyle name="20% - Accent5 6 5 9" xfId="777" xr:uid="{00000000-0005-0000-0000-0000FB020000}"/>
    <cellStyle name="20% - Accent5 6 6" xfId="778" xr:uid="{00000000-0005-0000-0000-0000FC020000}"/>
    <cellStyle name="20% - Accent5 6 7" xfId="779" xr:uid="{00000000-0005-0000-0000-0000FD020000}"/>
    <cellStyle name="20% - Accent5 6 8" xfId="780" xr:uid="{00000000-0005-0000-0000-0000FE020000}"/>
    <cellStyle name="20% - Accent5 6 9" xfId="781" xr:uid="{00000000-0005-0000-0000-0000FF020000}"/>
    <cellStyle name="20% - Accent5 7" xfId="782" xr:uid="{00000000-0005-0000-0000-000000030000}"/>
    <cellStyle name="20% - Accent5 7 10" xfId="783" xr:uid="{00000000-0005-0000-0000-000001030000}"/>
    <cellStyle name="20% - Accent5 7 11" xfId="784" xr:uid="{00000000-0005-0000-0000-000002030000}"/>
    <cellStyle name="20% - Accent5 7 12" xfId="785" xr:uid="{00000000-0005-0000-0000-000003030000}"/>
    <cellStyle name="20% - Accent5 7 13" xfId="786" xr:uid="{00000000-0005-0000-0000-000004030000}"/>
    <cellStyle name="20% - Accent5 7 14" xfId="787" xr:uid="{00000000-0005-0000-0000-000005030000}"/>
    <cellStyle name="20% - Accent5 7 2" xfId="788" xr:uid="{00000000-0005-0000-0000-000006030000}"/>
    <cellStyle name="20% - Accent5 7 2 10" xfId="789" xr:uid="{00000000-0005-0000-0000-000007030000}"/>
    <cellStyle name="20% - Accent5 7 2 11" xfId="790" xr:uid="{00000000-0005-0000-0000-000008030000}"/>
    <cellStyle name="20% - Accent5 7 2 2" xfId="791" xr:uid="{00000000-0005-0000-0000-000009030000}"/>
    <cellStyle name="20% - Accent5 7 2 3" xfId="792" xr:uid="{00000000-0005-0000-0000-00000A030000}"/>
    <cellStyle name="20% - Accent5 7 2 4" xfId="793" xr:uid="{00000000-0005-0000-0000-00000B030000}"/>
    <cellStyle name="20% - Accent5 7 2 5" xfId="794" xr:uid="{00000000-0005-0000-0000-00000C030000}"/>
    <cellStyle name="20% - Accent5 7 2 6" xfId="795" xr:uid="{00000000-0005-0000-0000-00000D030000}"/>
    <cellStyle name="20% - Accent5 7 2 7" xfId="796" xr:uid="{00000000-0005-0000-0000-00000E030000}"/>
    <cellStyle name="20% - Accent5 7 2 8" xfId="797" xr:uid="{00000000-0005-0000-0000-00000F030000}"/>
    <cellStyle name="20% - Accent5 7 2 9" xfId="798" xr:uid="{00000000-0005-0000-0000-000010030000}"/>
    <cellStyle name="20% - Accent5 7 3" xfId="799" xr:uid="{00000000-0005-0000-0000-000011030000}"/>
    <cellStyle name="20% - Accent5 7 3 10" xfId="800" xr:uid="{00000000-0005-0000-0000-000012030000}"/>
    <cellStyle name="20% - Accent5 7 3 11" xfId="801" xr:uid="{00000000-0005-0000-0000-000013030000}"/>
    <cellStyle name="20% - Accent5 7 3 2" xfId="802" xr:uid="{00000000-0005-0000-0000-000014030000}"/>
    <cellStyle name="20% - Accent5 7 3 3" xfId="803" xr:uid="{00000000-0005-0000-0000-000015030000}"/>
    <cellStyle name="20% - Accent5 7 3 4" xfId="804" xr:uid="{00000000-0005-0000-0000-000016030000}"/>
    <cellStyle name="20% - Accent5 7 3 5" xfId="805" xr:uid="{00000000-0005-0000-0000-000017030000}"/>
    <cellStyle name="20% - Accent5 7 3 6" xfId="806" xr:uid="{00000000-0005-0000-0000-000018030000}"/>
    <cellStyle name="20% - Accent5 7 3 7" xfId="807" xr:uid="{00000000-0005-0000-0000-000019030000}"/>
    <cellStyle name="20% - Accent5 7 3 8" xfId="808" xr:uid="{00000000-0005-0000-0000-00001A030000}"/>
    <cellStyle name="20% - Accent5 7 3 9" xfId="809" xr:uid="{00000000-0005-0000-0000-00001B030000}"/>
    <cellStyle name="20% - Accent5 7 4" xfId="810" xr:uid="{00000000-0005-0000-0000-00001C030000}"/>
    <cellStyle name="20% - Accent5 7 5" xfId="811" xr:uid="{00000000-0005-0000-0000-00001D030000}"/>
    <cellStyle name="20% - Accent5 7 6" xfId="812" xr:uid="{00000000-0005-0000-0000-00001E030000}"/>
    <cellStyle name="20% - Accent5 7 7" xfId="813" xr:uid="{00000000-0005-0000-0000-00001F030000}"/>
    <cellStyle name="20% - Accent5 7 8" xfId="814" xr:uid="{00000000-0005-0000-0000-000020030000}"/>
    <cellStyle name="20% - Accent5 7 9" xfId="815" xr:uid="{00000000-0005-0000-0000-000021030000}"/>
    <cellStyle name="20% - Accent5 8" xfId="816" xr:uid="{00000000-0005-0000-0000-000022030000}"/>
    <cellStyle name="20% - Accent5 8 10" xfId="817" xr:uid="{00000000-0005-0000-0000-000023030000}"/>
    <cellStyle name="20% - Accent5 8 11" xfId="818" xr:uid="{00000000-0005-0000-0000-000024030000}"/>
    <cellStyle name="20% - Accent5 8 12" xfId="819" xr:uid="{00000000-0005-0000-0000-000025030000}"/>
    <cellStyle name="20% - Accent5 8 13" xfId="820" xr:uid="{00000000-0005-0000-0000-000026030000}"/>
    <cellStyle name="20% - Accent5 8 2" xfId="821" xr:uid="{00000000-0005-0000-0000-000027030000}"/>
    <cellStyle name="20% - Accent5 8 2 2" xfId="822" xr:uid="{00000000-0005-0000-0000-000028030000}"/>
    <cellStyle name="20% - Accent5 8 3" xfId="823" xr:uid="{00000000-0005-0000-0000-000029030000}"/>
    <cellStyle name="20% - Accent5 8 3 2" xfId="824" xr:uid="{00000000-0005-0000-0000-00002A030000}"/>
    <cellStyle name="20% - Accent5 8 4" xfId="825" xr:uid="{00000000-0005-0000-0000-00002B030000}"/>
    <cellStyle name="20% - Accent5 8 5" xfId="826" xr:uid="{00000000-0005-0000-0000-00002C030000}"/>
    <cellStyle name="20% - Accent5 8 6" xfId="827" xr:uid="{00000000-0005-0000-0000-00002D030000}"/>
    <cellStyle name="20% - Accent5 8 7" xfId="828" xr:uid="{00000000-0005-0000-0000-00002E030000}"/>
    <cellStyle name="20% - Accent5 8 8" xfId="829" xr:uid="{00000000-0005-0000-0000-00002F030000}"/>
    <cellStyle name="20% - Accent5 8 9" xfId="830" xr:uid="{00000000-0005-0000-0000-000030030000}"/>
    <cellStyle name="20% - Accent5 9" xfId="831" xr:uid="{00000000-0005-0000-0000-000031030000}"/>
    <cellStyle name="20% - Accent5 9 10" xfId="832" xr:uid="{00000000-0005-0000-0000-000032030000}"/>
    <cellStyle name="20% - Accent5 9 11" xfId="833" xr:uid="{00000000-0005-0000-0000-000033030000}"/>
    <cellStyle name="20% - Accent5 9 12" xfId="834" xr:uid="{00000000-0005-0000-0000-000034030000}"/>
    <cellStyle name="20% - Accent5 9 2" xfId="835" xr:uid="{00000000-0005-0000-0000-000035030000}"/>
    <cellStyle name="20% - Accent5 9 2 2" xfId="836" xr:uid="{00000000-0005-0000-0000-000036030000}"/>
    <cellStyle name="20% - Accent5 9 3" xfId="837" xr:uid="{00000000-0005-0000-0000-000037030000}"/>
    <cellStyle name="20% - Accent5 9 4" xfId="838" xr:uid="{00000000-0005-0000-0000-000038030000}"/>
    <cellStyle name="20% - Accent5 9 5" xfId="839" xr:uid="{00000000-0005-0000-0000-000039030000}"/>
    <cellStyle name="20% - Accent5 9 6" xfId="840" xr:uid="{00000000-0005-0000-0000-00003A030000}"/>
    <cellStyle name="20% - Accent5 9 7" xfId="841" xr:uid="{00000000-0005-0000-0000-00003B030000}"/>
    <cellStyle name="20% - Accent5 9 8" xfId="842" xr:uid="{00000000-0005-0000-0000-00003C030000}"/>
    <cellStyle name="20% - Accent5 9 9" xfId="843" xr:uid="{00000000-0005-0000-0000-00003D030000}"/>
    <cellStyle name="20% - Accent6 10" xfId="844" xr:uid="{00000000-0005-0000-0000-00003E030000}"/>
    <cellStyle name="20% - Accent6 10 10" xfId="845" xr:uid="{00000000-0005-0000-0000-00003F030000}"/>
    <cellStyle name="20% - Accent6 10 11" xfId="846" xr:uid="{00000000-0005-0000-0000-000040030000}"/>
    <cellStyle name="20% - Accent6 10 2" xfId="847" xr:uid="{00000000-0005-0000-0000-000041030000}"/>
    <cellStyle name="20% - Accent6 10 3" xfId="848" xr:uid="{00000000-0005-0000-0000-000042030000}"/>
    <cellStyle name="20% - Accent6 10 4" xfId="849" xr:uid="{00000000-0005-0000-0000-000043030000}"/>
    <cellStyle name="20% - Accent6 10 5" xfId="850" xr:uid="{00000000-0005-0000-0000-000044030000}"/>
    <cellStyle name="20% - Accent6 10 6" xfId="851" xr:uid="{00000000-0005-0000-0000-000045030000}"/>
    <cellStyle name="20% - Accent6 10 7" xfId="852" xr:uid="{00000000-0005-0000-0000-000046030000}"/>
    <cellStyle name="20% - Accent6 10 8" xfId="853" xr:uid="{00000000-0005-0000-0000-000047030000}"/>
    <cellStyle name="20% - Accent6 10 9" xfId="854" xr:uid="{00000000-0005-0000-0000-000048030000}"/>
    <cellStyle name="20% - Accent6 11" xfId="855" xr:uid="{00000000-0005-0000-0000-000049030000}"/>
    <cellStyle name="20% - Accent6 11 2" xfId="856" xr:uid="{00000000-0005-0000-0000-00004A030000}"/>
    <cellStyle name="20% - Accent6 12" xfId="857" xr:uid="{00000000-0005-0000-0000-00004B030000}"/>
    <cellStyle name="20% - Accent6 13" xfId="858" xr:uid="{00000000-0005-0000-0000-00004C030000}"/>
    <cellStyle name="20% - Accent6 13 2" xfId="859" xr:uid="{00000000-0005-0000-0000-00004D030000}"/>
    <cellStyle name="20% - Accent6 13 3" xfId="860" xr:uid="{00000000-0005-0000-0000-00004E030000}"/>
    <cellStyle name="20% - Accent6 13 4" xfId="861" xr:uid="{00000000-0005-0000-0000-00004F030000}"/>
    <cellStyle name="20% - Accent6 14" xfId="862" xr:uid="{00000000-0005-0000-0000-000050030000}"/>
    <cellStyle name="20% - Accent6 14 2" xfId="863" xr:uid="{00000000-0005-0000-0000-000051030000}"/>
    <cellStyle name="20% - Accent6 14 3" xfId="864" xr:uid="{00000000-0005-0000-0000-000052030000}"/>
    <cellStyle name="20% - Accent6 14 4" xfId="865" xr:uid="{00000000-0005-0000-0000-000053030000}"/>
    <cellStyle name="20% - Accent6 15" xfId="866" xr:uid="{00000000-0005-0000-0000-000054030000}"/>
    <cellStyle name="20% - Accent6 15 2" xfId="867" xr:uid="{00000000-0005-0000-0000-000055030000}"/>
    <cellStyle name="20% - Accent6 15 3" xfId="868" xr:uid="{00000000-0005-0000-0000-000056030000}"/>
    <cellStyle name="20% - Accent6 15 4" xfId="869" xr:uid="{00000000-0005-0000-0000-000057030000}"/>
    <cellStyle name="20% - Accent6 16" xfId="870" xr:uid="{00000000-0005-0000-0000-000058030000}"/>
    <cellStyle name="20% - Accent6 16 2" xfId="871" xr:uid="{00000000-0005-0000-0000-000059030000}"/>
    <cellStyle name="20% - Accent6 16 3" xfId="872" xr:uid="{00000000-0005-0000-0000-00005A030000}"/>
    <cellStyle name="20% - Accent6 16 4" xfId="873" xr:uid="{00000000-0005-0000-0000-00005B030000}"/>
    <cellStyle name="20% - Accent6 17" xfId="874" xr:uid="{00000000-0005-0000-0000-00005C030000}"/>
    <cellStyle name="20% - Accent6 17 2" xfId="875" xr:uid="{00000000-0005-0000-0000-00005D030000}"/>
    <cellStyle name="20% - Accent6 17 3" xfId="876" xr:uid="{00000000-0005-0000-0000-00005E030000}"/>
    <cellStyle name="20% - Accent6 17 4" xfId="877" xr:uid="{00000000-0005-0000-0000-00005F030000}"/>
    <cellStyle name="20% - Accent6 18" xfId="878" xr:uid="{00000000-0005-0000-0000-000060030000}"/>
    <cellStyle name="20% - Accent6 18 2" xfId="879" xr:uid="{00000000-0005-0000-0000-000061030000}"/>
    <cellStyle name="20% - Accent6 18 3" xfId="880" xr:uid="{00000000-0005-0000-0000-000062030000}"/>
    <cellStyle name="20% - Accent6 18 4" xfId="881" xr:uid="{00000000-0005-0000-0000-000063030000}"/>
    <cellStyle name="20% - Accent6 19" xfId="882" xr:uid="{00000000-0005-0000-0000-000064030000}"/>
    <cellStyle name="20% - Accent6 2" xfId="883" xr:uid="{00000000-0005-0000-0000-000065030000}"/>
    <cellStyle name="20% - Accent6 20" xfId="884" xr:uid="{00000000-0005-0000-0000-000066030000}"/>
    <cellStyle name="20% - Accent6 21" xfId="885" xr:uid="{00000000-0005-0000-0000-000067030000}"/>
    <cellStyle name="20% - Accent6 3" xfId="886" xr:uid="{00000000-0005-0000-0000-000068030000}"/>
    <cellStyle name="20% - Accent6 4" xfId="887" xr:uid="{00000000-0005-0000-0000-000069030000}"/>
    <cellStyle name="20% - Accent6 5" xfId="888" xr:uid="{00000000-0005-0000-0000-00006A030000}"/>
    <cellStyle name="20% - Accent6 6" xfId="889" xr:uid="{00000000-0005-0000-0000-00006B030000}"/>
    <cellStyle name="20% - Accent6 6 10" xfId="890" xr:uid="{00000000-0005-0000-0000-00006C030000}"/>
    <cellStyle name="20% - Accent6 6 11" xfId="891" xr:uid="{00000000-0005-0000-0000-00006D030000}"/>
    <cellStyle name="20% - Accent6 6 12" xfId="892" xr:uid="{00000000-0005-0000-0000-00006E030000}"/>
    <cellStyle name="20% - Accent6 6 13" xfId="893" xr:uid="{00000000-0005-0000-0000-00006F030000}"/>
    <cellStyle name="20% - Accent6 6 14" xfId="894" xr:uid="{00000000-0005-0000-0000-000070030000}"/>
    <cellStyle name="20% - Accent6 6 15" xfId="895" xr:uid="{00000000-0005-0000-0000-000071030000}"/>
    <cellStyle name="20% - Accent6 6 2" xfId="896" xr:uid="{00000000-0005-0000-0000-000072030000}"/>
    <cellStyle name="20% - Accent6 6 2 10" xfId="897" xr:uid="{00000000-0005-0000-0000-000073030000}"/>
    <cellStyle name="20% - Accent6 6 2 11" xfId="898" xr:uid="{00000000-0005-0000-0000-000074030000}"/>
    <cellStyle name="20% - Accent6 6 2 12" xfId="899" xr:uid="{00000000-0005-0000-0000-000075030000}"/>
    <cellStyle name="20% - Accent6 6 2 13" xfId="900" xr:uid="{00000000-0005-0000-0000-000076030000}"/>
    <cellStyle name="20% - Accent6 6 2 2" xfId="901" xr:uid="{00000000-0005-0000-0000-000077030000}"/>
    <cellStyle name="20% - Accent6 6 2 2 2" xfId="902" xr:uid="{00000000-0005-0000-0000-000078030000}"/>
    <cellStyle name="20% - Accent6 6 2 3" xfId="903" xr:uid="{00000000-0005-0000-0000-000079030000}"/>
    <cellStyle name="20% - Accent6 6 2 3 2" xfId="904" xr:uid="{00000000-0005-0000-0000-00007A030000}"/>
    <cellStyle name="20% - Accent6 6 2 4" xfId="905" xr:uid="{00000000-0005-0000-0000-00007B030000}"/>
    <cellStyle name="20% - Accent6 6 2 5" xfId="906" xr:uid="{00000000-0005-0000-0000-00007C030000}"/>
    <cellStyle name="20% - Accent6 6 2 6" xfId="907" xr:uid="{00000000-0005-0000-0000-00007D030000}"/>
    <cellStyle name="20% - Accent6 6 2 7" xfId="908" xr:uid="{00000000-0005-0000-0000-00007E030000}"/>
    <cellStyle name="20% - Accent6 6 2 8" xfId="909" xr:uid="{00000000-0005-0000-0000-00007F030000}"/>
    <cellStyle name="20% - Accent6 6 2 9" xfId="910" xr:uid="{00000000-0005-0000-0000-000080030000}"/>
    <cellStyle name="20% - Accent6 6 3" xfId="911" xr:uid="{00000000-0005-0000-0000-000081030000}"/>
    <cellStyle name="20% - Accent6 6 3 10" xfId="912" xr:uid="{00000000-0005-0000-0000-000082030000}"/>
    <cellStyle name="20% - Accent6 6 3 11" xfId="913" xr:uid="{00000000-0005-0000-0000-000083030000}"/>
    <cellStyle name="20% - Accent6 6 3 2" xfId="914" xr:uid="{00000000-0005-0000-0000-000084030000}"/>
    <cellStyle name="20% - Accent6 6 3 3" xfId="915" xr:uid="{00000000-0005-0000-0000-000085030000}"/>
    <cellStyle name="20% - Accent6 6 3 4" xfId="916" xr:uid="{00000000-0005-0000-0000-000086030000}"/>
    <cellStyle name="20% - Accent6 6 3 5" xfId="917" xr:uid="{00000000-0005-0000-0000-000087030000}"/>
    <cellStyle name="20% - Accent6 6 3 6" xfId="918" xr:uid="{00000000-0005-0000-0000-000088030000}"/>
    <cellStyle name="20% - Accent6 6 3 7" xfId="919" xr:uid="{00000000-0005-0000-0000-000089030000}"/>
    <cellStyle name="20% - Accent6 6 3 8" xfId="920" xr:uid="{00000000-0005-0000-0000-00008A030000}"/>
    <cellStyle name="20% - Accent6 6 3 9" xfId="921" xr:uid="{00000000-0005-0000-0000-00008B030000}"/>
    <cellStyle name="20% - Accent6 6 4" xfId="922" xr:uid="{00000000-0005-0000-0000-00008C030000}"/>
    <cellStyle name="20% - Accent6 6 4 10" xfId="923" xr:uid="{00000000-0005-0000-0000-00008D030000}"/>
    <cellStyle name="20% - Accent6 6 4 11" xfId="924" xr:uid="{00000000-0005-0000-0000-00008E030000}"/>
    <cellStyle name="20% - Accent6 6 4 2" xfId="925" xr:uid="{00000000-0005-0000-0000-00008F030000}"/>
    <cellStyle name="20% - Accent6 6 4 3" xfId="926" xr:uid="{00000000-0005-0000-0000-000090030000}"/>
    <cellStyle name="20% - Accent6 6 4 4" xfId="927" xr:uid="{00000000-0005-0000-0000-000091030000}"/>
    <cellStyle name="20% - Accent6 6 4 5" xfId="928" xr:uid="{00000000-0005-0000-0000-000092030000}"/>
    <cellStyle name="20% - Accent6 6 4 6" xfId="929" xr:uid="{00000000-0005-0000-0000-000093030000}"/>
    <cellStyle name="20% - Accent6 6 4 7" xfId="930" xr:uid="{00000000-0005-0000-0000-000094030000}"/>
    <cellStyle name="20% - Accent6 6 4 8" xfId="931" xr:uid="{00000000-0005-0000-0000-000095030000}"/>
    <cellStyle name="20% - Accent6 6 4 9" xfId="932" xr:uid="{00000000-0005-0000-0000-000096030000}"/>
    <cellStyle name="20% - Accent6 6 5" xfId="933" xr:uid="{00000000-0005-0000-0000-000097030000}"/>
    <cellStyle name="20% - Accent6 6 5 10" xfId="934" xr:uid="{00000000-0005-0000-0000-000098030000}"/>
    <cellStyle name="20% - Accent6 6 5 11" xfId="935" xr:uid="{00000000-0005-0000-0000-000099030000}"/>
    <cellStyle name="20% - Accent6 6 5 2" xfId="936" xr:uid="{00000000-0005-0000-0000-00009A030000}"/>
    <cellStyle name="20% - Accent6 6 5 3" xfId="937" xr:uid="{00000000-0005-0000-0000-00009B030000}"/>
    <cellStyle name="20% - Accent6 6 5 4" xfId="938" xr:uid="{00000000-0005-0000-0000-00009C030000}"/>
    <cellStyle name="20% - Accent6 6 5 5" xfId="939" xr:uid="{00000000-0005-0000-0000-00009D030000}"/>
    <cellStyle name="20% - Accent6 6 5 6" xfId="940" xr:uid="{00000000-0005-0000-0000-00009E030000}"/>
    <cellStyle name="20% - Accent6 6 5 7" xfId="941" xr:uid="{00000000-0005-0000-0000-00009F030000}"/>
    <cellStyle name="20% - Accent6 6 5 8" xfId="942" xr:uid="{00000000-0005-0000-0000-0000A0030000}"/>
    <cellStyle name="20% - Accent6 6 5 9" xfId="943" xr:uid="{00000000-0005-0000-0000-0000A1030000}"/>
    <cellStyle name="20% - Accent6 6 6" xfId="944" xr:uid="{00000000-0005-0000-0000-0000A2030000}"/>
    <cellStyle name="20% - Accent6 6 7" xfId="945" xr:uid="{00000000-0005-0000-0000-0000A3030000}"/>
    <cellStyle name="20% - Accent6 6 8" xfId="946" xr:uid="{00000000-0005-0000-0000-0000A4030000}"/>
    <cellStyle name="20% - Accent6 6 9" xfId="947" xr:uid="{00000000-0005-0000-0000-0000A5030000}"/>
    <cellStyle name="20% - Accent6 7" xfId="948" xr:uid="{00000000-0005-0000-0000-0000A6030000}"/>
    <cellStyle name="20% - Accent6 7 10" xfId="949" xr:uid="{00000000-0005-0000-0000-0000A7030000}"/>
    <cellStyle name="20% - Accent6 7 11" xfId="950" xr:uid="{00000000-0005-0000-0000-0000A8030000}"/>
    <cellStyle name="20% - Accent6 7 12" xfId="951" xr:uid="{00000000-0005-0000-0000-0000A9030000}"/>
    <cellStyle name="20% - Accent6 7 13" xfId="952" xr:uid="{00000000-0005-0000-0000-0000AA030000}"/>
    <cellStyle name="20% - Accent6 7 14" xfId="953" xr:uid="{00000000-0005-0000-0000-0000AB030000}"/>
    <cellStyle name="20% - Accent6 7 2" xfId="954" xr:uid="{00000000-0005-0000-0000-0000AC030000}"/>
    <cellStyle name="20% - Accent6 7 2 10" xfId="955" xr:uid="{00000000-0005-0000-0000-0000AD030000}"/>
    <cellStyle name="20% - Accent6 7 2 11" xfId="956" xr:uid="{00000000-0005-0000-0000-0000AE030000}"/>
    <cellStyle name="20% - Accent6 7 2 2" xfId="957" xr:uid="{00000000-0005-0000-0000-0000AF030000}"/>
    <cellStyle name="20% - Accent6 7 2 3" xfId="958" xr:uid="{00000000-0005-0000-0000-0000B0030000}"/>
    <cellStyle name="20% - Accent6 7 2 4" xfId="959" xr:uid="{00000000-0005-0000-0000-0000B1030000}"/>
    <cellStyle name="20% - Accent6 7 2 5" xfId="960" xr:uid="{00000000-0005-0000-0000-0000B2030000}"/>
    <cellStyle name="20% - Accent6 7 2 6" xfId="961" xr:uid="{00000000-0005-0000-0000-0000B3030000}"/>
    <cellStyle name="20% - Accent6 7 2 7" xfId="962" xr:uid="{00000000-0005-0000-0000-0000B4030000}"/>
    <cellStyle name="20% - Accent6 7 2 8" xfId="963" xr:uid="{00000000-0005-0000-0000-0000B5030000}"/>
    <cellStyle name="20% - Accent6 7 2 9" xfId="964" xr:uid="{00000000-0005-0000-0000-0000B6030000}"/>
    <cellStyle name="20% - Accent6 7 3" xfId="965" xr:uid="{00000000-0005-0000-0000-0000B7030000}"/>
    <cellStyle name="20% - Accent6 7 3 10" xfId="966" xr:uid="{00000000-0005-0000-0000-0000B8030000}"/>
    <cellStyle name="20% - Accent6 7 3 11" xfId="967" xr:uid="{00000000-0005-0000-0000-0000B9030000}"/>
    <cellStyle name="20% - Accent6 7 3 2" xfId="968" xr:uid="{00000000-0005-0000-0000-0000BA030000}"/>
    <cellStyle name="20% - Accent6 7 3 3" xfId="969" xr:uid="{00000000-0005-0000-0000-0000BB030000}"/>
    <cellStyle name="20% - Accent6 7 3 4" xfId="970" xr:uid="{00000000-0005-0000-0000-0000BC030000}"/>
    <cellStyle name="20% - Accent6 7 3 5" xfId="971" xr:uid="{00000000-0005-0000-0000-0000BD030000}"/>
    <cellStyle name="20% - Accent6 7 3 6" xfId="972" xr:uid="{00000000-0005-0000-0000-0000BE030000}"/>
    <cellStyle name="20% - Accent6 7 3 7" xfId="973" xr:uid="{00000000-0005-0000-0000-0000BF030000}"/>
    <cellStyle name="20% - Accent6 7 3 8" xfId="974" xr:uid="{00000000-0005-0000-0000-0000C0030000}"/>
    <cellStyle name="20% - Accent6 7 3 9" xfId="975" xr:uid="{00000000-0005-0000-0000-0000C1030000}"/>
    <cellStyle name="20% - Accent6 7 4" xfId="976" xr:uid="{00000000-0005-0000-0000-0000C2030000}"/>
    <cellStyle name="20% - Accent6 7 5" xfId="977" xr:uid="{00000000-0005-0000-0000-0000C3030000}"/>
    <cellStyle name="20% - Accent6 7 6" xfId="978" xr:uid="{00000000-0005-0000-0000-0000C4030000}"/>
    <cellStyle name="20% - Accent6 7 7" xfId="979" xr:uid="{00000000-0005-0000-0000-0000C5030000}"/>
    <cellStyle name="20% - Accent6 7 8" xfId="980" xr:uid="{00000000-0005-0000-0000-0000C6030000}"/>
    <cellStyle name="20% - Accent6 7 9" xfId="981" xr:uid="{00000000-0005-0000-0000-0000C7030000}"/>
    <cellStyle name="20% - Accent6 8" xfId="982" xr:uid="{00000000-0005-0000-0000-0000C8030000}"/>
    <cellStyle name="20% - Accent6 8 10" xfId="983" xr:uid="{00000000-0005-0000-0000-0000C9030000}"/>
    <cellStyle name="20% - Accent6 8 11" xfId="984" xr:uid="{00000000-0005-0000-0000-0000CA030000}"/>
    <cellStyle name="20% - Accent6 8 12" xfId="985" xr:uid="{00000000-0005-0000-0000-0000CB030000}"/>
    <cellStyle name="20% - Accent6 8 13" xfId="986" xr:uid="{00000000-0005-0000-0000-0000CC030000}"/>
    <cellStyle name="20% - Accent6 8 2" xfId="987" xr:uid="{00000000-0005-0000-0000-0000CD030000}"/>
    <cellStyle name="20% - Accent6 8 2 2" xfId="988" xr:uid="{00000000-0005-0000-0000-0000CE030000}"/>
    <cellStyle name="20% - Accent6 8 3" xfId="989" xr:uid="{00000000-0005-0000-0000-0000CF030000}"/>
    <cellStyle name="20% - Accent6 8 3 2" xfId="990" xr:uid="{00000000-0005-0000-0000-0000D0030000}"/>
    <cellStyle name="20% - Accent6 8 4" xfId="991" xr:uid="{00000000-0005-0000-0000-0000D1030000}"/>
    <cellStyle name="20% - Accent6 8 5" xfId="992" xr:uid="{00000000-0005-0000-0000-0000D2030000}"/>
    <cellStyle name="20% - Accent6 8 6" xfId="993" xr:uid="{00000000-0005-0000-0000-0000D3030000}"/>
    <cellStyle name="20% - Accent6 8 7" xfId="994" xr:uid="{00000000-0005-0000-0000-0000D4030000}"/>
    <cellStyle name="20% - Accent6 8 8" xfId="995" xr:uid="{00000000-0005-0000-0000-0000D5030000}"/>
    <cellStyle name="20% - Accent6 8 9" xfId="996" xr:uid="{00000000-0005-0000-0000-0000D6030000}"/>
    <cellStyle name="20% - Accent6 9" xfId="997" xr:uid="{00000000-0005-0000-0000-0000D7030000}"/>
    <cellStyle name="20% - Accent6 9 10" xfId="998" xr:uid="{00000000-0005-0000-0000-0000D8030000}"/>
    <cellStyle name="20% - Accent6 9 11" xfId="999" xr:uid="{00000000-0005-0000-0000-0000D9030000}"/>
    <cellStyle name="20% - Accent6 9 12" xfId="1000" xr:uid="{00000000-0005-0000-0000-0000DA030000}"/>
    <cellStyle name="20% - Accent6 9 2" xfId="1001" xr:uid="{00000000-0005-0000-0000-0000DB030000}"/>
    <cellStyle name="20% - Accent6 9 2 2" xfId="1002" xr:uid="{00000000-0005-0000-0000-0000DC030000}"/>
    <cellStyle name="20% - Accent6 9 3" xfId="1003" xr:uid="{00000000-0005-0000-0000-0000DD030000}"/>
    <cellStyle name="20% - Accent6 9 4" xfId="1004" xr:uid="{00000000-0005-0000-0000-0000DE030000}"/>
    <cellStyle name="20% - Accent6 9 5" xfId="1005" xr:uid="{00000000-0005-0000-0000-0000DF030000}"/>
    <cellStyle name="20% - Accent6 9 6" xfId="1006" xr:uid="{00000000-0005-0000-0000-0000E0030000}"/>
    <cellStyle name="20% - Accent6 9 7" xfId="1007" xr:uid="{00000000-0005-0000-0000-0000E1030000}"/>
    <cellStyle name="20% - Accent6 9 8" xfId="1008" xr:uid="{00000000-0005-0000-0000-0000E2030000}"/>
    <cellStyle name="20% - Accent6 9 9" xfId="1009" xr:uid="{00000000-0005-0000-0000-0000E3030000}"/>
    <cellStyle name="40% - Accent1 10" xfId="1010" xr:uid="{00000000-0005-0000-0000-0000E4030000}"/>
    <cellStyle name="40% - Accent1 10 10" xfId="1011" xr:uid="{00000000-0005-0000-0000-0000E5030000}"/>
    <cellStyle name="40% - Accent1 10 11" xfId="1012" xr:uid="{00000000-0005-0000-0000-0000E6030000}"/>
    <cellStyle name="40% - Accent1 10 2" xfId="1013" xr:uid="{00000000-0005-0000-0000-0000E7030000}"/>
    <cellStyle name="40% - Accent1 10 3" xfId="1014" xr:uid="{00000000-0005-0000-0000-0000E8030000}"/>
    <cellStyle name="40% - Accent1 10 4" xfId="1015" xr:uid="{00000000-0005-0000-0000-0000E9030000}"/>
    <cellStyle name="40% - Accent1 10 5" xfId="1016" xr:uid="{00000000-0005-0000-0000-0000EA030000}"/>
    <cellStyle name="40% - Accent1 10 6" xfId="1017" xr:uid="{00000000-0005-0000-0000-0000EB030000}"/>
    <cellStyle name="40% - Accent1 10 7" xfId="1018" xr:uid="{00000000-0005-0000-0000-0000EC030000}"/>
    <cellStyle name="40% - Accent1 10 8" xfId="1019" xr:uid="{00000000-0005-0000-0000-0000ED030000}"/>
    <cellStyle name="40% - Accent1 10 9" xfId="1020" xr:uid="{00000000-0005-0000-0000-0000EE030000}"/>
    <cellStyle name="40% - Accent1 11" xfId="1021" xr:uid="{00000000-0005-0000-0000-0000EF030000}"/>
    <cellStyle name="40% - Accent1 11 2" xfId="1022" xr:uid="{00000000-0005-0000-0000-0000F0030000}"/>
    <cellStyle name="40% - Accent1 12" xfId="1023" xr:uid="{00000000-0005-0000-0000-0000F1030000}"/>
    <cellStyle name="40% - Accent1 13" xfId="1024" xr:uid="{00000000-0005-0000-0000-0000F2030000}"/>
    <cellStyle name="40% - Accent1 13 2" xfId="1025" xr:uid="{00000000-0005-0000-0000-0000F3030000}"/>
    <cellStyle name="40% - Accent1 13 3" xfId="1026" xr:uid="{00000000-0005-0000-0000-0000F4030000}"/>
    <cellStyle name="40% - Accent1 13 4" xfId="1027" xr:uid="{00000000-0005-0000-0000-0000F5030000}"/>
    <cellStyle name="40% - Accent1 14" xfId="1028" xr:uid="{00000000-0005-0000-0000-0000F6030000}"/>
    <cellStyle name="40% - Accent1 14 2" xfId="1029" xr:uid="{00000000-0005-0000-0000-0000F7030000}"/>
    <cellStyle name="40% - Accent1 14 3" xfId="1030" xr:uid="{00000000-0005-0000-0000-0000F8030000}"/>
    <cellStyle name="40% - Accent1 14 4" xfId="1031" xr:uid="{00000000-0005-0000-0000-0000F9030000}"/>
    <cellStyle name="40% - Accent1 15" xfId="1032" xr:uid="{00000000-0005-0000-0000-0000FA030000}"/>
    <cellStyle name="40% - Accent1 15 2" xfId="1033" xr:uid="{00000000-0005-0000-0000-0000FB030000}"/>
    <cellStyle name="40% - Accent1 15 3" xfId="1034" xr:uid="{00000000-0005-0000-0000-0000FC030000}"/>
    <cellStyle name="40% - Accent1 15 4" xfId="1035" xr:uid="{00000000-0005-0000-0000-0000FD030000}"/>
    <cellStyle name="40% - Accent1 16" xfId="1036" xr:uid="{00000000-0005-0000-0000-0000FE030000}"/>
    <cellStyle name="40% - Accent1 16 2" xfId="1037" xr:uid="{00000000-0005-0000-0000-0000FF030000}"/>
    <cellStyle name="40% - Accent1 16 3" xfId="1038" xr:uid="{00000000-0005-0000-0000-000000040000}"/>
    <cellStyle name="40% - Accent1 16 4" xfId="1039" xr:uid="{00000000-0005-0000-0000-000001040000}"/>
    <cellStyle name="40% - Accent1 17" xfId="1040" xr:uid="{00000000-0005-0000-0000-000002040000}"/>
    <cellStyle name="40% - Accent1 17 2" xfId="1041" xr:uid="{00000000-0005-0000-0000-000003040000}"/>
    <cellStyle name="40% - Accent1 17 3" xfId="1042" xr:uid="{00000000-0005-0000-0000-000004040000}"/>
    <cellStyle name="40% - Accent1 17 4" xfId="1043" xr:uid="{00000000-0005-0000-0000-000005040000}"/>
    <cellStyle name="40% - Accent1 18" xfId="1044" xr:uid="{00000000-0005-0000-0000-000006040000}"/>
    <cellStyle name="40% - Accent1 18 2" xfId="1045" xr:uid="{00000000-0005-0000-0000-000007040000}"/>
    <cellStyle name="40% - Accent1 18 3" xfId="1046" xr:uid="{00000000-0005-0000-0000-000008040000}"/>
    <cellStyle name="40% - Accent1 18 4" xfId="1047" xr:uid="{00000000-0005-0000-0000-000009040000}"/>
    <cellStyle name="40% - Accent1 19" xfId="1048" xr:uid="{00000000-0005-0000-0000-00000A040000}"/>
    <cellStyle name="40% - Accent1 2" xfId="1049" xr:uid="{00000000-0005-0000-0000-00000B040000}"/>
    <cellStyle name="40% - Accent1 20" xfId="1050" xr:uid="{00000000-0005-0000-0000-00000C040000}"/>
    <cellStyle name="40% - Accent1 21" xfId="1051" xr:uid="{00000000-0005-0000-0000-00000D040000}"/>
    <cellStyle name="40% - Accent1 3" xfId="1052" xr:uid="{00000000-0005-0000-0000-00000E040000}"/>
    <cellStyle name="40% - Accent1 4" xfId="1053" xr:uid="{00000000-0005-0000-0000-00000F040000}"/>
    <cellStyle name="40% - Accent1 5" xfId="1054" xr:uid="{00000000-0005-0000-0000-000010040000}"/>
    <cellStyle name="40% - Accent1 6" xfId="1055" xr:uid="{00000000-0005-0000-0000-000011040000}"/>
    <cellStyle name="40% - Accent1 6 10" xfId="1056" xr:uid="{00000000-0005-0000-0000-000012040000}"/>
    <cellStyle name="40% - Accent1 6 11" xfId="1057" xr:uid="{00000000-0005-0000-0000-000013040000}"/>
    <cellStyle name="40% - Accent1 6 12" xfId="1058" xr:uid="{00000000-0005-0000-0000-000014040000}"/>
    <cellStyle name="40% - Accent1 6 13" xfId="1059" xr:uid="{00000000-0005-0000-0000-000015040000}"/>
    <cellStyle name="40% - Accent1 6 14" xfId="1060" xr:uid="{00000000-0005-0000-0000-000016040000}"/>
    <cellStyle name="40% - Accent1 6 15" xfId="1061" xr:uid="{00000000-0005-0000-0000-000017040000}"/>
    <cellStyle name="40% - Accent1 6 2" xfId="1062" xr:uid="{00000000-0005-0000-0000-000018040000}"/>
    <cellStyle name="40% - Accent1 6 2 10" xfId="1063" xr:uid="{00000000-0005-0000-0000-000019040000}"/>
    <cellStyle name="40% - Accent1 6 2 11" xfId="1064" xr:uid="{00000000-0005-0000-0000-00001A040000}"/>
    <cellStyle name="40% - Accent1 6 2 12" xfId="1065" xr:uid="{00000000-0005-0000-0000-00001B040000}"/>
    <cellStyle name="40% - Accent1 6 2 13" xfId="1066" xr:uid="{00000000-0005-0000-0000-00001C040000}"/>
    <cellStyle name="40% - Accent1 6 2 2" xfId="1067" xr:uid="{00000000-0005-0000-0000-00001D040000}"/>
    <cellStyle name="40% - Accent1 6 2 2 2" xfId="1068" xr:uid="{00000000-0005-0000-0000-00001E040000}"/>
    <cellStyle name="40% - Accent1 6 2 3" xfId="1069" xr:uid="{00000000-0005-0000-0000-00001F040000}"/>
    <cellStyle name="40% - Accent1 6 2 3 2" xfId="1070" xr:uid="{00000000-0005-0000-0000-000020040000}"/>
    <cellStyle name="40% - Accent1 6 2 4" xfId="1071" xr:uid="{00000000-0005-0000-0000-000021040000}"/>
    <cellStyle name="40% - Accent1 6 2 5" xfId="1072" xr:uid="{00000000-0005-0000-0000-000022040000}"/>
    <cellStyle name="40% - Accent1 6 2 6" xfId="1073" xr:uid="{00000000-0005-0000-0000-000023040000}"/>
    <cellStyle name="40% - Accent1 6 2 7" xfId="1074" xr:uid="{00000000-0005-0000-0000-000024040000}"/>
    <cellStyle name="40% - Accent1 6 2 8" xfId="1075" xr:uid="{00000000-0005-0000-0000-000025040000}"/>
    <cellStyle name="40% - Accent1 6 2 9" xfId="1076" xr:uid="{00000000-0005-0000-0000-000026040000}"/>
    <cellStyle name="40% - Accent1 6 3" xfId="1077" xr:uid="{00000000-0005-0000-0000-000027040000}"/>
    <cellStyle name="40% - Accent1 6 3 10" xfId="1078" xr:uid="{00000000-0005-0000-0000-000028040000}"/>
    <cellStyle name="40% - Accent1 6 3 11" xfId="1079" xr:uid="{00000000-0005-0000-0000-000029040000}"/>
    <cellStyle name="40% - Accent1 6 3 2" xfId="1080" xr:uid="{00000000-0005-0000-0000-00002A040000}"/>
    <cellStyle name="40% - Accent1 6 3 3" xfId="1081" xr:uid="{00000000-0005-0000-0000-00002B040000}"/>
    <cellStyle name="40% - Accent1 6 3 4" xfId="1082" xr:uid="{00000000-0005-0000-0000-00002C040000}"/>
    <cellStyle name="40% - Accent1 6 3 5" xfId="1083" xr:uid="{00000000-0005-0000-0000-00002D040000}"/>
    <cellStyle name="40% - Accent1 6 3 6" xfId="1084" xr:uid="{00000000-0005-0000-0000-00002E040000}"/>
    <cellStyle name="40% - Accent1 6 3 7" xfId="1085" xr:uid="{00000000-0005-0000-0000-00002F040000}"/>
    <cellStyle name="40% - Accent1 6 3 8" xfId="1086" xr:uid="{00000000-0005-0000-0000-000030040000}"/>
    <cellStyle name="40% - Accent1 6 3 9" xfId="1087" xr:uid="{00000000-0005-0000-0000-000031040000}"/>
    <cellStyle name="40% - Accent1 6 4" xfId="1088" xr:uid="{00000000-0005-0000-0000-000032040000}"/>
    <cellStyle name="40% - Accent1 6 4 10" xfId="1089" xr:uid="{00000000-0005-0000-0000-000033040000}"/>
    <cellStyle name="40% - Accent1 6 4 11" xfId="1090" xr:uid="{00000000-0005-0000-0000-000034040000}"/>
    <cellStyle name="40% - Accent1 6 4 2" xfId="1091" xr:uid="{00000000-0005-0000-0000-000035040000}"/>
    <cellStyle name="40% - Accent1 6 4 3" xfId="1092" xr:uid="{00000000-0005-0000-0000-000036040000}"/>
    <cellStyle name="40% - Accent1 6 4 4" xfId="1093" xr:uid="{00000000-0005-0000-0000-000037040000}"/>
    <cellStyle name="40% - Accent1 6 4 5" xfId="1094" xr:uid="{00000000-0005-0000-0000-000038040000}"/>
    <cellStyle name="40% - Accent1 6 4 6" xfId="1095" xr:uid="{00000000-0005-0000-0000-000039040000}"/>
    <cellStyle name="40% - Accent1 6 4 7" xfId="1096" xr:uid="{00000000-0005-0000-0000-00003A040000}"/>
    <cellStyle name="40% - Accent1 6 4 8" xfId="1097" xr:uid="{00000000-0005-0000-0000-00003B040000}"/>
    <cellStyle name="40% - Accent1 6 4 9" xfId="1098" xr:uid="{00000000-0005-0000-0000-00003C040000}"/>
    <cellStyle name="40% - Accent1 6 5" xfId="1099" xr:uid="{00000000-0005-0000-0000-00003D040000}"/>
    <cellStyle name="40% - Accent1 6 5 10" xfId="1100" xr:uid="{00000000-0005-0000-0000-00003E040000}"/>
    <cellStyle name="40% - Accent1 6 5 11" xfId="1101" xr:uid="{00000000-0005-0000-0000-00003F040000}"/>
    <cellStyle name="40% - Accent1 6 5 2" xfId="1102" xr:uid="{00000000-0005-0000-0000-000040040000}"/>
    <cellStyle name="40% - Accent1 6 5 3" xfId="1103" xr:uid="{00000000-0005-0000-0000-000041040000}"/>
    <cellStyle name="40% - Accent1 6 5 4" xfId="1104" xr:uid="{00000000-0005-0000-0000-000042040000}"/>
    <cellStyle name="40% - Accent1 6 5 5" xfId="1105" xr:uid="{00000000-0005-0000-0000-000043040000}"/>
    <cellStyle name="40% - Accent1 6 5 6" xfId="1106" xr:uid="{00000000-0005-0000-0000-000044040000}"/>
    <cellStyle name="40% - Accent1 6 5 7" xfId="1107" xr:uid="{00000000-0005-0000-0000-000045040000}"/>
    <cellStyle name="40% - Accent1 6 5 8" xfId="1108" xr:uid="{00000000-0005-0000-0000-000046040000}"/>
    <cellStyle name="40% - Accent1 6 5 9" xfId="1109" xr:uid="{00000000-0005-0000-0000-000047040000}"/>
    <cellStyle name="40% - Accent1 6 6" xfId="1110" xr:uid="{00000000-0005-0000-0000-000048040000}"/>
    <cellStyle name="40% - Accent1 6 7" xfId="1111" xr:uid="{00000000-0005-0000-0000-000049040000}"/>
    <cellStyle name="40% - Accent1 6 8" xfId="1112" xr:uid="{00000000-0005-0000-0000-00004A040000}"/>
    <cellStyle name="40% - Accent1 6 9" xfId="1113" xr:uid="{00000000-0005-0000-0000-00004B040000}"/>
    <cellStyle name="40% - Accent1 7" xfId="1114" xr:uid="{00000000-0005-0000-0000-00004C040000}"/>
    <cellStyle name="40% - Accent1 7 10" xfId="1115" xr:uid="{00000000-0005-0000-0000-00004D040000}"/>
    <cellStyle name="40% - Accent1 7 11" xfId="1116" xr:uid="{00000000-0005-0000-0000-00004E040000}"/>
    <cellStyle name="40% - Accent1 7 12" xfId="1117" xr:uid="{00000000-0005-0000-0000-00004F040000}"/>
    <cellStyle name="40% - Accent1 7 13" xfId="1118" xr:uid="{00000000-0005-0000-0000-000050040000}"/>
    <cellStyle name="40% - Accent1 7 14" xfId="1119" xr:uid="{00000000-0005-0000-0000-000051040000}"/>
    <cellStyle name="40% - Accent1 7 2" xfId="1120" xr:uid="{00000000-0005-0000-0000-000052040000}"/>
    <cellStyle name="40% - Accent1 7 2 10" xfId="1121" xr:uid="{00000000-0005-0000-0000-000053040000}"/>
    <cellStyle name="40% - Accent1 7 2 11" xfId="1122" xr:uid="{00000000-0005-0000-0000-000054040000}"/>
    <cellStyle name="40% - Accent1 7 2 2" xfId="1123" xr:uid="{00000000-0005-0000-0000-000055040000}"/>
    <cellStyle name="40% - Accent1 7 2 3" xfId="1124" xr:uid="{00000000-0005-0000-0000-000056040000}"/>
    <cellStyle name="40% - Accent1 7 2 4" xfId="1125" xr:uid="{00000000-0005-0000-0000-000057040000}"/>
    <cellStyle name="40% - Accent1 7 2 5" xfId="1126" xr:uid="{00000000-0005-0000-0000-000058040000}"/>
    <cellStyle name="40% - Accent1 7 2 6" xfId="1127" xr:uid="{00000000-0005-0000-0000-000059040000}"/>
    <cellStyle name="40% - Accent1 7 2 7" xfId="1128" xr:uid="{00000000-0005-0000-0000-00005A040000}"/>
    <cellStyle name="40% - Accent1 7 2 8" xfId="1129" xr:uid="{00000000-0005-0000-0000-00005B040000}"/>
    <cellStyle name="40% - Accent1 7 2 9" xfId="1130" xr:uid="{00000000-0005-0000-0000-00005C040000}"/>
    <cellStyle name="40% - Accent1 7 3" xfId="1131" xr:uid="{00000000-0005-0000-0000-00005D040000}"/>
    <cellStyle name="40% - Accent1 7 3 10" xfId="1132" xr:uid="{00000000-0005-0000-0000-00005E040000}"/>
    <cellStyle name="40% - Accent1 7 3 11" xfId="1133" xr:uid="{00000000-0005-0000-0000-00005F040000}"/>
    <cellStyle name="40% - Accent1 7 3 2" xfId="1134" xr:uid="{00000000-0005-0000-0000-000060040000}"/>
    <cellStyle name="40% - Accent1 7 3 3" xfId="1135" xr:uid="{00000000-0005-0000-0000-000061040000}"/>
    <cellStyle name="40% - Accent1 7 3 4" xfId="1136" xr:uid="{00000000-0005-0000-0000-000062040000}"/>
    <cellStyle name="40% - Accent1 7 3 5" xfId="1137" xr:uid="{00000000-0005-0000-0000-000063040000}"/>
    <cellStyle name="40% - Accent1 7 3 6" xfId="1138" xr:uid="{00000000-0005-0000-0000-000064040000}"/>
    <cellStyle name="40% - Accent1 7 3 7" xfId="1139" xr:uid="{00000000-0005-0000-0000-000065040000}"/>
    <cellStyle name="40% - Accent1 7 3 8" xfId="1140" xr:uid="{00000000-0005-0000-0000-000066040000}"/>
    <cellStyle name="40% - Accent1 7 3 9" xfId="1141" xr:uid="{00000000-0005-0000-0000-000067040000}"/>
    <cellStyle name="40% - Accent1 7 4" xfId="1142" xr:uid="{00000000-0005-0000-0000-000068040000}"/>
    <cellStyle name="40% - Accent1 7 5" xfId="1143" xr:uid="{00000000-0005-0000-0000-000069040000}"/>
    <cellStyle name="40% - Accent1 7 6" xfId="1144" xr:uid="{00000000-0005-0000-0000-00006A040000}"/>
    <cellStyle name="40% - Accent1 7 7" xfId="1145" xr:uid="{00000000-0005-0000-0000-00006B040000}"/>
    <cellStyle name="40% - Accent1 7 8" xfId="1146" xr:uid="{00000000-0005-0000-0000-00006C040000}"/>
    <cellStyle name="40% - Accent1 7 9" xfId="1147" xr:uid="{00000000-0005-0000-0000-00006D040000}"/>
    <cellStyle name="40% - Accent1 8" xfId="1148" xr:uid="{00000000-0005-0000-0000-00006E040000}"/>
    <cellStyle name="40% - Accent1 8 10" xfId="1149" xr:uid="{00000000-0005-0000-0000-00006F040000}"/>
    <cellStyle name="40% - Accent1 8 11" xfId="1150" xr:uid="{00000000-0005-0000-0000-000070040000}"/>
    <cellStyle name="40% - Accent1 8 12" xfId="1151" xr:uid="{00000000-0005-0000-0000-000071040000}"/>
    <cellStyle name="40% - Accent1 8 13" xfId="1152" xr:uid="{00000000-0005-0000-0000-000072040000}"/>
    <cellStyle name="40% - Accent1 8 2" xfId="1153" xr:uid="{00000000-0005-0000-0000-000073040000}"/>
    <cellStyle name="40% - Accent1 8 2 2" xfId="1154" xr:uid="{00000000-0005-0000-0000-000074040000}"/>
    <cellStyle name="40% - Accent1 8 3" xfId="1155" xr:uid="{00000000-0005-0000-0000-000075040000}"/>
    <cellStyle name="40% - Accent1 8 3 2" xfId="1156" xr:uid="{00000000-0005-0000-0000-000076040000}"/>
    <cellStyle name="40% - Accent1 8 4" xfId="1157" xr:uid="{00000000-0005-0000-0000-000077040000}"/>
    <cellStyle name="40% - Accent1 8 5" xfId="1158" xr:uid="{00000000-0005-0000-0000-000078040000}"/>
    <cellStyle name="40% - Accent1 8 6" xfId="1159" xr:uid="{00000000-0005-0000-0000-000079040000}"/>
    <cellStyle name="40% - Accent1 8 7" xfId="1160" xr:uid="{00000000-0005-0000-0000-00007A040000}"/>
    <cellStyle name="40% - Accent1 8 8" xfId="1161" xr:uid="{00000000-0005-0000-0000-00007B040000}"/>
    <cellStyle name="40% - Accent1 8 9" xfId="1162" xr:uid="{00000000-0005-0000-0000-00007C040000}"/>
    <cellStyle name="40% - Accent1 9" xfId="1163" xr:uid="{00000000-0005-0000-0000-00007D040000}"/>
    <cellStyle name="40% - Accent1 9 10" xfId="1164" xr:uid="{00000000-0005-0000-0000-00007E040000}"/>
    <cellStyle name="40% - Accent1 9 11" xfId="1165" xr:uid="{00000000-0005-0000-0000-00007F040000}"/>
    <cellStyle name="40% - Accent1 9 12" xfId="1166" xr:uid="{00000000-0005-0000-0000-000080040000}"/>
    <cellStyle name="40% - Accent1 9 2" xfId="1167" xr:uid="{00000000-0005-0000-0000-000081040000}"/>
    <cellStyle name="40% - Accent1 9 2 2" xfId="1168" xr:uid="{00000000-0005-0000-0000-000082040000}"/>
    <cellStyle name="40% - Accent1 9 3" xfId="1169" xr:uid="{00000000-0005-0000-0000-000083040000}"/>
    <cellStyle name="40% - Accent1 9 4" xfId="1170" xr:uid="{00000000-0005-0000-0000-000084040000}"/>
    <cellStyle name="40% - Accent1 9 5" xfId="1171" xr:uid="{00000000-0005-0000-0000-000085040000}"/>
    <cellStyle name="40% - Accent1 9 6" xfId="1172" xr:uid="{00000000-0005-0000-0000-000086040000}"/>
    <cellStyle name="40% - Accent1 9 7" xfId="1173" xr:uid="{00000000-0005-0000-0000-000087040000}"/>
    <cellStyle name="40% - Accent1 9 8" xfId="1174" xr:uid="{00000000-0005-0000-0000-000088040000}"/>
    <cellStyle name="40% - Accent1 9 9" xfId="1175" xr:uid="{00000000-0005-0000-0000-000089040000}"/>
    <cellStyle name="40% - Accent2 10" xfId="1176" xr:uid="{00000000-0005-0000-0000-00008A040000}"/>
    <cellStyle name="40% - Accent2 10 10" xfId="1177" xr:uid="{00000000-0005-0000-0000-00008B040000}"/>
    <cellStyle name="40% - Accent2 10 11" xfId="1178" xr:uid="{00000000-0005-0000-0000-00008C040000}"/>
    <cellStyle name="40% - Accent2 10 2" xfId="1179" xr:uid="{00000000-0005-0000-0000-00008D040000}"/>
    <cellStyle name="40% - Accent2 10 3" xfId="1180" xr:uid="{00000000-0005-0000-0000-00008E040000}"/>
    <cellStyle name="40% - Accent2 10 4" xfId="1181" xr:uid="{00000000-0005-0000-0000-00008F040000}"/>
    <cellStyle name="40% - Accent2 10 5" xfId="1182" xr:uid="{00000000-0005-0000-0000-000090040000}"/>
    <cellStyle name="40% - Accent2 10 6" xfId="1183" xr:uid="{00000000-0005-0000-0000-000091040000}"/>
    <cellStyle name="40% - Accent2 10 7" xfId="1184" xr:uid="{00000000-0005-0000-0000-000092040000}"/>
    <cellStyle name="40% - Accent2 10 8" xfId="1185" xr:uid="{00000000-0005-0000-0000-000093040000}"/>
    <cellStyle name="40% - Accent2 10 9" xfId="1186" xr:uid="{00000000-0005-0000-0000-000094040000}"/>
    <cellStyle name="40% - Accent2 11" xfId="1187" xr:uid="{00000000-0005-0000-0000-000095040000}"/>
    <cellStyle name="40% - Accent2 11 2" xfId="1188" xr:uid="{00000000-0005-0000-0000-000096040000}"/>
    <cellStyle name="40% - Accent2 12" xfId="1189" xr:uid="{00000000-0005-0000-0000-000097040000}"/>
    <cellStyle name="40% - Accent2 13" xfId="1190" xr:uid="{00000000-0005-0000-0000-000098040000}"/>
    <cellStyle name="40% - Accent2 13 2" xfId="1191" xr:uid="{00000000-0005-0000-0000-000099040000}"/>
    <cellStyle name="40% - Accent2 13 3" xfId="1192" xr:uid="{00000000-0005-0000-0000-00009A040000}"/>
    <cellStyle name="40% - Accent2 13 4" xfId="1193" xr:uid="{00000000-0005-0000-0000-00009B040000}"/>
    <cellStyle name="40% - Accent2 14" xfId="1194" xr:uid="{00000000-0005-0000-0000-00009C040000}"/>
    <cellStyle name="40% - Accent2 14 2" xfId="1195" xr:uid="{00000000-0005-0000-0000-00009D040000}"/>
    <cellStyle name="40% - Accent2 14 3" xfId="1196" xr:uid="{00000000-0005-0000-0000-00009E040000}"/>
    <cellStyle name="40% - Accent2 14 4" xfId="1197" xr:uid="{00000000-0005-0000-0000-00009F040000}"/>
    <cellStyle name="40% - Accent2 15" xfId="1198" xr:uid="{00000000-0005-0000-0000-0000A0040000}"/>
    <cellStyle name="40% - Accent2 15 2" xfId="1199" xr:uid="{00000000-0005-0000-0000-0000A1040000}"/>
    <cellStyle name="40% - Accent2 15 3" xfId="1200" xr:uid="{00000000-0005-0000-0000-0000A2040000}"/>
    <cellStyle name="40% - Accent2 15 4" xfId="1201" xr:uid="{00000000-0005-0000-0000-0000A3040000}"/>
    <cellStyle name="40% - Accent2 16" xfId="1202" xr:uid="{00000000-0005-0000-0000-0000A4040000}"/>
    <cellStyle name="40% - Accent2 16 2" xfId="1203" xr:uid="{00000000-0005-0000-0000-0000A5040000}"/>
    <cellStyle name="40% - Accent2 16 3" xfId="1204" xr:uid="{00000000-0005-0000-0000-0000A6040000}"/>
    <cellStyle name="40% - Accent2 16 4" xfId="1205" xr:uid="{00000000-0005-0000-0000-0000A7040000}"/>
    <cellStyle name="40% - Accent2 17" xfId="1206" xr:uid="{00000000-0005-0000-0000-0000A8040000}"/>
    <cellStyle name="40% - Accent2 17 2" xfId="1207" xr:uid="{00000000-0005-0000-0000-0000A9040000}"/>
    <cellStyle name="40% - Accent2 17 3" xfId="1208" xr:uid="{00000000-0005-0000-0000-0000AA040000}"/>
    <cellStyle name="40% - Accent2 17 4" xfId="1209" xr:uid="{00000000-0005-0000-0000-0000AB040000}"/>
    <cellStyle name="40% - Accent2 18" xfId="1210" xr:uid="{00000000-0005-0000-0000-0000AC040000}"/>
    <cellStyle name="40% - Accent2 18 2" xfId="1211" xr:uid="{00000000-0005-0000-0000-0000AD040000}"/>
    <cellStyle name="40% - Accent2 18 3" xfId="1212" xr:uid="{00000000-0005-0000-0000-0000AE040000}"/>
    <cellStyle name="40% - Accent2 18 4" xfId="1213" xr:uid="{00000000-0005-0000-0000-0000AF040000}"/>
    <cellStyle name="40% - Accent2 19" xfId="1214" xr:uid="{00000000-0005-0000-0000-0000B0040000}"/>
    <cellStyle name="40% - Accent2 2" xfId="1215" xr:uid="{00000000-0005-0000-0000-0000B1040000}"/>
    <cellStyle name="40% - Accent2 20" xfId="1216" xr:uid="{00000000-0005-0000-0000-0000B2040000}"/>
    <cellStyle name="40% - Accent2 21" xfId="1217" xr:uid="{00000000-0005-0000-0000-0000B3040000}"/>
    <cellStyle name="40% - Accent2 3" xfId="1218" xr:uid="{00000000-0005-0000-0000-0000B4040000}"/>
    <cellStyle name="40% - Accent2 4" xfId="1219" xr:uid="{00000000-0005-0000-0000-0000B5040000}"/>
    <cellStyle name="40% - Accent2 5" xfId="1220" xr:uid="{00000000-0005-0000-0000-0000B6040000}"/>
    <cellStyle name="40% - Accent2 6" xfId="1221" xr:uid="{00000000-0005-0000-0000-0000B7040000}"/>
    <cellStyle name="40% - Accent2 6 10" xfId="1222" xr:uid="{00000000-0005-0000-0000-0000B8040000}"/>
    <cellStyle name="40% - Accent2 6 11" xfId="1223" xr:uid="{00000000-0005-0000-0000-0000B9040000}"/>
    <cellStyle name="40% - Accent2 6 12" xfId="1224" xr:uid="{00000000-0005-0000-0000-0000BA040000}"/>
    <cellStyle name="40% - Accent2 6 13" xfId="1225" xr:uid="{00000000-0005-0000-0000-0000BB040000}"/>
    <cellStyle name="40% - Accent2 6 14" xfId="1226" xr:uid="{00000000-0005-0000-0000-0000BC040000}"/>
    <cellStyle name="40% - Accent2 6 15" xfId="1227" xr:uid="{00000000-0005-0000-0000-0000BD040000}"/>
    <cellStyle name="40% - Accent2 6 2" xfId="1228" xr:uid="{00000000-0005-0000-0000-0000BE040000}"/>
    <cellStyle name="40% - Accent2 6 2 10" xfId="1229" xr:uid="{00000000-0005-0000-0000-0000BF040000}"/>
    <cellStyle name="40% - Accent2 6 2 11" xfId="1230" xr:uid="{00000000-0005-0000-0000-0000C0040000}"/>
    <cellStyle name="40% - Accent2 6 2 12" xfId="1231" xr:uid="{00000000-0005-0000-0000-0000C1040000}"/>
    <cellStyle name="40% - Accent2 6 2 13" xfId="1232" xr:uid="{00000000-0005-0000-0000-0000C2040000}"/>
    <cellStyle name="40% - Accent2 6 2 2" xfId="1233" xr:uid="{00000000-0005-0000-0000-0000C3040000}"/>
    <cellStyle name="40% - Accent2 6 2 2 2" xfId="1234" xr:uid="{00000000-0005-0000-0000-0000C4040000}"/>
    <cellStyle name="40% - Accent2 6 2 3" xfId="1235" xr:uid="{00000000-0005-0000-0000-0000C5040000}"/>
    <cellStyle name="40% - Accent2 6 2 3 2" xfId="1236" xr:uid="{00000000-0005-0000-0000-0000C6040000}"/>
    <cellStyle name="40% - Accent2 6 2 4" xfId="1237" xr:uid="{00000000-0005-0000-0000-0000C7040000}"/>
    <cellStyle name="40% - Accent2 6 2 5" xfId="1238" xr:uid="{00000000-0005-0000-0000-0000C8040000}"/>
    <cellStyle name="40% - Accent2 6 2 6" xfId="1239" xr:uid="{00000000-0005-0000-0000-0000C9040000}"/>
    <cellStyle name="40% - Accent2 6 2 7" xfId="1240" xr:uid="{00000000-0005-0000-0000-0000CA040000}"/>
    <cellStyle name="40% - Accent2 6 2 8" xfId="1241" xr:uid="{00000000-0005-0000-0000-0000CB040000}"/>
    <cellStyle name="40% - Accent2 6 2 9" xfId="1242" xr:uid="{00000000-0005-0000-0000-0000CC040000}"/>
    <cellStyle name="40% - Accent2 6 3" xfId="1243" xr:uid="{00000000-0005-0000-0000-0000CD040000}"/>
    <cellStyle name="40% - Accent2 6 3 10" xfId="1244" xr:uid="{00000000-0005-0000-0000-0000CE040000}"/>
    <cellStyle name="40% - Accent2 6 3 11" xfId="1245" xr:uid="{00000000-0005-0000-0000-0000CF040000}"/>
    <cellStyle name="40% - Accent2 6 3 2" xfId="1246" xr:uid="{00000000-0005-0000-0000-0000D0040000}"/>
    <cellStyle name="40% - Accent2 6 3 3" xfId="1247" xr:uid="{00000000-0005-0000-0000-0000D1040000}"/>
    <cellStyle name="40% - Accent2 6 3 4" xfId="1248" xr:uid="{00000000-0005-0000-0000-0000D2040000}"/>
    <cellStyle name="40% - Accent2 6 3 5" xfId="1249" xr:uid="{00000000-0005-0000-0000-0000D3040000}"/>
    <cellStyle name="40% - Accent2 6 3 6" xfId="1250" xr:uid="{00000000-0005-0000-0000-0000D4040000}"/>
    <cellStyle name="40% - Accent2 6 3 7" xfId="1251" xr:uid="{00000000-0005-0000-0000-0000D5040000}"/>
    <cellStyle name="40% - Accent2 6 3 8" xfId="1252" xr:uid="{00000000-0005-0000-0000-0000D6040000}"/>
    <cellStyle name="40% - Accent2 6 3 9" xfId="1253" xr:uid="{00000000-0005-0000-0000-0000D7040000}"/>
    <cellStyle name="40% - Accent2 6 4" xfId="1254" xr:uid="{00000000-0005-0000-0000-0000D8040000}"/>
    <cellStyle name="40% - Accent2 6 4 10" xfId="1255" xr:uid="{00000000-0005-0000-0000-0000D9040000}"/>
    <cellStyle name="40% - Accent2 6 4 11" xfId="1256" xr:uid="{00000000-0005-0000-0000-0000DA040000}"/>
    <cellStyle name="40% - Accent2 6 4 2" xfId="1257" xr:uid="{00000000-0005-0000-0000-0000DB040000}"/>
    <cellStyle name="40% - Accent2 6 4 3" xfId="1258" xr:uid="{00000000-0005-0000-0000-0000DC040000}"/>
    <cellStyle name="40% - Accent2 6 4 4" xfId="1259" xr:uid="{00000000-0005-0000-0000-0000DD040000}"/>
    <cellStyle name="40% - Accent2 6 4 5" xfId="1260" xr:uid="{00000000-0005-0000-0000-0000DE040000}"/>
    <cellStyle name="40% - Accent2 6 4 6" xfId="1261" xr:uid="{00000000-0005-0000-0000-0000DF040000}"/>
    <cellStyle name="40% - Accent2 6 4 7" xfId="1262" xr:uid="{00000000-0005-0000-0000-0000E0040000}"/>
    <cellStyle name="40% - Accent2 6 4 8" xfId="1263" xr:uid="{00000000-0005-0000-0000-0000E1040000}"/>
    <cellStyle name="40% - Accent2 6 4 9" xfId="1264" xr:uid="{00000000-0005-0000-0000-0000E2040000}"/>
    <cellStyle name="40% - Accent2 6 5" xfId="1265" xr:uid="{00000000-0005-0000-0000-0000E3040000}"/>
    <cellStyle name="40% - Accent2 6 5 10" xfId="1266" xr:uid="{00000000-0005-0000-0000-0000E4040000}"/>
    <cellStyle name="40% - Accent2 6 5 11" xfId="1267" xr:uid="{00000000-0005-0000-0000-0000E5040000}"/>
    <cellStyle name="40% - Accent2 6 5 2" xfId="1268" xr:uid="{00000000-0005-0000-0000-0000E6040000}"/>
    <cellStyle name="40% - Accent2 6 5 3" xfId="1269" xr:uid="{00000000-0005-0000-0000-0000E7040000}"/>
    <cellStyle name="40% - Accent2 6 5 4" xfId="1270" xr:uid="{00000000-0005-0000-0000-0000E8040000}"/>
    <cellStyle name="40% - Accent2 6 5 5" xfId="1271" xr:uid="{00000000-0005-0000-0000-0000E9040000}"/>
    <cellStyle name="40% - Accent2 6 5 6" xfId="1272" xr:uid="{00000000-0005-0000-0000-0000EA040000}"/>
    <cellStyle name="40% - Accent2 6 5 7" xfId="1273" xr:uid="{00000000-0005-0000-0000-0000EB040000}"/>
    <cellStyle name="40% - Accent2 6 5 8" xfId="1274" xr:uid="{00000000-0005-0000-0000-0000EC040000}"/>
    <cellStyle name="40% - Accent2 6 5 9" xfId="1275" xr:uid="{00000000-0005-0000-0000-0000ED040000}"/>
    <cellStyle name="40% - Accent2 6 6" xfId="1276" xr:uid="{00000000-0005-0000-0000-0000EE040000}"/>
    <cellStyle name="40% - Accent2 6 7" xfId="1277" xr:uid="{00000000-0005-0000-0000-0000EF040000}"/>
    <cellStyle name="40% - Accent2 6 8" xfId="1278" xr:uid="{00000000-0005-0000-0000-0000F0040000}"/>
    <cellStyle name="40% - Accent2 6 9" xfId="1279" xr:uid="{00000000-0005-0000-0000-0000F1040000}"/>
    <cellStyle name="40% - Accent2 7" xfId="1280" xr:uid="{00000000-0005-0000-0000-0000F2040000}"/>
    <cellStyle name="40% - Accent2 7 10" xfId="1281" xr:uid="{00000000-0005-0000-0000-0000F3040000}"/>
    <cellStyle name="40% - Accent2 7 11" xfId="1282" xr:uid="{00000000-0005-0000-0000-0000F4040000}"/>
    <cellStyle name="40% - Accent2 7 12" xfId="1283" xr:uid="{00000000-0005-0000-0000-0000F5040000}"/>
    <cellStyle name="40% - Accent2 7 13" xfId="1284" xr:uid="{00000000-0005-0000-0000-0000F6040000}"/>
    <cellStyle name="40% - Accent2 7 14" xfId="1285" xr:uid="{00000000-0005-0000-0000-0000F7040000}"/>
    <cellStyle name="40% - Accent2 7 2" xfId="1286" xr:uid="{00000000-0005-0000-0000-0000F8040000}"/>
    <cellStyle name="40% - Accent2 7 2 10" xfId="1287" xr:uid="{00000000-0005-0000-0000-0000F9040000}"/>
    <cellStyle name="40% - Accent2 7 2 11" xfId="1288" xr:uid="{00000000-0005-0000-0000-0000FA040000}"/>
    <cellStyle name="40% - Accent2 7 2 2" xfId="1289" xr:uid="{00000000-0005-0000-0000-0000FB040000}"/>
    <cellStyle name="40% - Accent2 7 2 3" xfId="1290" xr:uid="{00000000-0005-0000-0000-0000FC040000}"/>
    <cellStyle name="40% - Accent2 7 2 4" xfId="1291" xr:uid="{00000000-0005-0000-0000-0000FD040000}"/>
    <cellStyle name="40% - Accent2 7 2 5" xfId="1292" xr:uid="{00000000-0005-0000-0000-0000FE040000}"/>
    <cellStyle name="40% - Accent2 7 2 6" xfId="1293" xr:uid="{00000000-0005-0000-0000-0000FF040000}"/>
    <cellStyle name="40% - Accent2 7 2 7" xfId="1294" xr:uid="{00000000-0005-0000-0000-000000050000}"/>
    <cellStyle name="40% - Accent2 7 2 8" xfId="1295" xr:uid="{00000000-0005-0000-0000-000001050000}"/>
    <cellStyle name="40% - Accent2 7 2 9" xfId="1296" xr:uid="{00000000-0005-0000-0000-000002050000}"/>
    <cellStyle name="40% - Accent2 7 3" xfId="1297" xr:uid="{00000000-0005-0000-0000-000003050000}"/>
    <cellStyle name="40% - Accent2 7 3 10" xfId="1298" xr:uid="{00000000-0005-0000-0000-000004050000}"/>
    <cellStyle name="40% - Accent2 7 3 11" xfId="1299" xr:uid="{00000000-0005-0000-0000-000005050000}"/>
    <cellStyle name="40% - Accent2 7 3 2" xfId="1300" xr:uid="{00000000-0005-0000-0000-000006050000}"/>
    <cellStyle name="40% - Accent2 7 3 3" xfId="1301" xr:uid="{00000000-0005-0000-0000-000007050000}"/>
    <cellStyle name="40% - Accent2 7 3 4" xfId="1302" xr:uid="{00000000-0005-0000-0000-000008050000}"/>
    <cellStyle name="40% - Accent2 7 3 5" xfId="1303" xr:uid="{00000000-0005-0000-0000-000009050000}"/>
    <cellStyle name="40% - Accent2 7 3 6" xfId="1304" xr:uid="{00000000-0005-0000-0000-00000A050000}"/>
    <cellStyle name="40% - Accent2 7 3 7" xfId="1305" xr:uid="{00000000-0005-0000-0000-00000B050000}"/>
    <cellStyle name="40% - Accent2 7 3 8" xfId="1306" xr:uid="{00000000-0005-0000-0000-00000C050000}"/>
    <cellStyle name="40% - Accent2 7 3 9" xfId="1307" xr:uid="{00000000-0005-0000-0000-00000D050000}"/>
    <cellStyle name="40% - Accent2 7 4" xfId="1308" xr:uid="{00000000-0005-0000-0000-00000E050000}"/>
    <cellStyle name="40% - Accent2 7 5" xfId="1309" xr:uid="{00000000-0005-0000-0000-00000F050000}"/>
    <cellStyle name="40% - Accent2 7 6" xfId="1310" xr:uid="{00000000-0005-0000-0000-000010050000}"/>
    <cellStyle name="40% - Accent2 7 7" xfId="1311" xr:uid="{00000000-0005-0000-0000-000011050000}"/>
    <cellStyle name="40% - Accent2 7 8" xfId="1312" xr:uid="{00000000-0005-0000-0000-000012050000}"/>
    <cellStyle name="40% - Accent2 7 9" xfId="1313" xr:uid="{00000000-0005-0000-0000-000013050000}"/>
    <cellStyle name="40% - Accent2 8" xfId="1314" xr:uid="{00000000-0005-0000-0000-000014050000}"/>
    <cellStyle name="40% - Accent2 8 10" xfId="1315" xr:uid="{00000000-0005-0000-0000-000015050000}"/>
    <cellStyle name="40% - Accent2 8 11" xfId="1316" xr:uid="{00000000-0005-0000-0000-000016050000}"/>
    <cellStyle name="40% - Accent2 8 12" xfId="1317" xr:uid="{00000000-0005-0000-0000-000017050000}"/>
    <cellStyle name="40% - Accent2 8 13" xfId="1318" xr:uid="{00000000-0005-0000-0000-000018050000}"/>
    <cellStyle name="40% - Accent2 8 2" xfId="1319" xr:uid="{00000000-0005-0000-0000-000019050000}"/>
    <cellStyle name="40% - Accent2 8 2 2" xfId="1320" xr:uid="{00000000-0005-0000-0000-00001A050000}"/>
    <cellStyle name="40% - Accent2 8 3" xfId="1321" xr:uid="{00000000-0005-0000-0000-00001B050000}"/>
    <cellStyle name="40% - Accent2 8 3 2" xfId="1322" xr:uid="{00000000-0005-0000-0000-00001C050000}"/>
    <cellStyle name="40% - Accent2 8 4" xfId="1323" xr:uid="{00000000-0005-0000-0000-00001D050000}"/>
    <cellStyle name="40% - Accent2 8 5" xfId="1324" xr:uid="{00000000-0005-0000-0000-00001E050000}"/>
    <cellStyle name="40% - Accent2 8 6" xfId="1325" xr:uid="{00000000-0005-0000-0000-00001F050000}"/>
    <cellStyle name="40% - Accent2 8 7" xfId="1326" xr:uid="{00000000-0005-0000-0000-000020050000}"/>
    <cellStyle name="40% - Accent2 8 8" xfId="1327" xr:uid="{00000000-0005-0000-0000-000021050000}"/>
    <cellStyle name="40% - Accent2 8 9" xfId="1328" xr:uid="{00000000-0005-0000-0000-000022050000}"/>
    <cellStyle name="40% - Accent2 9" xfId="1329" xr:uid="{00000000-0005-0000-0000-000023050000}"/>
    <cellStyle name="40% - Accent2 9 10" xfId="1330" xr:uid="{00000000-0005-0000-0000-000024050000}"/>
    <cellStyle name="40% - Accent2 9 11" xfId="1331" xr:uid="{00000000-0005-0000-0000-000025050000}"/>
    <cellStyle name="40% - Accent2 9 12" xfId="1332" xr:uid="{00000000-0005-0000-0000-000026050000}"/>
    <cellStyle name="40% - Accent2 9 2" xfId="1333" xr:uid="{00000000-0005-0000-0000-000027050000}"/>
    <cellStyle name="40% - Accent2 9 2 2" xfId="1334" xr:uid="{00000000-0005-0000-0000-000028050000}"/>
    <cellStyle name="40% - Accent2 9 3" xfId="1335" xr:uid="{00000000-0005-0000-0000-000029050000}"/>
    <cellStyle name="40% - Accent2 9 4" xfId="1336" xr:uid="{00000000-0005-0000-0000-00002A050000}"/>
    <cellStyle name="40% - Accent2 9 5" xfId="1337" xr:uid="{00000000-0005-0000-0000-00002B050000}"/>
    <cellStyle name="40% - Accent2 9 6" xfId="1338" xr:uid="{00000000-0005-0000-0000-00002C050000}"/>
    <cellStyle name="40% - Accent2 9 7" xfId="1339" xr:uid="{00000000-0005-0000-0000-00002D050000}"/>
    <cellStyle name="40% - Accent2 9 8" xfId="1340" xr:uid="{00000000-0005-0000-0000-00002E050000}"/>
    <cellStyle name="40% - Accent2 9 9" xfId="1341" xr:uid="{00000000-0005-0000-0000-00002F050000}"/>
    <cellStyle name="40% - Accent3 10" xfId="1342" xr:uid="{00000000-0005-0000-0000-000030050000}"/>
    <cellStyle name="40% - Accent3 10 10" xfId="1343" xr:uid="{00000000-0005-0000-0000-000031050000}"/>
    <cellStyle name="40% - Accent3 10 11" xfId="1344" xr:uid="{00000000-0005-0000-0000-000032050000}"/>
    <cellStyle name="40% - Accent3 10 2" xfId="1345" xr:uid="{00000000-0005-0000-0000-000033050000}"/>
    <cellStyle name="40% - Accent3 10 3" xfId="1346" xr:uid="{00000000-0005-0000-0000-000034050000}"/>
    <cellStyle name="40% - Accent3 10 4" xfId="1347" xr:uid="{00000000-0005-0000-0000-000035050000}"/>
    <cellStyle name="40% - Accent3 10 5" xfId="1348" xr:uid="{00000000-0005-0000-0000-000036050000}"/>
    <cellStyle name="40% - Accent3 10 6" xfId="1349" xr:uid="{00000000-0005-0000-0000-000037050000}"/>
    <cellStyle name="40% - Accent3 10 7" xfId="1350" xr:uid="{00000000-0005-0000-0000-000038050000}"/>
    <cellStyle name="40% - Accent3 10 8" xfId="1351" xr:uid="{00000000-0005-0000-0000-000039050000}"/>
    <cellStyle name="40% - Accent3 10 9" xfId="1352" xr:uid="{00000000-0005-0000-0000-00003A050000}"/>
    <cellStyle name="40% - Accent3 11" xfId="1353" xr:uid="{00000000-0005-0000-0000-00003B050000}"/>
    <cellStyle name="40% - Accent3 11 2" xfId="1354" xr:uid="{00000000-0005-0000-0000-00003C050000}"/>
    <cellStyle name="40% - Accent3 12" xfId="1355" xr:uid="{00000000-0005-0000-0000-00003D050000}"/>
    <cellStyle name="40% - Accent3 13" xfId="1356" xr:uid="{00000000-0005-0000-0000-00003E050000}"/>
    <cellStyle name="40% - Accent3 13 2" xfId="1357" xr:uid="{00000000-0005-0000-0000-00003F050000}"/>
    <cellStyle name="40% - Accent3 13 3" xfId="1358" xr:uid="{00000000-0005-0000-0000-000040050000}"/>
    <cellStyle name="40% - Accent3 13 4" xfId="1359" xr:uid="{00000000-0005-0000-0000-000041050000}"/>
    <cellStyle name="40% - Accent3 14" xfId="1360" xr:uid="{00000000-0005-0000-0000-000042050000}"/>
    <cellStyle name="40% - Accent3 14 2" xfId="1361" xr:uid="{00000000-0005-0000-0000-000043050000}"/>
    <cellStyle name="40% - Accent3 14 3" xfId="1362" xr:uid="{00000000-0005-0000-0000-000044050000}"/>
    <cellStyle name="40% - Accent3 14 4" xfId="1363" xr:uid="{00000000-0005-0000-0000-000045050000}"/>
    <cellStyle name="40% - Accent3 15" xfId="1364" xr:uid="{00000000-0005-0000-0000-000046050000}"/>
    <cellStyle name="40% - Accent3 15 2" xfId="1365" xr:uid="{00000000-0005-0000-0000-000047050000}"/>
    <cellStyle name="40% - Accent3 15 3" xfId="1366" xr:uid="{00000000-0005-0000-0000-000048050000}"/>
    <cellStyle name="40% - Accent3 15 4" xfId="1367" xr:uid="{00000000-0005-0000-0000-000049050000}"/>
    <cellStyle name="40% - Accent3 16" xfId="1368" xr:uid="{00000000-0005-0000-0000-00004A050000}"/>
    <cellStyle name="40% - Accent3 16 2" xfId="1369" xr:uid="{00000000-0005-0000-0000-00004B050000}"/>
    <cellStyle name="40% - Accent3 16 3" xfId="1370" xr:uid="{00000000-0005-0000-0000-00004C050000}"/>
    <cellStyle name="40% - Accent3 16 4" xfId="1371" xr:uid="{00000000-0005-0000-0000-00004D050000}"/>
    <cellStyle name="40% - Accent3 17" xfId="1372" xr:uid="{00000000-0005-0000-0000-00004E050000}"/>
    <cellStyle name="40% - Accent3 17 2" xfId="1373" xr:uid="{00000000-0005-0000-0000-00004F050000}"/>
    <cellStyle name="40% - Accent3 17 3" xfId="1374" xr:uid="{00000000-0005-0000-0000-000050050000}"/>
    <cellStyle name="40% - Accent3 17 4" xfId="1375" xr:uid="{00000000-0005-0000-0000-000051050000}"/>
    <cellStyle name="40% - Accent3 18" xfId="1376" xr:uid="{00000000-0005-0000-0000-000052050000}"/>
    <cellStyle name="40% - Accent3 18 2" xfId="1377" xr:uid="{00000000-0005-0000-0000-000053050000}"/>
    <cellStyle name="40% - Accent3 18 3" xfId="1378" xr:uid="{00000000-0005-0000-0000-000054050000}"/>
    <cellStyle name="40% - Accent3 18 4" xfId="1379" xr:uid="{00000000-0005-0000-0000-000055050000}"/>
    <cellStyle name="40% - Accent3 19" xfId="1380" xr:uid="{00000000-0005-0000-0000-000056050000}"/>
    <cellStyle name="40% - Accent3 2" xfId="1381" xr:uid="{00000000-0005-0000-0000-000057050000}"/>
    <cellStyle name="40% - Accent3 20" xfId="1382" xr:uid="{00000000-0005-0000-0000-000058050000}"/>
    <cellStyle name="40% - Accent3 21" xfId="1383" xr:uid="{00000000-0005-0000-0000-000059050000}"/>
    <cellStyle name="40% - Accent3 3" xfId="1384" xr:uid="{00000000-0005-0000-0000-00005A050000}"/>
    <cellStyle name="40% - Accent3 4" xfId="1385" xr:uid="{00000000-0005-0000-0000-00005B050000}"/>
    <cellStyle name="40% - Accent3 5" xfId="1386" xr:uid="{00000000-0005-0000-0000-00005C050000}"/>
    <cellStyle name="40% - Accent3 6" xfId="1387" xr:uid="{00000000-0005-0000-0000-00005D050000}"/>
    <cellStyle name="40% - Accent3 6 10" xfId="1388" xr:uid="{00000000-0005-0000-0000-00005E050000}"/>
    <cellStyle name="40% - Accent3 6 11" xfId="1389" xr:uid="{00000000-0005-0000-0000-00005F050000}"/>
    <cellStyle name="40% - Accent3 6 12" xfId="1390" xr:uid="{00000000-0005-0000-0000-000060050000}"/>
    <cellStyle name="40% - Accent3 6 13" xfId="1391" xr:uid="{00000000-0005-0000-0000-000061050000}"/>
    <cellStyle name="40% - Accent3 6 14" xfId="1392" xr:uid="{00000000-0005-0000-0000-000062050000}"/>
    <cellStyle name="40% - Accent3 6 15" xfId="1393" xr:uid="{00000000-0005-0000-0000-000063050000}"/>
    <cellStyle name="40% - Accent3 6 2" xfId="1394" xr:uid="{00000000-0005-0000-0000-000064050000}"/>
    <cellStyle name="40% - Accent3 6 2 10" xfId="1395" xr:uid="{00000000-0005-0000-0000-000065050000}"/>
    <cellStyle name="40% - Accent3 6 2 11" xfId="1396" xr:uid="{00000000-0005-0000-0000-000066050000}"/>
    <cellStyle name="40% - Accent3 6 2 12" xfId="1397" xr:uid="{00000000-0005-0000-0000-000067050000}"/>
    <cellStyle name="40% - Accent3 6 2 13" xfId="1398" xr:uid="{00000000-0005-0000-0000-000068050000}"/>
    <cellStyle name="40% - Accent3 6 2 2" xfId="1399" xr:uid="{00000000-0005-0000-0000-000069050000}"/>
    <cellStyle name="40% - Accent3 6 2 2 2" xfId="1400" xr:uid="{00000000-0005-0000-0000-00006A050000}"/>
    <cellStyle name="40% - Accent3 6 2 3" xfId="1401" xr:uid="{00000000-0005-0000-0000-00006B050000}"/>
    <cellStyle name="40% - Accent3 6 2 3 2" xfId="1402" xr:uid="{00000000-0005-0000-0000-00006C050000}"/>
    <cellStyle name="40% - Accent3 6 2 4" xfId="1403" xr:uid="{00000000-0005-0000-0000-00006D050000}"/>
    <cellStyle name="40% - Accent3 6 2 5" xfId="1404" xr:uid="{00000000-0005-0000-0000-00006E050000}"/>
    <cellStyle name="40% - Accent3 6 2 6" xfId="1405" xr:uid="{00000000-0005-0000-0000-00006F050000}"/>
    <cellStyle name="40% - Accent3 6 2 7" xfId="1406" xr:uid="{00000000-0005-0000-0000-000070050000}"/>
    <cellStyle name="40% - Accent3 6 2 8" xfId="1407" xr:uid="{00000000-0005-0000-0000-000071050000}"/>
    <cellStyle name="40% - Accent3 6 2 9" xfId="1408" xr:uid="{00000000-0005-0000-0000-000072050000}"/>
    <cellStyle name="40% - Accent3 6 3" xfId="1409" xr:uid="{00000000-0005-0000-0000-000073050000}"/>
    <cellStyle name="40% - Accent3 6 3 10" xfId="1410" xr:uid="{00000000-0005-0000-0000-000074050000}"/>
    <cellStyle name="40% - Accent3 6 3 11" xfId="1411" xr:uid="{00000000-0005-0000-0000-000075050000}"/>
    <cellStyle name="40% - Accent3 6 3 2" xfId="1412" xr:uid="{00000000-0005-0000-0000-000076050000}"/>
    <cellStyle name="40% - Accent3 6 3 3" xfId="1413" xr:uid="{00000000-0005-0000-0000-000077050000}"/>
    <cellStyle name="40% - Accent3 6 3 4" xfId="1414" xr:uid="{00000000-0005-0000-0000-000078050000}"/>
    <cellStyle name="40% - Accent3 6 3 5" xfId="1415" xr:uid="{00000000-0005-0000-0000-000079050000}"/>
    <cellStyle name="40% - Accent3 6 3 6" xfId="1416" xr:uid="{00000000-0005-0000-0000-00007A050000}"/>
    <cellStyle name="40% - Accent3 6 3 7" xfId="1417" xr:uid="{00000000-0005-0000-0000-00007B050000}"/>
    <cellStyle name="40% - Accent3 6 3 8" xfId="1418" xr:uid="{00000000-0005-0000-0000-00007C050000}"/>
    <cellStyle name="40% - Accent3 6 3 9" xfId="1419" xr:uid="{00000000-0005-0000-0000-00007D050000}"/>
    <cellStyle name="40% - Accent3 6 4" xfId="1420" xr:uid="{00000000-0005-0000-0000-00007E050000}"/>
    <cellStyle name="40% - Accent3 6 4 10" xfId="1421" xr:uid="{00000000-0005-0000-0000-00007F050000}"/>
    <cellStyle name="40% - Accent3 6 4 11" xfId="1422" xr:uid="{00000000-0005-0000-0000-000080050000}"/>
    <cellStyle name="40% - Accent3 6 4 2" xfId="1423" xr:uid="{00000000-0005-0000-0000-000081050000}"/>
    <cellStyle name="40% - Accent3 6 4 3" xfId="1424" xr:uid="{00000000-0005-0000-0000-000082050000}"/>
    <cellStyle name="40% - Accent3 6 4 4" xfId="1425" xr:uid="{00000000-0005-0000-0000-000083050000}"/>
    <cellStyle name="40% - Accent3 6 4 5" xfId="1426" xr:uid="{00000000-0005-0000-0000-000084050000}"/>
    <cellStyle name="40% - Accent3 6 4 6" xfId="1427" xr:uid="{00000000-0005-0000-0000-000085050000}"/>
    <cellStyle name="40% - Accent3 6 4 7" xfId="1428" xr:uid="{00000000-0005-0000-0000-000086050000}"/>
    <cellStyle name="40% - Accent3 6 4 8" xfId="1429" xr:uid="{00000000-0005-0000-0000-000087050000}"/>
    <cellStyle name="40% - Accent3 6 4 9" xfId="1430" xr:uid="{00000000-0005-0000-0000-000088050000}"/>
    <cellStyle name="40% - Accent3 6 5" xfId="1431" xr:uid="{00000000-0005-0000-0000-000089050000}"/>
    <cellStyle name="40% - Accent3 6 5 10" xfId="1432" xr:uid="{00000000-0005-0000-0000-00008A050000}"/>
    <cellStyle name="40% - Accent3 6 5 11" xfId="1433" xr:uid="{00000000-0005-0000-0000-00008B050000}"/>
    <cellStyle name="40% - Accent3 6 5 2" xfId="1434" xr:uid="{00000000-0005-0000-0000-00008C050000}"/>
    <cellStyle name="40% - Accent3 6 5 3" xfId="1435" xr:uid="{00000000-0005-0000-0000-00008D050000}"/>
    <cellStyle name="40% - Accent3 6 5 4" xfId="1436" xr:uid="{00000000-0005-0000-0000-00008E050000}"/>
    <cellStyle name="40% - Accent3 6 5 5" xfId="1437" xr:uid="{00000000-0005-0000-0000-00008F050000}"/>
    <cellStyle name="40% - Accent3 6 5 6" xfId="1438" xr:uid="{00000000-0005-0000-0000-000090050000}"/>
    <cellStyle name="40% - Accent3 6 5 7" xfId="1439" xr:uid="{00000000-0005-0000-0000-000091050000}"/>
    <cellStyle name="40% - Accent3 6 5 8" xfId="1440" xr:uid="{00000000-0005-0000-0000-000092050000}"/>
    <cellStyle name="40% - Accent3 6 5 9" xfId="1441" xr:uid="{00000000-0005-0000-0000-000093050000}"/>
    <cellStyle name="40% - Accent3 6 6" xfId="1442" xr:uid="{00000000-0005-0000-0000-000094050000}"/>
    <cellStyle name="40% - Accent3 6 7" xfId="1443" xr:uid="{00000000-0005-0000-0000-000095050000}"/>
    <cellStyle name="40% - Accent3 6 8" xfId="1444" xr:uid="{00000000-0005-0000-0000-000096050000}"/>
    <cellStyle name="40% - Accent3 6 9" xfId="1445" xr:uid="{00000000-0005-0000-0000-000097050000}"/>
    <cellStyle name="40% - Accent3 7" xfId="1446" xr:uid="{00000000-0005-0000-0000-000098050000}"/>
    <cellStyle name="40% - Accent3 7 10" xfId="1447" xr:uid="{00000000-0005-0000-0000-000099050000}"/>
    <cellStyle name="40% - Accent3 7 11" xfId="1448" xr:uid="{00000000-0005-0000-0000-00009A050000}"/>
    <cellStyle name="40% - Accent3 7 12" xfId="1449" xr:uid="{00000000-0005-0000-0000-00009B050000}"/>
    <cellStyle name="40% - Accent3 7 13" xfId="1450" xr:uid="{00000000-0005-0000-0000-00009C050000}"/>
    <cellStyle name="40% - Accent3 7 14" xfId="1451" xr:uid="{00000000-0005-0000-0000-00009D050000}"/>
    <cellStyle name="40% - Accent3 7 2" xfId="1452" xr:uid="{00000000-0005-0000-0000-00009E050000}"/>
    <cellStyle name="40% - Accent3 7 2 10" xfId="1453" xr:uid="{00000000-0005-0000-0000-00009F050000}"/>
    <cellStyle name="40% - Accent3 7 2 11" xfId="1454" xr:uid="{00000000-0005-0000-0000-0000A0050000}"/>
    <cellStyle name="40% - Accent3 7 2 2" xfId="1455" xr:uid="{00000000-0005-0000-0000-0000A1050000}"/>
    <cellStyle name="40% - Accent3 7 2 3" xfId="1456" xr:uid="{00000000-0005-0000-0000-0000A2050000}"/>
    <cellStyle name="40% - Accent3 7 2 4" xfId="1457" xr:uid="{00000000-0005-0000-0000-0000A3050000}"/>
    <cellStyle name="40% - Accent3 7 2 5" xfId="1458" xr:uid="{00000000-0005-0000-0000-0000A4050000}"/>
    <cellStyle name="40% - Accent3 7 2 6" xfId="1459" xr:uid="{00000000-0005-0000-0000-0000A5050000}"/>
    <cellStyle name="40% - Accent3 7 2 7" xfId="1460" xr:uid="{00000000-0005-0000-0000-0000A6050000}"/>
    <cellStyle name="40% - Accent3 7 2 8" xfId="1461" xr:uid="{00000000-0005-0000-0000-0000A7050000}"/>
    <cellStyle name="40% - Accent3 7 2 9" xfId="1462" xr:uid="{00000000-0005-0000-0000-0000A8050000}"/>
    <cellStyle name="40% - Accent3 7 3" xfId="1463" xr:uid="{00000000-0005-0000-0000-0000A9050000}"/>
    <cellStyle name="40% - Accent3 7 3 10" xfId="1464" xr:uid="{00000000-0005-0000-0000-0000AA050000}"/>
    <cellStyle name="40% - Accent3 7 3 11" xfId="1465" xr:uid="{00000000-0005-0000-0000-0000AB050000}"/>
    <cellStyle name="40% - Accent3 7 3 2" xfId="1466" xr:uid="{00000000-0005-0000-0000-0000AC050000}"/>
    <cellStyle name="40% - Accent3 7 3 3" xfId="1467" xr:uid="{00000000-0005-0000-0000-0000AD050000}"/>
    <cellStyle name="40% - Accent3 7 3 4" xfId="1468" xr:uid="{00000000-0005-0000-0000-0000AE050000}"/>
    <cellStyle name="40% - Accent3 7 3 5" xfId="1469" xr:uid="{00000000-0005-0000-0000-0000AF050000}"/>
    <cellStyle name="40% - Accent3 7 3 6" xfId="1470" xr:uid="{00000000-0005-0000-0000-0000B0050000}"/>
    <cellStyle name="40% - Accent3 7 3 7" xfId="1471" xr:uid="{00000000-0005-0000-0000-0000B1050000}"/>
    <cellStyle name="40% - Accent3 7 3 8" xfId="1472" xr:uid="{00000000-0005-0000-0000-0000B2050000}"/>
    <cellStyle name="40% - Accent3 7 3 9" xfId="1473" xr:uid="{00000000-0005-0000-0000-0000B3050000}"/>
    <cellStyle name="40% - Accent3 7 4" xfId="1474" xr:uid="{00000000-0005-0000-0000-0000B4050000}"/>
    <cellStyle name="40% - Accent3 7 5" xfId="1475" xr:uid="{00000000-0005-0000-0000-0000B5050000}"/>
    <cellStyle name="40% - Accent3 7 6" xfId="1476" xr:uid="{00000000-0005-0000-0000-0000B6050000}"/>
    <cellStyle name="40% - Accent3 7 7" xfId="1477" xr:uid="{00000000-0005-0000-0000-0000B7050000}"/>
    <cellStyle name="40% - Accent3 7 8" xfId="1478" xr:uid="{00000000-0005-0000-0000-0000B8050000}"/>
    <cellStyle name="40% - Accent3 7 9" xfId="1479" xr:uid="{00000000-0005-0000-0000-0000B9050000}"/>
    <cellStyle name="40% - Accent3 8" xfId="1480" xr:uid="{00000000-0005-0000-0000-0000BA050000}"/>
    <cellStyle name="40% - Accent3 8 10" xfId="1481" xr:uid="{00000000-0005-0000-0000-0000BB050000}"/>
    <cellStyle name="40% - Accent3 8 11" xfId="1482" xr:uid="{00000000-0005-0000-0000-0000BC050000}"/>
    <cellStyle name="40% - Accent3 8 12" xfId="1483" xr:uid="{00000000-0005-0000-0000-0000BD050000}"/>
    <cellStyle name="40% - Accent3 8 13" xfId="1484" xr:uid="{00000000-0005-0000-0000-0000BE050000}"/>
    <cellStyle name="40% - Accent3 8 2" xfId="1485" xr:uid="{00000000-0005-0000-0000-0000BF050000}"/>
    <cellStyle name="40% - Accent3 8 2 2" xfId="1486" xr:uid="{00000000-0005-0000-0000-0000C0050000}"/>
    <cellStyle name="40% - Accent3 8 3" xfId="1487" xr:uid="{00000000-0005-0000-0000-0000C1050000}"/>
    <cellStyle name="40% - Accent3 8 3 2" xfId="1488" xr:uid="{00000000-0005-0000-0000-0000C2050000}"/>
    <cellStyle name="40% - Accent3 8 4" xfId="1489" xr:uid="{00000000-0005-0000-0000-0000C3050000}"/>
    <cellStyle name="40% - Accent3 8 5" xfId="1490" xr:uid="{00000000-0005-0000-0000-0000C4050000}"/>
    <cellStyle name="40% - Accent3 8 6" xfId="1491" xr:uid="{00000000-0005-0000-0000-0000C5050000}"/>
    <cellStyle name="40% - Accent3 8 7" xfId="1492" xr:uid="{00000000-0005-0000-0000-0000C6050000}"/>
    <cellStyle name="40% - Accent3 8 8" xfId="1493" xr:uid="{00000000-0005-0000-0000-0000C7050000}"/>
    <cellStyle name="40% - Accent3 8 9" xfId="1494" xr:uid="{00000000-0005-0000-0000-0000C8050000}"/>
    <cellStyle name="40% - Accent3 9" xfId="1495" xr:uid="{00000000-0005-0000-0000-0000C9050000}"/>
    <cellStyle name="40% - Accent3 9 10" xfId="1496" xr:uid="{00000000-0005-0000-0000-0000CA050000}"/>
    <cellStyle name="40% - Accent3 9 11" xfId="1497" xr:uid="{00000000-0005-0000-0000-0000CB050000}"/>
    <cellStyle name="40% - Accent3 9 12" xfId="1498" xr:uid="{00000000-0005-0000-0000-0000CC050000}"/>
    <cellStyle name="40% - Accent3 9 2" xfId="1499" xr:uid="{00000000-0005-0000-0000-0000CD050000}"/>
    <cellStyle name="40% - Accent3 9 2 2" xfId="1500" xr:uid="{00000000-0005-0000-0000-0000CE050000}"/>
    <cellStyle name="40% - Accent3 9 3" xfId="1501" xr:uid="{00000000-0005-0000-0000-0000CF050000}"/>
    <cellStyle name="40% - Accent3 9 4" xfId="1502" xr:uid="{00000000-0005-0000-0000-0000D0050000}"/>
    <cellStyle name="40% - Accent3 9 5" xfId="1503" xr:uid="{00000000-0005-0000-0000-0000D1050000}"/>
    <cellStyle name="40% - Accent3 9 6" xfId="1504" xr:uid="{00000000-0005-0000-0000-0000D2050000}"/>
    <cellStyle name="40% - Accent3 9 7" xfId="1505" xr:uid="{00000000-0005-0000-0000-0000D3050000}"/>
    <cellStyle name="40% - Accent3 9 8" xfId="1506" xr:uid="{00000000-0005-0000-0000-0000D4050000}"/>
    <cellStyle name="40% - Accent3 9 9" xfId="1507" xr:uid="{00000000-0005-0000-0000-0000D5050000}"/>
    <cellStyle name="40% - Accent4 10" xfId="1508" xr:uid="{00000000-0005-0000-0000-0000D6050000}"/>
    <cellStyle name="40% - Accent4 10 10" xfId="1509" xr:uid="{00000000-0005-0000-0000-0000D7050000}"/>
    <cellStyle name="40% - Accent4 10 11" xfId="1510" xr:uid="{00000000-0005-0000-0000-0000D8050000}"/>
    <cellStyle name="40% - Accent4 10 2" xfId="1511" xr:uid="{00000000-0005-0000-0000-0000D9050000}"/>
    <cellStyle name="40% - Accent4 10 3" xfId="1512" xr:uid="{00000000-0005-0000-0000-0000DA050000}"/>
    <cellStyle name="40% - Accent4 10 4" xfId="1513" xr:uid="{00000000-0005-0000-0000-0000DB050000}"/>
    <cellStyle name="40% - Accent4 10 5" xfId="1514" xr:uid="{00000000-0005-0000-0000-0000DC050000}"/>
    <cellStyle name="40% - Accent4 10 6" xfId="1515" xr:uid="{00000000-0005-0000-0000-0000DD050000}"/>
    <cellStyle name="40% - Accent4 10 7" xfId="1516" xr:uid="{00000000-0005-0000-0000-0000DE050000}"/>
    <cellStyle name="40% - Accent4 10 8" xfId="1517" xr:uid="{00000000-0005-0000-0000-0000DF050000}"/>
    <cellStyle name="40% - Accent4 10 9" xfId="1518" xr:uid="{00000000-0005-0000-0000-0000E0050000}"/>
    <cellStyle name="40% - Accent4 11" xfId="1519" xr:uid="{00000000-0005-0000-0000-0000E1050000}"/>
    <cellStyle name="40% - Accent4 11 2" xfId="1520" xr:uid="{00000000-0005-0000-0000-0000E2050000}"/>
    <cellStyle name="40% - Accent4 12" xfId="1521" xr:uid="{00000000-0005-0000-0000-0000E3050000}"/>
    <cellStyle name="40% - Accent4 13" xfId="1522" xr:uid="{00000000-0005-0000-0000-0000E4050000}"/>
    <cellStyle name="40% - Accent4 13 2" xfId="1523" xr:uid="{00000000-0005-0000-0000-0000E5050000}"/>
    <cellStyle name="40% - Accent4 13 3" xfId="1524" xr:uid="{00000000-0005-0000-0000-0000E6050000}"/>
    <cellStyle name="40% - Accent4 13 4" xfId="1525" xr:uid="{00000000-0005-0000-0000-0000E7050000}"/>
    <cellStyle name="40% - Accent4 14" xfId="1526" xr:uid="{00000000-0005-0000-0000-0000E8050000}"/>
    <cellStyle name="40% - Accent4 14 2" xfId="1527" xr:uid="{00000000-0005-0000-0000-0000E9050000}"/>
    <cellStyle name="40% - Accent4 14 3" xfId="1528" xr:uid="{00000000-0005-0000-0000-0000EA050000}"/>
    <cellStyle name="40% - Accent4 14 4" xfId="1529" xr:uid="{00000000-0005-0000-0000-0000EB050000}"/>
    <cellStyle name="40% - Accent4 15" xfId="1530" xr:uid="{00000000-0005-0000-0000-0000EC050000}"/>
    <cellStyle name="40% - Accent4 15 2" xfId="1531" xr:uid="{00000000-0005-0000-0000-0000ED050000}"/>
    <cellStyle name="40% - Accent4 15 3" xfId="1532" xr:uid="{00000000-0005-0000-0000-0000EE050000}"/>
    <cellStyle name="40% - Accent4 15 4" xfId="1533" xr:uid="{00000000-0005-0000-0000-0000EF050000}"/>
    <cellStyle name="40% - Accent4 16" xfId="1534" xr:uid="{00000000-0005-0000-0000-0000F0050000}"/>
    <cellStyle name="40% - Accent4 16 2" xfId="1535" xr:uid="{00000000-0005-0000-0000-0000F1050000}"/>
    <cellStyle name="40% - Accent4 16 3" xfId="1536" xr:uid="{00000000-0005-0000-0000-0000F2050000}"/>
    <cellStyle name="40% - Accent4 16 4" xfId="1537" xr:uid="{00000000-0005-0000-0000-0000F3050000}"/>
    <cellStyle name="40% - Accent4 17" xfId="1538" xr:uid="{00000000-0005-0000-0000-0000F4050000}"/>
    <cellStyle name="40% - Accent4 17 2" xfId="1539" xr:uid="{00000000-0005-0000-0000-0000F5050000}"/>
    <cellStyle name="40% - Accent4 17 3" xfId="1540" xr:uid="{00000000-0005-0000-0000-0000F6050000}"/>
    <cellStyle name="40% - Accent4 17 4" xfId="1541" xr:uid="{00000000-0005-0000-0000-0000F7050000}"/>
    <cellStyle name="40% - Accent4 18" xfId="1542" xr:uid="{00000000-0005-0000-0000-0000F8050000}"/>
    <cellStyle name="40% - Accent4 18 2" xfId="1543" xr:uid="{00000000-0005-0000-0000-0000F9050000}"/>
    <cellStyle name="40% - Accent4 18 3" xfId="1544" xr:uid="{00000000-0005-0000-0000-0000FA050000}"/>
    <cellStyle name="40% - Accent4 18 4" xfId="1545" xr:uid="{00000000-0005-0000-0000-0000FB050000}"/>
    <cellStyle name="40% - Accent4 19" xfId="1546" xr:uid="{00000000-0005-0000-0000-0000FC050000}"/>
    <cellStyle name="40% - Accent4 2" xfId="1547" xr:uid="{00000000-0005-0000-0000-0000FD050000}"/>
    <cellStyle name="40% - Accent4 20" xfId="1548" xr:uid="{00000000-0005-0000-0000-0000FE050000}"/>
    <cellStyle name="40% - Accent4 21" xfId="1549" xr:uid="{00000000-0005-0000-0000-0000FF050000}"/>
    <cellStyle name="40% - Accent4 3" xfId="1550" xr:uid="{00000000-0005-0000-0000-000000060000}"/>
    <cellStyle name="40% - Accent4 4" xfId="1551" xr:uid="{00000000-0005-0000-0000-000001060000}"/>
    <cellStyle name="40% - Accent4 5" xfId="1552" xr:uid="{00000000-0005-0000-0000-000002060000}"/>
    <cellStyle name="40% - Accent4 6" xfId="1553" xr:uid="{00000000-0005-0000-0000-000003060000}"/>
    <cellStyle name="40% - Accent4 6 10" xfId="1554" xr:uid="{00000000-0005-0000-0000-000004060000}"/>
    <cellStyle name="40% - Accent4 6 11" xfId="1555" xr:uid="{00000000-0005-0000-0000-000005060000}"/>
    <cellStyle name="40% - Accent4 6 12" xfId="1556" xr:uid="{00000000-0005-0000-0000-000006060000}"/>
    <cellStyle name="40% - Accent4 6 13" xfId="1557" xr:uid="{00000000-0005-0000-0000-000007060000}"/>
    <cellStyle name="40% - Accent4 6 14" xfId="1558" xr:uid="{00000000-0005-0000-0000-000008060000}"/>
    <cellStyle name="40% - Accent4 6 15" xfId="1559" xr:uid="{00000000-0005-0000-0000-000009060000}"/>
    <cellStyle name="40% - Accent4 6 2" xfId="1560" xr:uid="{00000000-0005-0000-0000-00000A060000}"/>
    <cellStyle name="40% - Accent4 6 2 10" xfId="1561" xr:uid="{00000000-0005-0000-0000-00000B060000}"/>
    <cellStyle name="40% - Accent4 6 2 11" xfId="1562" xr:uid="{00000000-0005-0000-0000-00000C060000}"/>
    <cellStyle name="40% - Accent4 6 2 12" xfId="1563" xr:uid="{00000000-0005-0000-0000-00000D060000}"/>
    <cellStyle name="40% - Accent4 6 2 13" xfId="1564" xr:uid="{00000000-0005-0000-0000-00000E060000}"/>
    <cellStyle name="40% - Accent4 6 2 2" xfId="1565" xr:uid="{00000000-0005-0000-0000-00000F060000}"/>
    <cellStyle name="40% - Accent4 6 2 2 2" xfId="1566" xr:uid="{00000000-0005-0000-0000-000010060000}"/>
    <cellStyle name="40% - Accent4 6 2 3" xfId="1567" xr:uid="{00000000-0005-0000-0000-000011060000}"/>
    <cellStyle name="40% - Accent4 6 2 3 2" xfId="1568" xr:uid="{00000000-0005-0000-0000-000012060000}"/>
    <cellStyle name="40% - Accent4 6 2 4" xfId="1569" xr:uid="{00000000-0005-0000-0000-000013060000}"/>
    <cellStyle name="40% - Accent4 6 2 5" xfId="1570" xr:uid="{00000000-0005-0000-0000-000014060000}"/>
    <cellStyle name="40% - Accent4 6 2 6" xfId="1571" xr:uid="{00000000-0005-0000-0000-000015060000}"/>
    <cellStyle name="40% - Accent4 6 2 7" xfId="1572" xr:uid="{00000000-0005-0000-0000-000016060000}"/>
    <cellStyle name="40% - Accent4 6 2 8" xfId="1573" xr:uid="{00000000-0005-0000-0000-000017060000}"/>
    <cellStyle name="40% - Accent4 6 2 9" xfId="1574" xr:uid="{00000000-0005-0000-0000-000018060000}"/>
    <cellStyle name="40% - Accent4 6 3" xfId="1575" xr:uid="{00000000-0005-0000-0000-000019060000}"/>
    <cellStyle name="40% - Accent4 6 3 10" xfId="1576" xr:uid="{00000000-0005-0000-0000-00001A060000}"/>
    <cellStyle name="40% - Accent4 6 3 11" xfId="1577" xr:uid="{00000000-0005-0000-0000-00001B060000}"/>
    <cellStyle name="40% - Accent4 6 3 2" xfId="1578" xr:uid="{00000000-0005-0000-0000-00001C060000}"/>
    <cellStyle name="40% - Accent4 6 3 3" xfId="1579" xr:uid="{00000000-0005-0000-0000-00001D060000}"/>
    <cellStyle name="40% - Accent4 6 3 4" xfId="1580" xr:uid="{00000000-0005-0000-0000-00001E060000}"/>
    <cellStyle name="40% - Accent4 6 3 5" xfId="1581" xr:uid="{00000000-0005-0000-0000-00001F060000}"/>
    <cellStyle name="40% - Accent4 6 3 6" xfId="1582" xr:uid="{00000000-0005-0000-0000-000020060000}"/>
    <cellStyle name="40% - Accent4 6 3 7" xfId="1583" xr:uid="{00000000-0005-0000-0000-000021060000}"/>
    <cellStyle name="40% - Accent4 6 3 8" xfId="1584" xr:uid="{00000000-0005-0000-0000-000022060000}"/>
    <cellStyle name="40% - Accent4 6 3 9" xfId="1585" xr:uid="{00000000-0005-0000-0000-000023060000}"/>
    <cellStyle name="40% - Accent4 6 4" xfId="1586" xr:uid="{00000000-0005-0000-0000-000024060000}"/>
    <cellStyle name="40% - Accent4 6 4 10" xfId="1587" xr:uid="{00000000-0005-0000-0000-000025060000}"/>
    <cellStyle name="40% - Accent4 6 4 11" xfId="1588" xr:uid="{00000000-0005-0000-0000-000026060000}"/>
    <cellStyle name="40% - Accent4 6 4 2" xfId="1589" xr:uid="{00000000-0005-0000-0000-000027060000}"/>
    <cellStyle name="40% - Accent4 6 4 3" xfId="1590" xr:uid="{00000000-0005-0000-0000-000028060000}"/>
    <cellStyle name="40% - Accent4 6 4 4" xfId="1591" xr:uid="{00000000-0005-0000-0000-000029060000}"/>
    <cellStyle name="40% - Accent4 6 4 5" xfId="1592" xr:uid="{00000000-0005-0000-0000-00002A060000}"/>
    <cellStyle name="40% - Accent4 6 4 6" xfId="1593" xr:uid="{00000000-0005-0000-0000-00002B060000}"/>
    <cellStyle name="40% - Accent4 6 4 7" xfId="1594" xr:uid="{00000000-0005-0000-0000-00002C060000}"/>
    <cellStyle name="40% - Accent4 6 4 8" xfId="1595" xr:uid="{00000000-0005-0000-0000-00002D060000}"/>
    <cellStyle name="40% - Accent4 6 4 9" xfId="1596" xr:uid="{00000000-0005-0000-0000-00002E060000}"/>
    <cellStyle name="40% - Accent4 6 5" xfId="1597" xr:uid="{00000000-0005-0000-0000-00002F060000}"/>
    <cellStyle name="40% - Accent4 6 5 10" xfId="1598" xr:uid="{00000000-0005-0000-0000-000030060000}"/>
    <cellStyle name="40% - Accent4 6 5 11" xfId="1599" xr:uid="{00000000-0005-0000-0000-000031060000}"/>
    <cellStyle name="40% - Accent4 6 5 2" xfId="1600" xr:uid="{00000000-0005-0000-0000-000032060000}"/>
    <cellStyle name="40% - Accent4 6 5 3" xfId="1601" xr:uid="{00000000-0005-0000-0000-000033060000}"/>
    <cellStyle name="40% - Accent4 6 5 4" xfId="1602" xr:uid="{00000000-0005-0000-0000-000034060000}"/>
    <cellStyle name="40% - Accent4 6 5 5" xfId="1603" xr:uid="{00000000-0005-0000-0000-000035060000}"/>
    <cellStyle name="40% - Accent4 6 5 6" xfId="1604" xr:uid="{00000000-0005-0000-0000-000036060000}"/>
    <cellStyle name="40% - Accent4 6 5 7" xfId="1605" xr:uid="{00000000-0005-0000-0000-000037060000}"/>
    <cellStyle name="40% - Accent4 6 5 8" xfId="1606" xr:uid="{00000000-0005-0000-0000-000038060000}"/>
    <cellStyle name="40% - Accent4 6 5 9" xfId="1607" xr:uid="{00000000-0005-0000-0000-000039060000}"/>
    <cellStyle name="40% - Accent4 6 6" xfId="1608" xr:uid="{00000000-0005-0000-0000-00003A060000}"/>
    <cellStyle name="40% - Accent4 6 7" xfId="1609" xr:uid="{00000000-0005-0000-0000-00003B060000}"/>
    <cellStyle name="40% - Accent4 6 8" xfId="1610" xr:uid="{00000000-0005-0000-0000-00003C060000}"/>
    <cellStyle name="40% - Accent4 6 9" xfId="1611" xr:uid="{00000000-0005-0000-0000-00003D060000}"/>
    <cellStyle name="40% - Accent4 7" xfId="1612" xr:uid="{00000000-0005-0000-0000-00003E060000}"/>
    <cellStyle name="40% - Accent4 7 10" xfId="1613" xr:uid="{00000000-0005-0000-0000-00003F060000}"/>
    <cellStyle name="40% - Accent4 7 11" xfId="1614" xr:uid="{00000000-0005-0000-0000-000040060000}"/>
    <cellStyle name="40% - Accent4 7 12" xfId="1615" xr:uid="{00000000-0005-0000-0000-000041060000}"/>
    <cellStyle name="40% - Accent4 7 13" xfId="1616" xr:uid="{00000000-0005-0000-0000-000042060000}"/>
    <cellStyle name="40% - Accent4 7 14" xfId="1617" xr:uid="{00000000-0005-0000-0000-000043060000}"/>
    <cellStyle name="40% - Accent4 7 2" xfId="1618" xr:uid="{00000000-0005-0000-0000-000044060000}"/>
    <cellStyle name="40% - Accent4 7 2 10" xfId="1619" xr:uid="{00000000-0005-0000-0000-000045060000}"/>
    <cellStyle name="40% - Accent4 7 2 11" xfId="1620" xr:uid="{00000000-0005-0000-0000-000046060000}"/>
    <cellStyle name="40% - Accent4 7 2 2" xfId="1621" xr:uid="{00000000-0005-0000-0000-000047060000}"/>
    <cellStyle name="40% - Accent4 7 2 3" xfId="1622" xr:uid="{00000000-0005-0000-0000-000048060000}"/>
    <cellStyle name="40% - Accent4 7 2 4" xfId="1623" xr:uid="{00000000-0005-0000-0000-000049060000}"/>
    <cellStyle name="40% - Accent4 7 2 5" xfId="1624" xr:uid="{00000000-0005-0000-0000-00004A060000}"/>
    <cellStyle name="40% - Accent4 7 2 6" xfId="1625" xr:uid="{00000000-0005-0000-0000-00004B060000}"/>
    <cellStyle name="40% - Accent4 7 2 7" xfId="1626" xr:uid="{00000000-0005-0000-0000-00004C060000}"/>
    <cellStyle name="40% - Accent4 7 2 8" xfId="1627" xr:uid="{00000000-0005-0000-0000-00004D060000}"/>
    <cellStyle name="40% - Accent4 7 2 9" xfId="1628" xr:uid="{00000000-0005-0000-0000-00004E060000}"/>
    <cellStyle name="40% - Accent4 7 3" xfId="1629" xr:uid="{00000000-0005-0000-0000-00004F060000}"/>
    <cellStyle name="40% - Accent4 7 3 10" xfId="1630" xr:uid="{00000000-0005-0000-0000-000050060000}"/>
    <cellStyle name="40% - Accent4 7 3 11" xfId="1631" xr:uid="{00000000-0005-0000-0000-000051060000}"/>
    <cellStyle name="40% - Accent4 7 3 2" xfId="1632" xr:uid="{00000000-0005-0000-0000-000052060000}"/>
    <cellStyle name="40% - Accent4 7 3 3" xfId="1633" xr:uid="{00000000-0005-0000-0000-000053060000}"/>
    <cellStyle name="40% - Accent4 7 3 4" xfId="1634" xr:uid="{00000000-0005-0000-0000-000054060000}"/>
    <cellStyle name="40% - Accent4 7 3 5" xfId="1635" xr:uid="{00000000-0005-0000-0000-000055060000}"/>
    <cellStyle name="40% - Accent4 7 3 6" xfId="1636" xr:uid="{00000000-0005-0000-0000-000056060000}"/>
    <cellStyle name="40% - Accent4 7 3 7" xfId="1637" xr:uid="{00000000-0005-0000-0000-000057060000}"/>
    <cellStyle name="40% - Accent4 7 3 8" xfId="1638" xr:uid="{00000000-0005-0000-0000-000058060000}"/>
    <cellStyle name="40% - Accent4 7 3 9" xfId="1639" xr:uid="{00000000-0005-0000-0000-000059060000}"/>
    <cellStyle name="40% - Accent4 7 4" xfId="1640" xr:uid="{00000000-0005-0000-0000-00005A060000}"/>
    <cellStyle name="40% - Accent4 7 5" xfId="1641" xr:uid="{00000000-0005-0000-0000-00005B060000}"/>
    <cellStyle name="40% - Accent4 7 6" xfId="1642" xr:uid="{00000000-0005-0000-0000-00005C060000}"/>
    <cellStyle name="40% - Accent4 7 7" xfId="1643" xr:uid="{00000000-0005-0000-0000-00005D060000}"/>
    <cellStyle name="40% - Accent4 7 8" xfId="1644" xr:uid="{00000000-0005-0000-0000-00005E060000}"/>
    <cellStyle name="40% - Accent4 7 9" xfId="1645" xr:uid="{00000000-0005-0000-0000-00005F060000}"/>
    <cellStyle name="40% - Accent4 8" xfId="1646" xr:uid="{00000000-0005-0000-0000-000060060000}"/>
    <cellStyle name="40% - Accent4 8 10" xfId="1647" xr:uid="{00000000-0005-0000-0000-000061060000}"/>
    <cellStyle name="40% - Accent4 8 11" xfId="1648" xr:uid="{00000000-0005-0000-0000-000062060000}"/>
    <cellStyle name="40% - Accent4 8 12" xfId="1649" xr:uid="{00000000-0005-0000-0000-000063060000}"/>
    <cellStyle name="40% - Accent4 8 13" xfId="1650" xr:uid="{00000000-0005-0000-0000-000064060000}"/>
    <cellStyle name="40% - Accent4 8 2" xfId="1651" xr:uid="{00000000-0005-0000-0000-000065060000}"/>
    <cellStyle name="40% - Accent4 8 2 2" xfId="1652" xr:uid="{00000000-0005-0000-0000-000066060000}"/>
    <cellStyle name="40% - Accent4 8 3" xfId="1653" xr:uid="{00000000-0005-0000-0000-000067060000}"/>
    <cellStyle name="40% - Accent4 8 3 2" xfId="1654" xr:uid="{00000000-0005-0000-0000-000068060000}"/>
    <cellStyle name="40% - Accent4 8 4" xfId="1655" xr:uid="{00000000-0005-0000-0000-000069060000}"/>
    <cellStyle name="40% - Accent4 8 5" xfId="1656" xr:uid="{00000000-0005-0000-0000-00006A060000}"/>
    <cellStyle name="40% - Accent4 8 6" xfId="1657" xr:uid="{00000000-0005-0000-0000-00006B060000}"/>
    <cellStyle name="40% - Accent4 8 7" xfId="1658" xr:uid="{00000000-0005-0000-0000-00006C060000}"/>
    <cellStyle name="40% - Accent4 8 8" xfId="1659" xr:uid="{00000000-0005-0000-0000-00006D060000}"/>
    <cellStyle name="40% - Accent4 8 9" xfId="1660" xr:uid="{00000000-0005-0000-0000-00006E060000}"/>
    <cellStyle name="40% - Accent4 9" xfId="1661" xr:uid="{00000000-0005-0000-0000-00006F060000}"/>
    <cellStyle name="40% - Accent4 9 10" xfId="1662" xr:uid="{00000000-0005-0000-0000-000070060000}"/>
    <cellStyle name="40% - Accent4 9 11" xfId="1663" xr:uid="{00000000-0005-0000-0000-000071060000}"/>
    <cellStyle name="40% - Accent4 9 12" xfId="1664" xr:uid="{00000000-0005-0000-0000-000072060000}"/>
    <cellStyle name="40% - Accent4 9 2" xfId="1665" xr:uid="{00000000-0005-0000-0000-000073060000}"/>
    <cellStyle name="40% - Accent4 9 2 2" xfId="1666" xr:uid="{00000000-0005-0000-0000-000074060000}"/>
    <cellStyle name="40% - Accent4 9 3" xfId="1667" xr:uid="{00000000-0005-0000-0000-000075060000}"/>
    <cellStyle name="40% - Accent4 9 4" xfId="1668" xr:uid="{00000000-0005-0000-0000-000076060000}"/>
    <cellStyle name="40% - Accent4 9 5" xfId="1669" xr:uid="{00000000-0005-0000-0000-000077060000}"/>
    <cellStyle name="40% - Accent4 9 6" xfId="1670" xr:uid="{00000000-0005-0000-0000-000078060000}"/>
    <cellStyle name="40% - Accent4 9 7" xfId="1671" xr:uid="{00000000-0005-0000-0000-000079060000}"/>
    <cellStyle name="40% - Accent4 9 8" xfId="1672" xr:uid="{00000000-0005-0000-0000-00007A060000}"/>
    <cellStyle name="40% - Accent4 9 9" xfId="1673" xr:uid="{00000000-0005-0000-0000-00007B060000}"/>
    <cellStyle name="40% - Accent5 10" xfId="1674" xr:uid="{00000000-0005-0000-0000-00007C060000}"/>
    <cellStyle name="40% - Accent5 10 10" xfId="1675" xr:uid="{00000000-0005-0000-0000-00007D060000}"/>
    <cellStyle name="40% - Accent5 10 11" xfId="1676" xr:uid="{00000000-0005-0000-0000-00007E060000}"/>
    <cellStyle name="40% - Accent5 10 2" xfId="1677" xr:uid="{00000000-0005-0000-0000-00007F060000}"/>
    <cellStyle name="40% - Accent5 10 3" xfId="1678" xr:uid="{00000000-0005-0000-0000-000080060000}"/>
    <cellStyle name="40% - Accent5 10 4" xfId="1679" xr:uid="{00000000-0005-0000-0000-000081060000}"/>
    <cellStyle name="40% - Accent5 10 5" xfId="1680" xr:uid="{00000000-0005-0000-0000-000082060000}"/>
    <cellStyle name="40% - Accent5 10 6" xfId="1681" xr:uid="{00000000-0005-0000-0000-000083060000}"/>
    <cellStyle name="40% - Accent5 10 7" xfId="1682" xr:uid="{00000000-0005-0000-0000-000084060000}"/>
    <cellStyle name="40% - Accent5 10 8" xfId="1683" xr:uid="{00000000-0005-0000-0000-000085060000}"/>
    <cellStyle name="40% - Accent5 10 9" xfId="1684" xr:uid="{00000000-0005-0000-0000-000086060000}"/>
    <cellStyle name="40% - Accent5 11" xfId="1685" xr:uid="{00000000-0005-0000-0000-000087060000}"/>
    <cellStyle name="40% - Accent5 11 2" xfId="1686" xr:uid="{00000000-0005-0000-0000-000088060000}"/>
    <cellStyle name="40% - Accent5 12" xfId="1687" xr:uid="{00000000-0005-0000-0000-000089060000}"/>
    <cellStyle name="40% - Accent5 13" xfId="1688" xr:uid="{00000000-0005-0000-0000-00008A060000}"/>
    <cellStyle name="40% - Accent5 13 2" xfId="1689" xr:uid="{00000000-0005-0000-0000-00008B060000}"/>
    <cellStyle name="40% - Accent5 13 3" xfId="1690" xr:uid="{00000000-0005-0000-0000-00008C060000}"/>
    <cellStyle name="40% - Accent5 13 4" xfId="1691" xr:uid="{00000000-0005-0000-0000-00008D060000}"/>
    <cellStyle name="40% - Accent5 14" xfId="1692" xr:uid="{00000000-0005-0000-0000-00008E060000}"/>
    <cellStyle name="40% - Accent5 14 2" xfId="1693" xr:uid="{00000000-0005-0000-0000-00008F060000}"/>
    <cellStyle name="40% - Accent5 14 3" xfId="1694" xr:uid="{00000000-0005-0000-0000-000090060000}"/>
    <cellStyle name="40% - Accent5 14 4" xfId="1695" xr:uid="{00000000-0005-0000-0000-000091060000}"/>
    <cellStyle name="40% - Accent5 15" xfId="1696" xr:uid="{00000000-0005-0000-0000-000092060000}"/>
    <cellStyle name="40% - Accent5 15 2" xfId="1697" xr:uid="{00000000-0005-0000-0000-000093060000}"/>
    <cellStyle name="40% - Accent5 15 3" xfId="1698" xr:uid="{00000000-0005-0000-0000-000094060000}"/>
    <cellStyle name="40% - Accent5 15 4" xfId="1699" xr:uid="{00000000-0005-0000-0000-000095060000}"/>
    <cellStyle name="40% - Accent5 16" xfId="1700" xr:uid="{00000000-0005-0000-0000-000096060000}"/>
    <cellStyle name="40% - Accent5 16 2" xfId="1701" xr:uid="{00000000-0005-0000-0000-000097060000}"/>
    <cellStyle name="40% - Accent5 16 3" xfId="1702" xr:uid="{00000000-0005-0000-0000-000098060000}"/>
    <cellStyle name="40% - Accent5 16 4" xfId="1703" xr:uid="{00000000-0005-0000-0000-000099060000}"/>
    <cellStyle name="40% - Accent5 17" xfId="1704" xr:uid="{00000000-0005-0000-0000-00009A060000}"/>
    <cellStyle name="40% - Accent5 17 2" xfId="1705" xr:uid="{00000000-0005-0000-0000-00009B060000}"/>
    <cellStyle name="40% - Accent5 17 3" xfId="1706" xr:uid="{00000000-0005-0000-0000-00009C060000}"/>
    <cellStyle name="40% - Accent5 17 4" xfId="1707" xr:uid="{00000000-0005-0000-0000-00009D060000}"/>
    <cellStyle name="40% - Accent5 18" xfId="1708" xr:uid="{00000000-0005-0000-0000-00009E060000}"/>
    <cellStyle name="40% - Accent5 18 2" xfId="1709" xr:uid="{00000000-0005-0000-0000-00009F060000}"/>
    <cellStyle name="40% - Accent5 18 3" xfId="1710" xr:uid="{00000000-0005-0000-0000-0000A0060000}"/>
    <cellStyle name="40% - Accent5 18 4" xfId="1711" xr:uid="{00000000-0005-0000-0000-0000A1060000}"/>
    <cellStyle name="40% - Accent5 19" xfId="1712" xr:uid="{00000000-0005-0000-0000-0000A2060000}"/>
    <cellStyle name="40% - Accent5 2" xfId="1713" xr:uid="{00000000-0005-0000-0000-0000A3060000}"/>
    <cellStyle name="40% - Accent5 20" xfId="1714" xr:uid="{00000000-0005-0000-0000-0000A4060000}"/>
    <cellStyle name="40% - Accent5 21" xfId="1715" xr:uid="{00000000-0005-0000-0000-0000A5060000}"/>
    <cellStyle name="40% - Accent5 3" xfId="1716" xr:uid="{00000000-0005-0000-0000-0000A6060000}"/>
    <cellStyle name="40% - Accent5 4" xfId="1717" xr:uid="{00000000-0005-0000-0000-0000A7060000}"/>
    <cellStyle name="40% - Accent5 5" xfId="1718" xr:uid="{00000000-0005-0000-0000-0000A8060000}"/>
    <cellStyle name="40% - Accent5 6" xfId="1719" xr:uid="{00000000-0005-0000-0000-0000A9060000}"/>
    <cellStyle name="40% - Accent5 6 10" xfId="1720" xr:uid="{00000000-0005-0000-0000-0000AA060000}"/>
    <cellStyle name="40% - Accent5 6 11" xfId="1721" xr:uid="{00000000-0005-0000-0000-0000AB060000}"/>
    <cellStyle name="40% - Accent5 6 12" xfId="1722" xr:uid="{00000000-0005-0000-0000-0000AC060000}"/>
    <cellStyle name="40% - Accent5 6 13" xfId="1723" xr:uid="{00000000-0005-0000-0000-0000AD060000}"/>
    <cellStyle name="40% - Accent5 6 14" xfId="1724" xr:uid="{00000000-0005-0000-0000-0000AE060000}"/>
    <cellStyle name="40% - Accent5 6 15" xfId="1725" xr:uid="{00000000-0005-0000-0000-0000AF060000}"/>
    <cellStyle name="40% - Accent5 6 2" xfId="1726" xr:uid="{00000000-0005-0000-0000-0000B0060000}"/>
    <cellStyle name="40% - Accent5 6 2 10" xfId="1727" xr:uid="{00000000-0005-0000-0000-0000B1060000}"/>
    <cellStyle name="40% - Accent5 6 2 11" xfId="1728" xr:uid="{00000000-0005-0000-0000-0000B2060000}"/>
    <cellStyle name="40% - Accent5 6 2 12" xfId="1729" xr:uid="{00000000-0005-0000-0000-0000B3060000}"/>
    <cellStyle name="40% - Accent5 6 2 13" xfId="1730" xr:uid="{00000000-0005-0000-0000-0000B4060000}"/>
    <cellStyle name="40% - Accent5 6 2 2" xfId="1731" xr:uid="{00000000-0005-0000-0000-0000B5060000}"/>
    <cellStyle name="40% - Accent5 6 2 2 2" xfId="1732" xr:uid="{00000000-0005-0000-0000-0000B6060000}"/>
    <cellStyle name="40% - Accent5 6 2 3" xfId="1733" xr:uid="{00000000-0005-0000-0000-0000B7060000}"/>
    <cellStyle name="40% - Accent5 6 2 3 2" xfId="1734" xr:uid="{00000000-0005-0000-0000-0000B8060000}"/>
    <cellStyle name="40% - Accent5 6 2 4" xfId="1735" xr:uid="{00000000-0005-0000-0000-0000B9060000}"/>
    <cellStyle name="40% - Accent5 6 2 5" xfId="1736" xr:uid="{00000000-0005-0000-0000-0000BA060000}"/>
    <cellStyle name="40% - Accent5 6 2 6" xfId="1737" xr:uid="{00000000-0005-0000-0000-0000BB060000}"/>
    <cellStyle name="40% - Accent5 6 2 7" xfId="1738" xr:uid="{00000000-0005-0000-0000-0000BC060000}"/>
    <cellStyle name="40% - Accent5 6 2 8" xfId="1739" xr:uid="{00000000-0005-0000-0000-0000BD060000}"/>
    <cellStyle name="40% - Accent5 6 2 9" xfId="1740" xr:uid="{00000000-0005-0000-0000-0000BE060000}"/>
    <cellStyle name="40% - Accent5 6 3" xfId="1741" xr:uid="{00000000-0005-0000-0000-0000BF060000}"/>
    <cellStyle name="40% - Accent5 6 3 10" xfId="1742" xr:uid="{00000000-0005-0000-0000-0000C0060000}"/>
    <cellStyle name="40% - Accent5 6 3 11" xfId="1743" xr:uid="{00000000-0005-0000-0000-0000C1060000}"/>
    <cellStyle name="40% - Accent5 6 3 2" xfId="1744" xr:uid="{00000000-0005-0000-0000-0000C2060000}"/>
    <cellStyle name="40% - Accent5 6 3 3" xfId="1745" xr:uid="{00000000-0005-0000-0000-0000C3060000}"/>
    <cellStyle name="40% - Accent5 6 3 4" xfId="1746" xr:uid="{00000000-0005-0000-0000-0000C4060000}"/>
    <cellStyle name="40% - Accent5 6 3 5" xfId="1747" xr:uid="{00000000-0005-0000-0000-0000C5060000}"/>
    <cellStyle name="40% - Accent5 6 3 6" xfId="1748" xr:uid="{00000000-0005-0000-0000-0000C6060000}"/>
    <cellStyle name="40% - Accent5 6 3 7" xfId="1749" xr:uid="{00000000-0005-0000-0000-0000C7060000}"/>
    <cellStyle name="40% - Accent5 6 3 8" xfId="1750" xr:uid="{00000000-0005-0000-0000-0000C8060000}"/>
    <cellStyle name="40% - Accent5 6 3 9" xfId="1751" xr:uid="{00000000-0005-0000-0000-0000C9060000}"/>
    <cellStyle name="40% - Accent5 6 4" xfId="1752" xr:uid="{00000000-0005-0000-0000-0000CA060000}"/>
    <cellStyle name="40% - Accent5 6 4 10" xfId="1753" xr:uid="{00000000-0005-0000-0000-0000CB060000}"/>
    <cellStyle name="40% - Accent5 6 4 11" xfId="1754" xr:uid="{00000000-0005-0000-0000-0000CC060000}"/>
    <cellStyle name="40% - Accent5 6 4 2" xfId="1755" xr:uid="{00000000-0005-0000-0000-0000CD060000}"/>
    <cellStyle name="40% - Accent5 6 4 3" xfId="1756" xr:uid="{00000000-0005-0000-0000-0000CE060000}"/>
    <cellStyle name="40% - Accent5 6 4 4" xfId="1757" xr:uid="{00000000-0005-0000-0000-0000CF060000}"/>
    <cellStyle name="40% - Accent5 6 4 5" xfId="1758" xr:uid="{00000000-0005-0000-0000-0000D0060000}"/>
    <cellStyle name="40% - Accent5 6 4 6" xfId="1759" xr:uid="{00000000-0005-0000-0000-0000D1060000}"/>
    <cellStyle name="40% - Accent5 6 4 7" xfId="1760" xr:uid="{00000000-0005-0000-0000-0000D2060000}"/>
    <cellStyle name="40% - Accent5 6 4 8" xfId="1761" xr:uid="{00000000-0005-0000-0000-0000D3060000}"/>
    <cellStyle name="40% - Accent5 6 4 9" xfId="1762" xr:uid="{00000000-0005-0000-0000-0000D4060000}"/>
    <cellStyle name="40% - Accent5 6 5" xfId="1763" xr:uid="{00000000-0005-0000-0000-0000D5060000}"/>
    <cellStyle name="40% - Accent5 6 5 10" xfId="1764" xr:uid="{00000000-0005-0000-0000-0000D6060000}"/>
    <cellStyle name="40% - Accent5 6 5 11" xfId="1765" xr:uid="{00000000-0005-0000-0000-0000D7060000}"/>
    <cellStyle name="40% - Accent5 6 5 2" xfId="1766" xr:uid="{00000000-0005-0000-0000-0000D8060000}"/>
    <cellStyle name="40% - Accent5 6 5 3" xfId="1767" xr:uid="{00000000-0005-0000-0000-0000D9060000}"/>
    <cellStyle name="40% - Accent5 6 5 4" xfId="1768" xr:uid="{00000000-0005-0000-0000-0000DA060000}"/>
    <cellStyle name="40% - Accent5 6 5 5" xfId="1769" xr:uid="{00000000-0005-0000-0000-0000DB060000}"/>
    <cellStyle name="40% - Accent5 6 5 6" xfId="1770" xr:uid="{00000000-0005-0000-0000-0000DC060000}"/>
    <cellStyle name="40% - Accent5 6 5 7" xfId="1771" xr:uid="{00000000-0005-0000-0000-0000DD060000}"/>
    <cellStyle name="40% - Accent5 6 5 8" xfId="1772" xr:uid="{00000000-0005-0000-0000-0000DE060000}"/>
    <cellStyle name="40% - Accent5 6 5 9" xfId="1773" xr:uid="{00000000-0005-0000-0000-0000DF060000}"/>
    <cellStyle name="40% - Accent5 6 6" xfId="1774" xr:uid="{00000000-0005-0000-0000-0000E0060000}"/>
    <cellStyle name="40% - Accent5 6 7" xfId="1775" xr:uid="{00000000-0005-0000-0000-0000E1060000}"/>
    <cellStyle name="40% - Accent5 6 8" xfId="1776" xr:uid="{00000000-0005-0000-0000-0000E2060000}"/>
    <cellStyle name="40% - Accent5 6 9" xfId="1777" xr:uid="{00000000-0005-0000-0000-0000E3060000}"/>
    <cellStyle name="40% - Accent5 7" xfId="1778" xr:uid="{00000000-0005-0000-0000-0000E4060000}"/>
    <cellStyle name="40% - Accent5 7 10" xfId="1779" xr:uid="{00000000-0005-0000-0000-0000E5060000}"/>
    <cellStyle name="40% - Accent5 7 11" xfId="1780" xr:uid="{00000000-0005-0000-0000-0000E6060000}"/>
    <cellStyle name="40% - Accent5 7 12" xfId="1781" xr:uid="{00000000-0005-0000-0000-0000E7060000}"/>
    <cellStyle name="40% - Accent5 7 13" xfId="1782" xr:uid="{00000000-0005-0000-0000-0000E8060000}"/>
    <cellStyle name="40% - Accent5 7 14" xfId="1783" xr:uid="{00000000-0005-0000-0000-0000E9060000}"/>
    <cellStyle name="40% - Accent5 7 2" xfId="1784" xr:uid="{00000000-0005-0000-0000-0000EA060000}"/>
    <cellStyle name="40% - Accent5 7 2 10" xfId="1785" xr:uid="{00000000-0005-0000-0000-0000EB060000}"/>
    <cellStyle name="40% - Accent5 7 2 11" xfId="1786" xr:uid="{00000000-0005-0000-0000-0000EC060000}"/>
    <cellStyle name="40% - Accent5 7 2 2" xfId="1787" xr:uid="{00000000-0005-0000-0000-0000ED060000}"/>
    <cellStyle name="40% - Accent5 7 2 3" xfId="1788" xr:uid="{00000000-0005-0000-0000-0000EE060000}"/>
    <cellStyle name="40% - Accent5 7 2 4" xfId="1789" xr:uid="{00000000-0005-0000-0000-0000EF060000}"/>
    <cellStyle name="40% - Accent5 7 2 5" xfId="1790" xr:uid="{00000000-0005-0000-0000-0000F0060000}"/>
    <cellStyle name="40% - Accent5 7 2 6" xfId="1791" xr:uid="{00000000-0005-0000-0000-0000F1060000}"/>
    <cellStyle name="40% - Accent5 7 2 7" xfId="1792" xr:uid="{00000000-0005-0000-0000-0000F2060000}"/>
    <cellStyle name="40% - Accent5 7 2 8" xfId="1793" xr:uid="{00000000-0005-0000-0000-0000F3060000}"/>
    <cellStyle name="40% - Accent5 7 2 9" xfId="1794" xr:uid="{00000000-0005-0000-0000-0000F4060000}"/>
    <cellStyle name="40% - Accent5 7 3" xfId="1795" xr:uid="{00000000-0005-0000-0000-0000F5060000}"/>
    <cellStyle name="40% - Accent5 7 3 10" xfId="1796" xr:uid="{00000000-0005-0000-0000-0000F6060000}"/>
    <cellStyle name="40% - Accent5 7 3 11" xfId="1797" xr:uid="{00000000-0005-0000-0000-0000F7060000}"/>
    <cellStyle name="40% - Accent5 7 3 2" xfId="1798" xr:uid="{00000000-0005-0000-0000-0000F8060000}"/>
    <cellStyle name="40% - Accent5 7 3 3" xfId="1799" xr:uid="{00000000-0005-0000-0000-0000F9060000}"/>
    <cellStyle name="40% - Accent5 7 3 4" xfId="1800" xr:uid="{00000000-0005-0000-0000-0000FA060000}"/>
    <cellStyle name="40% - Accent5 7 3 5" xfId="1801" xr:uid="{00000000-0005-0000-0000-0000FB060000}"/>
    <cellStyle name="40% - Accent5 7 3 6" xfId="1802" xr:uid="{00000000-0005-0000-0000-0000FC060000}"/>
    <cellStyle name="40% - Accent5 7 3 7" xfId="1803" xr:uid="{00000000-0005-0000-0000-0000FD060000}"/>
    <cellStyle name="40% - Accent5 7 3 8" xfId="1804" xr:uid="{00000000-0005-0000-0000-0000FE060000}"/>
    <cellStyle name="40% - Accent5 7 3 9" xfId="1805" xr:uid="{00000000-0005-0000-0000-0000FF060000}"/>
    <cellStyle name="40% - Accent5 7 4" xfId="1806" xr:uid="{00000000-0005-0000-0000-000000070000}"/>
    <cellStyle name="40% - Accent5 7 5" xfId="1807" xr:uid="{00000000-0005-0000-0000-000001070000}"/>
    <cellStyle name="40% - Accent5 7 6" xfId="1808" xr:uid="{00000000-0005-0000-0000-000002070000}"/>
    <cellStyle name="40% - Accent5 7 7" xfId="1809" xr:uid="{00000000-0005-0000-0000-000003070000}"/>
    <cellStyle name="40% - Accent5 7 8" xfId="1810" xr:uid="{00000000-0005-0000-0000-000004070000}"/>
    <cellStyle name="40% - Accent5 7 9" xfId="1811" xr:uid="{00000000-0005-0000-0000-000005070000}"/>
    <cellStyle name="40% - Accent5 8" xfId="1812" xr:uid="{00000000-0005-0000-0000-000006070000}"/>
    <cellStyle name="40% - Accent5 8 10" xfId="1813" xr:uid="{00000000-0005-0000-0000-000007070000}"/>
    <cellStyle name="40% - Accent5 8 11" xfId="1814" xr:uid="{00000000-0005-0000-0000-000008070000}"/>
    <cellStyle name="40% - Accent5 8 12" xfId="1815" xr:uid="{00000000-0005-0000-0000-000009070000}"/>
    <cellStyle name="40% - Accent5 8 13" xfId="1816" xr:uid="{00000000-0005-0000-0000-00000A070000}"/>
    <cellStyle name="40% - Accent5 8 2" xfId="1817" xr:uid="{00000000-0005-0000-0000-00000B070000}"/>
    <cellStyle name="40% - Accent5 8 2 2" xfId="1818" xr:uid="{00000000-0005-0000-0000-00000C070000}"/>
    <cellStyle name="40% - Accent5 8 3" xfId="1819" xr:uid="{00000000-0005-0000-0000-00000D070000}"/>
    <cellStyle name="40% - Accent5 8 3 2" xfId="1820" xr:uid="{00000000-0005-0000-0000-00000E070000}"/>
    <cellStyle name="40% - Accent5 8 4" xfId="1821" xr:uid="{00000000-0005-0000-0000-00000F070000}"/>
    <cellStyle name="40% - Accent5 8 5" xfId="1822" xr:uid="{00000000-0005-0000-0000-000010070000}"/>
    <cellStyle name="40% - Accent5 8 6" xfId="1823" xr:uid="{00000000-0005-0000-0000-000011070000}"/>
    <cellStyle name="40% - Accent5 8 7" xfId="1824" xr:uid="{00000000-0005-0000-0000-000012070000}"/>
    <cellStyle name="40% - Accent5 8 8" xfId="1825" xr:uid="{00000000-0005-0000-0000-000013070000}"/>
    <cellStyle name="40% - Accent5 8 9" xfId="1826" xr:uid="{00000000-0005-0000-0000-000014070000}"/>
    <cellStyle name="40% - Accent5 9" xfId="1827" xr:uid="{00000000-0005-0000-0000-000015070000}"/>
    <cellStyle name="40% - Accent5 9 10" xfId="1828" xr:uid="{00000000-0005-0000-0000-000016070000}"/>
    <cellStyle name="40% - Accent5 9 11" xfId="1829" xr:uid="{00000000-0005-0000-0000-000017070000}"/>
    <cellStyle name="40% - Accent5 9 12" xfId="1830" xr:uid="{00000000-0005-0000-0000-000018070000}"/>
    <cellStyle name="40% - Accent5 9 2" xfId="1831" xr:uid="{00000000-0005-0000-0000-000019070000}"/>
    <cellStyle name="40% - Accent5 9 2 2" xfId="1832" xr:uid="{00000000-0005-0000-0000-00001A070000}"/>
    <cellStyle name="40% - Accent5 9 3" xfId="1833" xr:uid="{00000000-0005-0000-0000-00001B070000}"/>
    <cellStyle name="40% - Accent5 9 4" xfId="1834" xr:uid="{00000000-0005-0000-0000-00001C070000}"/>
    <cellStyle name="40% - Accent5 9 5" xfId="1835" xr:uid="{00000000-0005-0000-0000-00001D070000}"/>
    <cellStyle name="40% - Accent5 9 6" xfId="1836" xr:uid="{00000000-0005-0000-0000-00001E070000}"/>
    <cellStyle name="40% - Accent5 9 7" xfId="1837" xr:uid="{00000000-0005-0000-0000-00001F070000}"/>
    <cellStyle name="40% - Accent5 9 8" xfId="1838" xr:uid="{00000000-0005-0000-0000-000020070000}"/>
    <cellStyle name="40% - Accent5 9 9" xfId="1839" xr:uid="{00000000-0005-0000-0000-000021070000}"/>
    <cellStyle name="40% - Accent6 10" xfId="1840" xr:uid="{00000000-0005-0000-0000-000022070000}"/>
    <cellStyle name="40% - Accent6 10 10" xfId="1841" xr:uid="{00000000-0005-0000-0000-000023070000}"/>
    <cellStyle name="40% - Accent6 10 11" xfId="1842" xr:uid="{00000000-0005-0000-0000-000024070000}"/>
    <cellStyle name="40% - Accent6 10 2" xfId="1843" xr:uid="{00000000-0005-0000-0000-000025070000}"/>
    <cellStyle name="40% - Accent6 10 3" xfId="1844" xr:uid="{00000000-0005-0000-0000-000026070000}"/>
    <cellStyle name="40% - Accent6 10 4" xfId="1845" xr:uid="{00000000-0005-0000-0000-000027070000}"/>
    <cellStyle name="40% - Accent6 10 5" xfId="1846" xr:uid="{00000000-0005-0000-0000-000028070000}"/>
    <cellStyle name="40% - Accent6 10 6" xfId="1847" xr:uid="{00000000-0005-0000-0000-000029070000}"/>
    <cellStyle name="40% - Accent6 10 7" xfId="1848" xr:uid="{00000000-0005-0000-0000-00002A070000}"/>
    <cellStyle name="40% - Accent6 10 8" xfId="1849" xr:uid="{00000000-0005-0000-0000-00002B070000}"/>
    <cellStyle name="40% - Accent6 10 9" xfId="1850" xr:uid="{00000000-0005-0000-0000-00002C070000}"/>
    <cellStyle name="40% - Accent6 11" xfId="1851" xr:uid="{00000000-0005-0000-0000-00002D070000}"/>
    <cellStyle name="40% - Accent6 11 2" xfId="1852" xr:uid="{00000000-0005-0000-0000-00002E070000}"/>
    <cellStyle name="40% - Accent6 12" xfId="1853" xr:uid="{00000000-0005-0000-0000-00002F070000}"/>
    <cellStyle name="40% - Accent6 13" xfId="1854" xr:uid="{00000000-0005-0000-0000-000030070000}"/>
    <cellStyle name="40% - Accent6 13 2" xfId="1855" xr:uid="{00000000-0005-0000-0000-000031070000}"/>
    <cellStyle name="40% - Accent6 13 3" xfId="1856" xr:uid="{00000000-0005-0000-0000-000032070000}"/>
    <cellStyle name="40% - Accent6 13 4" xfId="1857" xr:uid="{00000000-0005-0000-0000-000033070000}"/>
    <cellStyle name="40% - Accent6 14" xfId="1858" xr:uid="{00000000-0005-0000-0000-000034070000}"/>
    <cellStyle name="40% - Accent6 14 2" xfId="1859" xr:uid="{00000000-0005-0000-0000-000035070000}"/>
    <cellStyle name="40% - Accent6 14 3" xfId="1860" xr:uid="{00000000-0005-0000-0000-000036070000}"/>
    <cellStyle name="40% - Accent6 14 4" xfId="1861" xr:uid="{00000000-0005-0000-0000-000037070000}"/>
    <cellStyle name="40% - Accent6 15" xfId="1862" xr:uid="{00000000-0005-0000-0000-000038070000}"/>
    <cellStyle name="40% - Accent6 15 2" xfId="1863" xr:uid="{00000000-0005-0000-0000-000039070000}"/>
    <cellStyle name="40% - Accent6 15 3" xfId="1864" xr:uid="{00000000-0005-0000-0000-00003A070000}"/>
    <cellStyle name="40% - Accent6 15 4" xfId="1865" xr:uid="{00000000-0005-0000-0000-00003B070000}"/>
    <cellStyle name="40% - Accent6 16" xfId="1866" xr:uid="{00000000-0005-0000-0000-00003C070000}"/>
    <cellStyle name="40% - Accent6 16 2" xfId="1867" xr:uid="{00000000-0005-0000-0000-00003D070000}"/>
    <cellStyle name="40% - Accent6 16 3" xfId="1868" xr:uid="{00000000-0005-0000-0000-00003E070000}"/>
    <cellStyle name="40% - Accent6 16 4" xfId="1869" xr:uid="{00000000-0005-0000-0000-00003F070000}"/>
    <cellStyle name="40% - Accent6 17" xfId="1870" xr:uid="{00000000-0005-0000-0000-000040070000}"/>
    <cellStyle name="40% - Accent6 17 2" xfId="1871" xr:uid="{00000000-0005-0000-0000-000041070000}"/>
    <cellStyle name="40% - Accent6 17 3" xfId="1872" xr:uid="{00000000-0005-0000-0000-000042070000}"/>
    <cellStyle name="40% - Accent6 17 4" xfId="1873" xr:uid="{00000000-0005-0000-0000-000043070000}"/>
    <cellStyle name="40% - Accent6 18" xfId="1874" xr:uid="{00000000-0005-0000-0000-000044070000}"/>
    <cellStyle name="40% - Accent6 18 2" xfId="1875" xr:uid="{00000000-0005-0000-0000-000045070000}"/>
    <cellStyle name="40% - Accent6 18 3" xfId="1876" xr:uid="{00000000-0005-0000-0000-000046070000}"/>
    <cellStyle name="40% - Accent6 18 4" xfId="1877" xr:uid="{00000000-0005-0000-0000-000047070000}"/>
    <cellStyle name="40% - Accent6 19" xfId="1878" xr:uid="{00000000-0005-0000-0000-000048070000}"/>
    <cellStyle name="40% - Accent6 2" xfId="1879" xr:uid="{00000000-0005-0000-0000-000049070000}"/>
    <cellStyle name="40% - Accent6 20" xfId="1880" xr:uid="{00000000-0005-0000-0000-00004A070000}"/>
    <cellStyle name="40% - Accent6 21" xfId="1881" xr:uid="{00000000-0005-0000-0000-00004B070000}"/>
    <cellStyle name="40% - Accent6 3" xfId="1882" xr:uid="{00000000-0005-0000-0000-00004C070000}"/>
    <cellStyle name="40% - Accent6 4" xfId="1883" xr:uid="{00000000-0005-0000-0000-00004D070000}"/>
    <cellStyle name="40% - Accent6 5" xfId="1884" xr:uid="{00000000-0005-0000-0000-00004E070000}"/>
    <cellStyle name="40% - Accent6 6" xfId="1885" xr:uid="{00000000-0005-0000-0000-00004F070000}"/>
    <cellStyle name="40% - Accent6 6 10" xfId="1886" xr:uid="{00000000-0005-0000-0000-000050070000}"/>
    <cellStyle name="40% - Accent6 6 11" xfId="1887" xr:uid="{00000000-0005-0000-0000-000051070000}"/>
    <cellStyle name="40% - Accent6 6 12" xfId="1888" xr:uid="{00000000-0005-0000-0000-000052070000}"/>
    <cellStyle name="40% - Accent6 6 13" xfId="1889" xr:uid="{00000000-0005-0000-0000-000053070000}"/>
    <cellStyle name="40% - Accent6 6 14" xfId="1890" xr:uid="{00000000-0005-0000-0000-000054070000}"/>
    <cellStyle name="40% - Accent6 6 15" xfId="1891" xr:uid="{00000000-0005-0000-0000-000055070000}"/>
    <cellStyle name="40% - Accent6 6 2" xfId="1892" xr:uid="{00000000-0005-0000-0000-000056070000}"/>
    <cellStyle name="40% - Accent6 6 2 10" xfId="1893" xr:uid="{00000000-0005-0000-0000-000057070000}"/>
    <cellStyle name="40% - Accent6 6 2 11" xfId="1894" xr:uid="{00000000-0005-0000-0000-000058070000}"/>
    <cellStyle name="40% - Accent6 6 2 12" xfId="1895" xr:uid="{00000000-0005-0000-0000-000059070000}"/>
    <cellStyle name="40% - Accent6 6 2 13" xfId="1896" xr:uid="{00000000-0005-0000-0000-00005A070000}"/>
    <cellStyle name="40% - Accent6 6 2 2" xfId="1897" xr:uid="{00000000-0005-0000-0000-00005B070000}"/>
    <cellStyle name="40% - Accent6 6 2 2 2" xfId="1898" xr:uid="{00000000-0005-0000-0000-00005C070000}"/>
    <cellStyle name="40% - Accent6 6 2 3" xfId="1899" xr:uid="{00000000-0005-0000-0000-00005D070000}"/>
    <cellStyle name="40% - Accent6 6 2 3 2" xfId="1900" xr:uid="{00000000-0005-0000-0000-00005E070000}"/>
    <cellStyle name="40% - Accent6 6 2 4" xfId="1901" xr:uid="{00000000-0005-0000-0000-00005F070000}"/>
    <cellStyle name="40% - Accent6 6 2 5" xfId="1902" xr:uid="{00000000-0005-0000-0000-000060070000}"/>
    <cellStyle name="40% - Accent6 6 2 6" xfId="1903" xr:uid="{00000000-0005-0000-0000-000061070000}"/>
    <cellStyle name="40% - Accent6 6 2 7" xfId="1904" xr:uid="{00000000-0005-0000-0000-000062070000}"/>
    <cellStyle name="40% - Accent6 6 2 8" xfId="1905" xr:uid="{00000000-0005-0000-0000-000063070000}"/>
    <cellStyle name="40% - Accent6 6 2 9" xfId="1906" xr:uid="{00000000-0005-0000-0000-000064070000}"/>
    <cellStyle name="40% - Accent6 6 3" xfId="1907" xr:uid="{00000000-0005-0000-0000-000065070000}"/>
    <cellStyle name="40% - Accent6 6 3 10" xfId="1908" xr:uid="{00000000-0005-0000-0000-000066070000}"/>
    <cellStyle name="40% - Accent6 6 3 11" xfId="1909" xr:uid="{00000000-0005-0000-0000-000067070000}"/>
    <cellStyle name="40% - Accent6 6 3 2" xfId="1910" xr:uid="{00000000-0005-0000-0000-000068070000}"/>
    <cellStyle name="40% - Accent6 6 3 3" xfId="1911" xr:uid="{00000000-0005-0000-0000-000069070000}"/>
    <cellStyle name="40% - Accent6 6 3 4" xfId="1912" xr:uid="{00000000-0005-0000-0000-00006A070000}"/>
    <cellStyle name="40% - Accent6 6 3 5" xfId="1913" xr:uid="{00000000-0005-0000-0000-00006B070000}"/>
    <cellStyle name="40% - Accent6 6 3 6" xfId="1914" xr:uid="{00000000-0005-0000-0000-00006C070000}"/>
    <cellStyle name="40% - Accent6 6 3 7" xfId="1915" xr:uid="{00000000-0005-0000-0000-00006D070000}"/>
    <cellStyle name="40% - Accent6 6 3 8" xfId="1916" xr:uid="{00000000-0005-0000-0000-00006E070000}"/>
    <cellStyle name="40% - Accent6 6 3 9" xfId="1917" xr:uid="{00000000-0005-0000-0000-00006F070000}"/>
    <cellStyle name="40% - Accent6 6 4" xfId="1918" xr:uid="{00000000-0005-0000-0000-000070070000}"/>
    <cellStyle name="40% - Accent6 6 4 10" xfId="1919" xr:uid="{00000000-0005-0000-0000-000071070000}"/>
    <cellStyle name="40% - Accent6 6 4 11" xfId="1920" xr:uid="{00000000-0005-0000-0000-000072070000}"/>
    <cellStyle name="40% - Accent6 6 4 2" xfId="1921" xr:uid="{00000000-0005-0000-0000-000073070000}"/>
    <cellStyle name="40% - Accent6 6 4 3" xfId="1922" xr:uid="{00000000-0005-0000-0000-000074070000}"/>
    <cellStyle name="40% - Accent6 6 4 4" xfId="1923" xr:uid="{00000000-0005-0000-0000-000075070000}"/>
    <cellStyle name="40% - Accent6 6 4 5" xfId="1924" xr:uid="{00000000-0005-0000-0000-000076070000}"/>
    <cellStyle name="40% - Accent6 6 4 6" xfId="1925" xr:uid="{00000000-0005-0000-0000-000077070000}"/>
    <cellStyle name="40% - Accent6 6 4 7" xfId="1926" xr:uid="{00000000-0005-0000-0000-000078070000}"/>
    <cellStyle name="40% - Accent6 6 4 8" xfId="1927" xr:uid="{00000000-0005-0000-0000-000079070000}"/>
    <cellStyle name="40% - Accent6 6 4 9" xfId="1928" xr:uid="{00000000-0005-0000-0000-00007A070000}"/>
    <cellStyle name="40% - Accent6 6 5" xfId="1929" xr:uid="{00000000-0005-0000-0000-00007B070000}"/>
    <cellStyle name="40% - Accent6 6 5 10" xfId="1930" xr:uid="{00000000-0005-0000-0000-00007C070000}"/>
    <cellStyle name="40% - Accent6 6 5 11" xfId="1931" xr:uid="{00000000-0005-0000-0000-00007D070000}"/>
    <cellStyle name="40% - Accent6 6 5 2" xfId="1932" xr:uid="{00000000-0005-0000-0000-00007E070000}"/>
    <cellStyle name="40% - Accent6 6 5 3" xfId="1933" xr:uid="{00000000-0005-0000-0000-00007F070000}"/>
    <cellStyle name="40% - Accent6 6 5 4" xfId="1934" xr:uid="{00000000-0005-0000-0000-000080070000}"/>
    <cellStyle name="40% - Accent6 6 5 5" xfId="1935" xr:uid="{00000000-0005-0000-0000-000081070000}"/>
    <cellStyle name="40% - Accent6 6 5 6" xfId="1936" xr:uid="{00000000-0005-0000-0000-000082070000}"/>
    <cellStyle name="40% - Accent6 6 5 7" xfId="1937" xr:uid="{00000000-0005-0000-0000-000083070000}"/>
    <cellStyle name="40% - Accent6 6 5 8" xfId="1938" xr:uid="{00000000-0005-0000-0000-000084070000}"/>
    <cellStyle name="40% - Accent6 6 5 9" xfId="1939" xr:uid="{00000000-0005-0000-0000-000085070000}"/>
    <cellStyle name="40% - Accent6 6 6" xfId="1940" xr:uid="{00000000-0005-0000-0000-000086070000}"/>
    <cellStyle name="40% - Accent6 6 7" xfId="1941" xr:uid="{00000000-0005-0000-0000-000087070000}"/>
    <cellStyle name="40% - Accent6 6 8" xfId="1942" xr:uid="{00000000-0005-0000-0000-000088070000}"/>
    <cellStyle name="40% - Accent6 6 9" xfId="1943" xr:uid="{00000000-0005-0000-0000-000089070000}"/>
    <cellStyle name="40% - Accent6 7" xfId="1944" xr:uid="{00000000-0005-0000-0000-00008A070000}"/>
    <cellStyle name="40% - Accent6 7 10" xfId="1945" xr:uid="{00000000-0005-0000-0000-00008B070000}"/>
    <cellStyle name="40% - Accent6 7 11" xfId="1946" xr:uid="{00000000-0005-0000-0000-00008C070000}"/>
    <cellStyle name="40% - Accent6 7 12" xfId="1947" xr:uid="{00000000-0005-0000-0000-00008D070000}"/>
    <cellStyle name="40% - Accent6 7 13" xfId="1948" xr:uid="{00000000-0005-0000-0000-00008E070000}"/>
    <cellStyle name="40% - Accent6 7 14" xfId="1949" xr:uid="{00000000-0005-0000-0000-00008F070000}"/>
    <cellStyle name="40% - Accent6 7 2" xfId="1950" xr:uid="{00000000-0005-0000-0000-000090070000}"/>
    <cellStyle name="40% - Accent6 7 2 10" xfId="1951" xr:uid="{00000000-0005-0000-0000-000091070000}"/>
    <cellStyle name="40% - Accent6 7 2 11" xfId="1952" xr:uid="{00000000-0005-0000-0000-000092070000}"/>
    <cellStyle name="40% - Accent6 7 2 2" xfId="1953" xr:uid="{00000000-0005-0000-0000-000093070000}"/>
    <cellStyle name="40% - Accent6 7 2 3" xfId="1954" xr:uid="{00000000-0005-0000-0000-000094070000}"/>
    <cellStyle name="40% - Accent6 7 2 4" xfId="1955" xr:uid="{00000000-0005-0000-0000-000095070000}"/>
    <cellStyle name="40% - Accent6 7 2 5" xfId="1956" xr:uid="{00000000-0005-0000-0000-000096070000}"/>
    <cellStyle name="40% - Accent6 7 2 6" xfId="1957" xr:uid="{00000000-0005-0000-0000-000097070000}"/>
    <cellStyle name="40% - Accent6 7 2 7" xfId="1958" xr:uid="{00000000-0005-0000-0000-000098070000}"/>
    <cellStyle name="40% - Accent6 7 2 8" xfId="1959" xr:uid="{00000000-0005-0000-0000-000099070000}"/>
    <cellStyle name="40% - Accent6 7 2 9" xfId="1960" xr:uid="{00000000-0005-0000-0000-00009A070000}"/>
    <cellStyle name="40% - Accent6 7 3" xfId="1961" xr:uid="{00000000-0005-0000-0000-00009B070000}"/>
    <cellStyle name="40% - Accent6 7 3 10" xfId="1962" xr:uid="{00000000-0005-0000-0000-00009C070000}"/>
    <cellStyle name="40% - Accent6 7 3 11" xfId="1963" xr:uid="{00000000-0005-0000-0000-00009D070000}"/>
    <cellStyle name="40% - Accent6 7 3 2" xfId="1964" xr:uid="{00000000-0005-0000-0000-00009E070000}"/>
    <cellStyle name="40% - Accent6 7 3 3" xfId="1965" xr:uid="{00000000-0005-0000-0000-00009F070000}"/>
    <cellStyle name="40% - Accent6 7 3 4" xfId="1966" xr:uid="{00000000-0005-0000-0000-0000A0070000}"/>
    <cellStyle name="40% - Accent6 7 3 5" xfId="1967" xr:uid="{00000000-0005-0000-0000-0000A1070000}"/>
    <cellStyle name="40% - Accent6 7 3 6" xfId="1968" xr:uid="{00000000-0005-0000-0000-0000A2070000}"/>
    <cellStyle name="40% - Accent6 7 3 7" xfId="1969" xr:uid="{00000000-0005-0000-0000-0000A3070000}"/>
    <cellStyle name="40% - Accent6 7 3 8" xfId="1970" xr:uid="{00000000-0005-0000-0000-0000A4070000}"/>
    <cellStyle name="40% - Accent6 7 3 9" xfId="1971" xr:uid="{00000000-0005-0000-0000-0000A5070000}"/>
    <cellStyle name="40% - Accent6 7 4" xfId="1972" xr:uid="{00000000-0005-0000-0000-0000A6070000}"/>
    <cellStyle name="40% - Accent6 7 5" xfId="1973" xr:uid="{00000000-0005-0000-0000-0000A7070000}"/>
    <cellStyle name="40% - Accent6 7 6" xfId="1974" xr:uid="{00000000-0005-0000-0000-0000A8070000}"/>
    <cellStyle name="40% - Accent6 7 7" xfId="1975" xr:uid="{00000000-0005-0000-0000-0000A9070000}"/>
    <cellStyle name="40% - Accent6 7 8" xfId="1976" xr:uid="{00000000-0005-0000-0000-0000AA070000}"/>
    <cellStyle name="40% - Accent6 7 9" xfId="1977" xr:uid="{00000000-0005-0000-0000-0000AB070000}"/>
    <cellStyle name="40% - Accent6 8" xfId="1978" xr:uid="{00000000-0005-0000-0000-0000AC070000}"/>
    <cellStyle name="40% - Accent6 8 10" xfId="1979" xr:uid="{00000000-0005-0000-0000-0000AD070000}"/>
    <cellStyle name="40% - Accent6 8 11" xfId="1980" xr:uid="{00000000-0005-0000-0000-0000AE070000}"/>
    <cellStyle name="40% - Accent6 8 12" xfId="1981" xr:uid="{00000000-0005-0000-0000-0000AF070000}"/>
    <cellStyle name="40% - Accent6 8 13" xfId="1982" xr:uid="{00000000-0005-0000-0000-0000B0070000}"/>
    <cellStyle name="40% - Accent6 8 2" xfId="1983" xr:uid="{00000000-0005-0000-0000-0000B1070000}"/>
    <cellStyle name="40% - Accent6 8 2 2" xfId="1984" xr:uid="{00000000-0005-0000-0000-0000B2070000}"/>
    <cellStyle name="40% - Accent6 8 3" xfId="1985" xr:uid="{00000000-0005-0000-0000-0000B3070000}"/>
    <cellStyle name="40% - Accent6 8 3 2" xfId="1986" xr:uid="{00000000-0005-0000-0000-0000B4070000}"/>
    <cellStyle name="40% - Accent6 8 4" xfId="1987" xr:uid="{00000000-0005-0000-0000-0000B5070000}"/>
    <cellStyle name="40% - Accent6 8 5" xfId="1988" xr:uid="{00000000-0005-0000-0000-0000B6070000}"/>
    <cellStyle name="40% - Accent6 8 6" xfId="1989" xr:uid="{00000000-0005-0000-0000-0000B7070000}"/>
    <cellStyle name="40% - Accent6 8 7" xfId="1990" xr:uid="{00000000-0005-0000-0000-0000B8070000}"/>
    <cellStyle name="40% - Accent6 8 8" xfId="1991" xr:uid="{00000000-0005-0000-0000-0000B9070000}"/>
    <cellStyle name="40% - Accent6 8 9" xfId="1992" xr:uid="{00000000-0005-0000-0000-0000BA070000}"/>
    <cellStyle name="40% - Accent6 9" xfId="1993" xr:uid="{00000000-0005-0000-0000-0000BB070000}"/>
    <cellStyle name="40% - Accent6 9 10" xfId="1994" xr:uid="{00000000-0005-0000-0000-0000BC070000}"/>
    <cellStyle name="40% - Accent6 9 11" xfId="1995" xr:uid="{00000000-0005-0000-0000-0000BD070000}"/>
    <cellStyle name="40% - Accent6 9 12" xfId="1996" xr:uid="{00000000-0005-0000-0000-0000BE070000}"/>
    <cellStyle name="40% - Accent6 9 2" xfId="1997" xr:uid="{00000000-0005-0000-0000-0000BF070000}"/>
    <cellStyle name="40% - Accent6 9 2 2" xfId="1998" xr:uid="{00000000-0005-0000-0000-0000C0070000}"/>
    <cellStyle name="40% - Accent6 9 3" xfId="1999" xr:uid="{00000000-0005-0000-0000-0000C1070000}"/>
    <cellStyle name="40% - Accent6 9 4" xfId="2000" xr:uid="{00000000-0005-0000-0000-0000C2070000}"/>
    <cellStyle name="40% - Accent6 9 5" xfId="2001" xr:uid="{00000000-0005-0000-0000-0000C3070000}"/>
    <cellStyle name="40% - Accent6 9 6" xfId="2002" xr:uid="{00000000-0005-0000-0000-0000C4070000}"/>
    <cellStyle name="40% - Accent6 9 7" xfId="2003" xr:uid="{00000000-0005-0000-0000-0000C5070000}"/>
    <cellStyle name="40% - Accent6 9 8" xfId="2004" xr:uid="{00000000-0005-0000-0000-0000C6070000}"/>
    <cellStyle name="40% - Accent6 9 9" xfId="2005" xr:uid="{00000000-0005-0000-0000-0000C7070000}"/>
    <cellStyle name="60% - Accent1 2" xfId="2006" xr:uid="{00000000-0005-0000-0000-0000C8070000}"/>
    <cellStyle name="60% - Accent1 3" xfId="2007" xr:uid="{00000000-0005-0000-0000-0000C9070000}"/>
    <cellStyle name="60% - Accent1 4" xfId="2008" xr:uid="{00000000-0005-0000-0000-0000CA070000}"/>
    <cellStyle name="60% - Accent1 5" xfId="2009" xr:uid="{00000000-0005-0000-0000-0000CB070000}"/>
    <cellStyle name="60% - Accent2 2" xfId="2010" xr:uid="{00000000-0005-0000-0000-0000CC070000}"/>
    <cellStyle name="60% - Accent2 3" xfId="2011" xr:uid="{00000000-0005-0000-0000-0000CD070000}"/>
    <cellStyle name="60% - Accent2 4" xfId="2012" xr:uid="{00000000-0005-0000-0000-0000CE070000}"/>
    <cellStyle name="60% - Accent2 5" xfId="2013" xr:uid="{00000000-0005-0000-0000-0000CF070000}"/>
    <cellStyle name="60% - Accent3 2" xfId="2014" xr:uid="{00000000-0005-0000-0000-0000D0070000}"/>
    <cellStyle name="60% - Accent3 3" xfId="2015" xr:uid="{00000000-0005-0000-0000-0000D1070000}"/>
    <cellStyle name="60% - Accent3 4" xfId="2016" xr:uid="{00000000-0005-0000-0000-0000D2070000}"/>
    <cellStyle name="60% - Accent3 5" xfId="2017" xr:uid="{00000000-0005-0000-0000-0000D3070000}"/>
    <cellStyle name="60% - Accent4 2" xfId="2018" xr:uid="{00000000-0005-0000-0000-0000D4070000}"/>
    <cellStyle name="60% - Accent4 3" xfId="2019" xr:uid="{00000000-0005-0000-0000-0000D5070000}"/>
    <cellStyle name="60% - Accent4 4" xfId="2020" xr:uid="{00000000-0005-0000-0000-0000D6070000}"/>
    <cellStyle name="60% - Accent4 5" xfId="2021" xr:uid="{00000000-0005-0000-0000-0000D7070000}"/>
    <cellStyle name="60% - Accent5 2" xfId="2022" xr:uid="{00000000-0005-0000-0000-0000D8070000}"/>
    <cellStyle name="60% - Accent5 3" xfId="2023" xr:uid="{00000000-0005-0000-0000-0000D9070000}"/>
    <cellStyle name="60% - Accent5 4" xfId="2024" xr:uid="{00000000-0005-0000-0000-0000DA070000}"/>
    <cellStyle name="60% - Accent5 5" xfId="2025" xr:uid="{00000000-0005-0000-0000-0000DB070000}"/>
    <cellStyle name="60% - Accent6 2" xfId="2026" xr:uid="{00000000-0005-0000-0000-0000DC070000}"/>
    <cellStyle name="60% - Accent6 3" xfId="2027" xr:uid="{00000000-0005-0000-0000-0000DD070000}"/>
    <cellStyle name="60% - Accent6 4" xfId="2028" xr:uid="{00000000-0005-0000-0000-0000DE070000}"/>
    <cellStyle name="60% - Accent6 5" xfId="2029" xr:uid="{00000000-0005-0000-0000-0000DF070000}"/>
    <cellStyle name="Accent1 2" xfId="2030" xr:uid="{00000000-0005-0000-0000-0000E0070000}"/>
    <cellStyle name="Accent1 3" xfId="2031" xr:uid="{00000000-0005-0000-0000-0000E1070000}"/>
    <cellStyle name="Accent1 4" xfId="2032" xr:uid="{00000000-0005-0000-0000-0000E2070000}"/>
    <cellStyle name="Accent1 5" xfId="2033" xr:uid="{00000000-0005-0000-0000-0000E3070000}"/>
    <cellStyle name="Accent2 2" xfId="2034" xr:uid="{00000000-0005-0000-0000-0000E4070000}"/>
    <cellStyle name="Accent2 3" xfId="2035" xr:uid="{00000000-0005-0000-0000-0000E5070000}"/>
    <cellStyle name="Accent2 4" xfId="2036" xr:uid="{00000000-0005-0000-0000-0000E6070000}"/>
    <cellStyle name="Accent2 5" xfId="2037" xr:uid="{00000000-0005-0000-0000-0000E7070000}"/>
    <cellStyle name="Accent3 2" xfId="2038" xr:uid="{00000000-0005-0000-0000-0000E8070000}"/>
    <cellStyle name="Accent3 3" xfId="2039" xr:uid="{00000000-0005-0000-0000-0000E9070000}"/>
    <cellStyle name="Accent3 4" xfId="2040" xr:uid="{00000000-0005-0000-0000-0000EA070000}"/>
    <cellStyle name="Accent3 5" xfId="2041" xr:uid="{00000000-0005-0000-0000-0000EB070000}"/>
    <cellStyle name="Accent4 2" xfId="2042" xr:uid="{00000000-0005-0000-0000-0000EC070000}"/>
    <cellStyle name="Accent4 3" xfId="2043" xr:uid="{00000000-0005-0000-0000-0000ED070000}"/>
    <cellStyle name="Accent4 4" xfId="2044" xr:uid="{00000000-0005-0000-0000-0000EE070000}"/>
    <cellStyle name="Accent4 5" xfId="2045" xr:uid="{00000000-0005-0000-0000-0000EF070000}"/>
    <cellStyle name="Accent5 2" xfId="2046" xr:uid="{00000000-0005-0000-0000-0000F0070000}"/>
    <cellStyle name="Accent5 3" xfId="2047" xr:uid="{00000000-0005-0000-0000-0000F1070000}"/>
    <cellStyle name="Accent5 4" xfId="2048" xr:uid="{00000000-0005-0000-0000-0000F2070000}"/>
    <cellStyle name="Accent5 5" xfId="2049" xr:uid="{00000000-0005-0000-0000-0000F3070000}"/>
    <cellStyle name="Accent6 2" xfId="2050" xr:uid="{00000000-0005-0000-0000-0000F4070000}"/>
    <cellStyle name="Accent6 3" xfId="2051" xr:uid="{00000000-0005-0000-0000-0000F5070000}"/>
    <cellStyle name="Accent6 4" xfId="2052" xr:uid="{00000000-0005-0000-0000-0000F6070000}"/>
    <cellStyle name="Accent6 5" xfId="2053" xr:uid="{00000000-0005-0000-0000-0000F7070000}"/>
    <cellStyle name="Bad 2" xfId="2054" xr:uid="{00000000-0005-0000-0000-0000F8070000}"/>
    <cellStyle name="Bad 3" xfId="2055" xr:uid="{00000000-0005-0000-0000-0000F9070000}"/>
    <cellStyle name="Bad 4" xfId="2056" xr:uid="{00000000-0005-0000-0000-0000FA070000}"/>
    <cellStyle name="Bad 5" xfId="2057" xr:uid="{00000000-0005-0000-0000-0000FB070000}"/>
    <cellStyle name="Calculation 2" xfId="2058" xr:uid="{00000000-0005-0000-0000-0000FC070000}"/>
    <cellStyle name="Calculation 3" xfId="2059" xr:uid="{00000000-0005-0000-0000-0000FD070000}"/>
    <cellStyle name="Calculation 4" xfId="2060" xr:uid="{00000000-0005-0000-0000-0000FE070000}"/>
    <cellStyle name="Calculation 5" xfId="2061" xr:uid="{00000000-0005-0000-0000-0000FF070000}"/>
    <cellStyle name="Check Cell 2" xfId="2062" xr:uid="{00000000-0005-0000-0000-000000080000}"/>
    <cellStyle name="Check Cell 3" xfId="2063" xr:uid="{00000000-0005-0000-0000-000001080000}"/>
    <cellStyle name="Check Cell 4" xfId="2064" xr:uid="{00000000-0005-0000-0000-000002080000}"/>
    <cellStyle name="Check Cell 5" xfId="2065" xr:uid="{00000000-0005-0000-0000-000003080000}"/>
    <cellStyle name="Comma" xfId="1" builtinId="3"/>
    <cellStyle name="Comma 2" xfId="12" xr:uid="{00000000-0005-0000-0000-000005080000}"/>
    <cellStyle name="Comma 2 2" xfId="2067" xr:uid="{00000000-0005-0000-0000-000006080000}"/>
    <cellStyle name="Comma 2 3" xfId="2068" xr:uid="{00000000-0005-0000-0000-000007080000}"/>
    <cellStyle name="Comma 2 4" xfId="2069" xr:uid="{00000000-0005-0000-0000-000008080000}"/>
    <cellStyle name="Comma 2 5" xfId="2070" xr:uid="{00000000-0005-0000-0000-000009080000}"/>
    <cellStyle name="Comma 2 6" xfId="2071" xr:uid="{00000000-0005-0000-0000-00000A080000}"/>
    <cellStyle name="Comma 2 7" xfId="2072" xr:uid="{00000000-0005-0000-0000-00000B080000}"/>
    <cellStyle name="Comma 2 8" xfId="2066" xr:uid="{00000000-0005-0000-0000-00000C080000}"/>
    <cellStyle name="Comma 3" xfId="3429" xr:uid="{00000000-0005-0000-0000-00000D080000}"/>
    <cellStyle name="Comma 4" xfId="3406" xr:uid="{00000000-0005-0000-0000-00000E080000}"/>
    <cellStyle name="Currency" xfId="2" builtinId="4"/>
    <cellStyle name="Currency 2" xfId="5" xr:uid="{00000000-0005-0000-0000-000010080000}"/>
    <cellStyle name="Currency 2 2" xfId="7" xr:uid="{00000000-0005-0000-0000-000011080000}"/>
    <cellStyle name="Currency 2 2 2" xfId="2073" xr:uid="{00000000-0005-0000-0000-000012080000}"/>
    <cellStyle name="Currency 2 3" xfId="3430" xr:uid="{00000000-0005-0000-0000-000013080000}"/>
    <cellStyle name="Currency 3" xfId="11" xr:uid="{00000000-0005-0000-0000-000014080000}"/>
    <cellStyle name="Currency 3 10" xfId="2075" xr:uid="{00000000-0005-0000-0000-000015080000}"/>
    <cellStyle name="Currency 3 11" xfId="2076" xr:uid="{00000000-0005-0000-0000-000016080000}"/>
    <cellStyle name="Currency 3 12" xfId="2077" xr:uid="{00000000-0005-0000-0000-000017080000}"/>
    <cellStyle name="Currency 3 13" xfId="2078" xr:uid="{00000000-0005-0000-0000-000018080000}"/>
    <cellStyle name="Currency 3 14" xfId="2079" xr:uid="{00000000-0005-0000-0000-000019080000}"/>
    <cellStyle name="Currency 3 15" xfId="2080" xr:uid="{00000000-0005-0000-0000-00001A080000}"/>
    <cellStyle name="Currency 3 16" xfId="2081" xr:uid="{00000000-0005-0000-0000-00001B080000}"/>
    <cellStyle name="Currency 3 17" xfId="2074" xr:uid="{00000000-0005-0000-0000-00001C080000}"/>
    <cellStyle name="Currency 3 2" xfId="2082" xr:uid="{00000000-0005-0000-0000-00001D080000}"/>
    <cellStyle name="Currency 3 3" xfId="2083" xr:uid="{00000000-0005-0000-0000-00001E080000}"/>
    <cellStyle name="Currency 3 4" xfId="2084" xr:uid="{00000000-0005-0000-0000-00001F080000}"/>
    <cellStyle name="Currency 3 5" xfId="2085" xr:uid="{00000000-0005-0000-0000-000020080000}"/>
    <cellStyle name="Currency 3 6" xfId="2086" xr:uid="{00000000-0005-0000-0000-000021080000}"/>
    <cellStyle name="Currency 3 7" xfId="2087" xr:uid="{00000000-0005-0000-0000-000022080000}"/>
    <cellStyle name="Currency 3 8" xfId="2088" xr:uid="{00000000-0005-0000-0000-000023080000}"/>
    <cellStyle name="Currency 3 9" xfId="2089" xr:uid="{00000000-0005-0000-0000-000024080000}"/>
    <cellStyle name="Currency 4" xfId="2090" xr:uid="{00000000-0005-0000-0000-000025080000}"/>
    <cellStyle name="Currency 5" xfId="2091" xr:uid="{00000000-0005-0000-0000-000026080000}"/>
    <cellStyle name="Currency 5 10" xfId="2092" xr:uid="{00000000-0005-0000-0000-000027080000}"/>
    <cellStyle name="Currency 5 11" xfId="2093" xr:uid="{00000000-0005-0000-0000-000028080000}"/>
    <cellStyle name="Currency 5 12" xfId="2094" xr:uid="{00000000-0005-0000-0000-000029080000}"/>
    <cellStyle name="Currency 5 13" xfId="2095" xr:uid="{00000000-0005-0000-0000-00002A080000}"/>
    <cellStyle name="Currency 5 14" xfId="2096" xr:uid="{00000000-0005-0000-0000-00002B080000}"/>
    <cellStyle name="Currency 5 15" xfId="2097" xr:uid="{00000000-0005-0000-0000-00002C080000}"/>
    <cellStyle name="Currency 5 16" xfId="2098" xr:uid="{00000000-0005-0000-0000-00002D080000}"/>
    <cellStyle name="Currency 5 2" xfId="2099" xr:uid="{00000000-0005-0000-0000-00002E080000}"/>
    <cellStyle name="Currency 5 3" xfId="2100" xr:uid="{00000000-0005-0000-0000-00002F080000}"/>
    <cellStyle name="Currency 5 4" xfId="2101" xr:uid="{00000000-0005-0000-0000-000030080000}"/>
    <cellStyle name="Currency 5 5" xfId="2102" xr:uid="{00000000-0005-0000-0000-000031080000}"/>
    <cellStyle name="Currency 5 6" xfId="2103" xr:uid="{00000000-0005-0000-0000-000032080000}"/>
    <cellStyle name="Currency 5 7" xfId="2104" xr:uid="{00000000-0005-0000-0000-000033080000}"/>
    <cellStyle name="Currency 5 8" xfId="2105" xr:uid="{00000000-0005-0000-0000-000034080000}"/>
    <cellStyle name="Currency 5 9" xfId="2106" xr:uid="{00000000-0005-0000-0000-000035080000}"/>
    <cellStyle name="Currency 6" xfId="2107" xr:uid="{00000000-0005-0000-0000-000036080000}"/>
    <cellStyle name="Currency 6 2" xfId="2108" xr:uid="{00000000-0005-0000-0000-000037080000}"/>
    <cellStyle name="Currency 7" xfId="3431" xr:uid="{00000000-0005-0000-0000-000038080000}"/>
    <cellStyle name="Euro" xfId="2109" xr:uid="{00000000-0005-0000-0000-000039080000}"/>
    <cellStyle name="Euro 2" xfId="2110" xr:uid="{00000000-0005-0000-0000-00003A080000}"/>
    <cellStyle name="Euro 2 2" xfId="3432" xr:uid="{00000000-0005-0000-0000-00003B080000}"/>
    <cellStyle name="Euro 3" xfId="2111" xr:uid="{00000000-0005-0000-0000-00003C080000}"/>
    <cellStyle name="Euro 3 10" xfId="2112" xr:uid="{00000000-0005-0000-0000-00003D080000}"/>
    <cellStyle name="Euro 3 11" xfId="2113" xr:uid="{00000000-0005-0000-0000-00003E080000}"/>
    <cellStyle name="Euro 3 12" xfId="2114" xr:uid="{00000000-0005-0000-0000-00003F080000}"/>
    <cellStyle name="Euro 3 13" xfId="2115" xr:uid="{00000000-0005-0000-0000-000040080000}"/>
    <cellStyle name="Euro 3 14" xfId="2116" xr:uid="{00000000-0005-0000-0000-000041080000}"/>
    <cellStyle name="Euro 3 15" xfId="2117" xr:uid="{00000000-0005-0000-0000-000042080000}"/>
    <cellStyle name="Euro 3 16" xfId="2118" xr:uid="{00000000-0005-0000-0000-000043080000}"/>
    <cellStyle name="Euro 3 2" xfId="2119" xr:uid="{00000000-0005-0000-0000-000044080000}"/>
    <cellStyle name="Euro 3 3" xfId="2120" xr:uid="{00000000-0005-0000-0000-000045080000}"/>
    <cellStyle name="Euro 3 4" xfId="2121" xr:uid="{00000000-0005-0000-0000-000046080000}"/>
    <cellStyle name="Euro 3 5" xfId="2122" xr:uid="{00000000-0005-0000-0000-000047080000}"/>
    <cellStyle name="Euro 3 6" xfId="2123" xr:uid="{00000000-0005-0000-0000-000048080000}"/>
    <cellStyle name="Euro 3 7" xfId="2124" xr:uid="{00000000-0005-0000-0000-000049080000}"/>
    <cellStyle name="Euro 3 8" xfId="2125" xr:uid="{00000000-0005-0000-0000-00004A080000}"/>
    <cellStyle name="Euro 3 9" xfId="2126" xr:uid="{00000000-0005-0000-0000-00004B080000}"/>
    <cellStyle name="Euro 4" xfId="3433" xr:uid="{00000000-0005-0000-0000-00004C080000}"/>
    <cellStyle name="Explanatory Text 2" xfId="2127" xr:uid="{00000000-0005-0000-0000-00004D080000}"/>
    <cellStyle name="Explanatory Text 3" xfId="2128" xr:uid="{00000000-0005-0000-0000-00004E080000}"/>
    <cellStyle name="Explanatory Text 4" xfId="2129" xr:uid="{00000000-0005-0000-0000-00004F080000}"/>
    <cellStyle name="Explanatory Text 5" xfId="2130" xr:uid="{00000000-0005-0000-0000-000050080000}"/>
    <cellStyle name="Fittings" xfId="2131" xr:uid="{00000000-0005-0000-0000-000051080000}"/>
    <cellStyle name="Good 2" xfId="2132" xr:uid="{00000000-0005-0000-0000-000052080000}"/>
    <cellStyle name="Good 3" xfId="2133" xr:uid="{00000000-0005-0000-0000-000053080000}"/>
    <cellStyle name="Good 4" xfId="2134" xr:uid="{00000000-0005-0000-0000-000054080000}"/>
    <cellStyle name="Good 5" xfId="2135" xr:uid="{00000000-0005-0000-0000-000055080000}"/>
    <cellStyle name="Heading 1 2" xfId="2136" xr:uid="{00000000-0005-0000-0000-000056080000}"/>
    <cellStyle name="Heading 1 3" xfId="2137" xr:uid="{00000000-0005-0000-0000-000057080000}"/>
    <cellStyle name="Heading 1 4" xfId="2138" xr:uid="{00000000-0005-0000-0000-000058080000}"/>
    <cellStyle name="Heading 1 5" xfId="2139" xr:uid="{00000000-0005-0000-0000-000059080000}"/>
    <cellStyle name="Heading 2 2" xfId="2140" xr:uid="{00000000-0005-0000-0000-00005A080000}"/>
    <cellStyle name="Heading 2 3" xfId="2141" xr:uid="{00000000-0005-0000-0000-00005B080000}"/>
    <cellStyle name="Heading 2 4" xfId="2142" xr:uid="{00000000-0005-0000-0000-00005C080000}"/>
    <cellStyle name="Heading 2 5" xfId="2143" xr:uid="{00000000-0005-0000-0000-00005D080000}"/>
    <cellStyle name="Heading 3 2" xfId="2144" xr:uid="{00000000-0005-0000-0000-00005E080000}"/>
    <cellStyle name="Heading 3 3" xfId="2145" xr:uid="{00000000-0005-0000-0000-00005F080000}"/>
    <cellStyle name="Heading 3 4" xfId="2146" xr:uid="{00000000-0005-0000-0000-000060080000}"/>
    <cellStyle name="Heading 3 5" xfId="2147" xr:uid="{00000000-0005-0000-0000-000061080000}"/>
    <cellStyle name="Heading 4 2" xfId="2148" xr:uid="{00000000-0005-0000-0000-000062080000}"/>
    <cellStyle name="Heading 4 3" xfId="2149" xr:uid="{00000000-0005-0000-0000-000063080000}"/>
    <cellStyle name="Heading 4 4" xfId="2150" xr:uid="{00000000-0005-0000-0000-000064080000}"/>
    <cellStyle name="Heading 4 5" xfId="2151" xr:uid="{00000000-0005-0000-0000-000065080000}"/>
    <cellStyle name="Hyperlink 2" xfId="3434" xr:uid="{00000000-0005-0000-0000-000066080000}"/>
    <cellStyle name="Input 2" xfId="2152" xr:uid="{00000000-0005-0000-0000-000067080000}"/>
    <cellStyle name="Input 3" xfId="2153" xr:uid="{00000000-0005-0000-0000-000068080000}"/>
    <cellStyle name="Input 4" xfId="2154" xr:uid="{00000000-0005-0000-0000-000069080000}"/>
    <cellStyle name="Input 5" xfId="2155" xr:uid="{00000000-0005-0000-0000-00006A080000}"/>
    <cellStyle name="Linked Cell 2" xfId="2156" xr:uid="{00000000-0005-0000-0000-00006B080000}"/>
    <cellStyle name="Linked Cell 3" xfId="2157" xr:uid="{00000000-0005-0000-0000-00006C080000}"/>
    <cellStyle name="Linked Cell 4" xfId="2158" xr:uid="{00000000-0005-0000-0000-00006D080000}"/>
    <cellStyle name="Linked Cell 5" xfId="2159" xr:uid="{00000000-0005-0000-0000-00006E080000}"/>
    <cellStyle name="Neutral 2" xfId="2160" xr:uid="{00000000-0005-0000-0000-00006F080000}"/>
    <cellStyle name="Neutral 3" xfId="2161" xr:uid="{00000000-0005-0000-0000-000070080000}"/>
    <cellStyle name="Neutral 4" xfId="2162" xr:uid="{00000000-0005-0000-0000-000071080000}"/>
    <cellStyle name="Neutral 5" xfId="2163" xr:uid="{00000000-0005-0000-0000-000072080000}"/>
    <cellStyle name="Normal" xfId="0" builtinId="0"/>
    <cellStyle name="Normal 10" xfId="3416" xr:uid="{00000000-0005-0000-0000-000074080000}"/>
    <cellStyle name="Normal 11" xfId="2164" xr:uid="{00000000-0005-0000-0000-000075080000}"/>
    <cellStyle name="Normal 11 2" xfId="3417" xr:uid="{00000000-0005-0000-0000-000076080000}"/>
    <cellStyle name="Normal 12" xfId="3418" xr:uid="{00000000-0005-0000-0000-000077080000}"/>
    <cellStyle name="Normal 13" xfId="2165" xr:uid="{00000000-0005-0000-0000-000078080000}"/>
    <cellStyle name="Normal 13 2" xfId="3419" xr:uid="{00000000-0005-0000-0000-000079080000}"/>
    <cellStyle name="Normal 14" xfId="2166" xr:uid="{00000000-0005-0000-0000-00007A080000}"/>
    <cellStyle name="Normal 14 2" xfId="3421" xr:uid="{00000000-0005-0000-0000-00007B080000}"/>
    <cellStyle name="Normal 15" xfId="3408" xr:uid="{00000000-0005-0000-0000-00007C080000}"/>
    <cellStyle name="Normal 16" xfId="3407" xr:uid="{00000000-0005-0000-0000-00007D080000}"/>
    <cellStyle name="Normal 17" xfId="3425" xr:uid="{00000000-0005-0000-0000-00007E080000}"/>
    <cellStyle name="Normal 18" xfId="3435" xr:uid="{00000000-0005-0000-0000-00007F080000}"/>
    <cellStyle name="Normal 19" xfId="3436" xr:uid="{00000000-0005-0000-0000-000080080000}"/>
    <cellStyle name="Normal 2" xfId="4" xr:uid="{00000000-0005-0000-0000-000081080000}"/>
    <cellStyle name="Normal 2 10" xfId="2168" xr:uid="{00000000-0005-0000-0000-000082080000}"/>
    <cellStyle name="Normal 2 10 10" xfId="2169" xr:uid="{00000000-0005-0000-0000-000083080000}"/>
    <cellStyle name="Normal 2 10 11" xfId="2170" xr:uid="{00000000-0005-0000-0000-000084080000}"/>
    <cellStyle name="Normal 2 10 12" xfId="2171" xr:uid="{00000000-0005-0000-0000-000085080000}"/>
    <cellStyle name="Normal 2 10 13" xfId="2172" xr:uid="{00000000-0005-0000-0000-000086080000}"/>
    <cellStyle name="Normal 2 10 14" xfId="2173" xr:uid="{00000000-0005-0000-0000-000087080000}"/>
    <cellStyle name="Normal 2 10 2" xfId="2174" xr:uid="{00000000-0005-0000-0000-000088080000}"/>
    <cellStyle name="Normal 2 10 2 2" xfId="2175" xr:uid="{00000000-0005-0000-0000-000089080000}"/>
    <cellStyle name="Normal 2 10 3" xfId="2176" xr:uid="{00000000-0005-0000-0000-00008A080000}"/>
    <cellStyle name="Normal 2 10 3 2" xfId="2177" xr:uid="{00000000-0005-0000-0000-00008B080000}"/>
    <cellStyle name="Normal 2 10 4" xfId="2178" xr:uid="{00000000-0005-0000-0000-00008C080000}"/>
    <cellStyle name="Normal 2 10 5" xfId="2179" xr:uid="{00000000-0005-0000-0000-00008D080000}"/>
    <cellStyle name="Normal 2 10 6" xfId="2180" xr:uid="{00000000-0005-0000-0000-00008E080000}"/>
    <cellStyle name="Normal 2 10 7" xfId="2181" xr:uid="{00000000-0005-0000-0000-00008F080000}"/>
    <cellStyle name="Normal 2 10 8" xfId="2182" xr:uid="{00000000-0005-0000-0000-000090080000}"/>
    <cellStyle name="Normal 2 10 9" xfId="2183" xr:uid="{00000000-0005-0000-0000-000091080000}"/>
    <cellStyle name="Normal 2 11" xfId="2184" xr:uid="{00000000-0005-0000-0000-000092080000}"/>
    <cellStyle name="Normal 2 11 2" xfId="2185" xr:uid="{00000000-0005-0000-0000-000093080000}"/>
    <cellStyle name="Normal 2 11 2 2" xfId="2186" xr:uid="{00000000-0005-0000-0000-000094080000}"/>
    <cellStyle name="Normal 2 11 2 2 2" xfId="2187" xr:uid="{00000000-0005-0000-0000-000095080000}"/>
    <cellStyle name="Normal 2 11 2 2 3" xfId="2188" xr:uid="{00000000-0005-0000-0000-000096080000}"/>
    <cellStyle name="Normal 2 11 2 2 4" xfId="2189" xr:uid="{00000000-0005-0000-0000-000097080000}"/>
    <cellStyle name="Normal 2 11 2 2 5" xfId="2190" xr:uid="{00000000-0005-0000-0000-000098080000}"/>
    <cellStyle name="Normal 2 11 2 2 6" xfId="2191" xr:uid="{00000000-0005-0000-0000-000099080000}"/>
    <cellStyle name="Normal 2 11 2 2 7" xfId="2192" xr:uid="{00000000-0005-0000-0000-00009A080000}"/>
    <cellStyle name="Normal 2 11 2 2 8" xfId="2193" xr:uid="{00000000-0005-0000-0000-00009B080000}"/>
    <cellStyle name="Normal 2 11 2 3" xfId="2194" xr:uid="{00000000-0005-0000-0000-00009C080000}"/>
    <cellStyle name="Normal 2 11 2 4" xfId="2195" xr:uid="{00000000-0005-0000-0000-00009D080000}"/>
    <cellStyle name="Normal 2 11 2 5" xfId="2196" xr:uid="{00000000-0005-0000-0000-00009E080000}"/>
    <cellStyle name="Normal 2 11 2 6" xfId="2197" xr:uid="{00000000-0005-0000-0000-00009F080000}"/>
    <cellStyle name="Normal 2 11 2 7" xfId="2198" xr:uid="{00000000-0005-0000-0000-0000A0080000}"/>
    <cellStyle name="Normal 2 11 2 8" xfId="2199" xr:uid="{00000000-0005-0000-0000-0000A1080000}"/>
    <cellStyle name="Normal 2 11 3" xfId="2200" xr:uid="{00000000-0005-0000-0000-0000A2080000}"/>
    <cellStyle name="Normal 2 11 4" xfId="2201" xr:uid="{00000000-0005-0000-0000-0000A3080000}"/>
    <cellStyle name="Normal 2 11 5" xfId="2202" xr:uid="{00000000-0005-0000-0000-0000A4080000}"/>
    <cellStyle name="Normal 2 11 6" xfId="2203" xr:uid="{00000000-0005-0000-0000-0000A5080000}"/>
    <cellStyle name="Normal 2 11 7" xfId="2204" xr:uid="{00000000-0005-0000-0000-0000A6080000}"/>
    <cellStyle name="Normal 2 11 8" xfId="2205" xr:uid="{00000000-0005-0000-0000-0000A7080000}"/>
    <cellStyle name="Normal 2 12" xfId="2206" xr:uid="{00000000-0005-0000-0000-0000A8080000}"/>
    <cellStyle name="Normal 2 13" xfId="2207" xr:uid="{00000000-0005-0000-0000-0000A9080000}"/>
    <cellStyle name="Normal 2 14" xfId="2208" xr:uid="{00000000-0005-0000-0000-0000AA080000}"/>
    <cellStyle name="Normal 2 15" xfId="2209" xr:uid="{00000000-0005-0000-0000-0000AB080000}"/>
    <cellStyle name="Normal 2 16" xfId="2210" xr:uid="{00000000-0005-0000-0000-0000AC080000}"/>
    <cellStyle name="Normal 2 17" xfId="2211" xr:uid="{00000000-0005-0000-0000-0000AD080000}"/>
    <cellStyle name="Normal 2 18" xfId="2212" xr:uid="{00000000-0005-0000-0000-0000AE080000}"/>
    <cellStyle name="Normal 2 19" xfId="2213" xr:uid="{00000000-0005-0000-0000-0000AF080000}"/>
    <cellStyle name="Normal 2 2" xfId="8" xr:uid="{00000000-0005-0000-0000-0000B0080000}"/>
    <cellStyle name="Normal 2 2 10" xfId="2215" xr:uid="{00000000-0005-0000-0000-0000B1080000}"/>
    <cellStyle name="Normal 2 2 10 2" xfId="2216" xr:uid="{00000000-0005-0000-0000-0000B2080000}"/>
    <cellStyle name="Normal 2 2 10 3" xfId="2217" xr:uid="{00000000-0005-0000-0000-0000B3080000}"/>
    <cellStyle name="Normal 2 2 10 4" xfId="2218" xr:uid="{00000000-0005-0000-0000-0000B4080000}"/>
    <cellStyle name="Normal 2 2 10 5" xfId="2219" xr:uid="{00000000-0005-0000-0000-0000B5080000}"/>
    <cellStyle name="Normal 2 2 10 6" xfId="2220" xr:uid="{00000000-0005-0000-0000-0000B6080000}"/>
    <cellStyle name="Normal 2 2 10 7" xfId="2221" xr:uid="{00000000-0005-0000-0000-0000B7080000}"/>
    <cellStyle name="Normal 2 2 10 8" xfId="2222" xr:uid="{00000000-0005-0000-0000-0000B8080000}"/>
    <cellStyle name="Normal 2 2 11" xfId="2223" xr:uid="{00000000-0005-0000-0000-0000B9080000}"/>
    <cellStyle name="Normal 2 2 12" xfId="2224" xr:uid="{00000000-0005-0000-0000-0000BA080000}"/>
    <cellStyle name="Normal 2 2 13" xfId="2225" xr:uid="{00000000-0005-0000-0000-0000BB080000}"/>
    <cellStyle name="Normal 2 2 14" xfId="2226" xr:uid="{00000000-0005-0000-0000-0000BC080000}"/>
    <cellStyle name="Normal 2 2 15" xfId="2227" xr:uid="{00000000-0005-0000-0000-0000BD080000}"/>
    <cellStyle name="Normal 2 2 16" xfId="2228" xr:uid="{00000000-0005-0000-0000-0000BE080000}"/>
    <cellStyle name="Normal 2 2 17" xfId="2229" xr:uid="{00000000-0005-0000-0000-0000BF080000}"/>
    <cellStyle name="Normal 2 2 18" xfId="2230" xr:uid="{00000000-0005-0000-0000-0000C0080000}"/>
    <cellStyle name="Normal 2 2 19" xfId="2231" xr:uid="{00000000-0005-0000-0000-0000C1080000}"/>
    <cellStyle name="Normal 2 2 2" xfId="2232" xr:uid="{00000000-0005-0000-0000-0000C2080000}"/>
    <cellStyle name="Normal 2 2 2 10" xfId="2233" xr:uid="{00000000-0005-0000-0000-0000C3080000}"/>
    <cellStyle name="Normal 2 2 2 11" xfId="2234" xr:uid="{00000000-0005-0000-0000-0000C4080000}"/>
    <cellStyle name="Normal 2 2 2 12" xfId="2235" xr:uid="{00000000-0005-0000-0000-0000C5080000}"/>
    <cellStyle name="Normal 2 2 2 13" xfId="2236" xr:uid="{00000000-0005-0000-0000-0000C6080000}"/>
    <cellStyle name="Normal 2 2 2 14" xfId="2237" xr:uid="{00000000-0005-0000-0000-0000C7080000}"/>
    <cellStyle name="Normal 2 2 2 15" xfId="2238" xr:uid="{00000000-0005-0000-0000-0000C8080000}"/>
    <cellStyle name="Normal 2 2 2 16" xfId="3428" xr:uid="{00000000-0005-0000-0000-0000C9080000}"/>
    <cellStyle name="Normal 2 2 2 17" xfId="3515" xr:uid="{00000000-0005-0000-0000-0000CA080000}"/>
    <cellStyle name="Normal 2 2 2 2" xfId="2239" xr:uid="{00000000-0005-0000-0000-0000CB080000}"/>
    <cellStyle name="Normal 2 2 2 2 10" xfId="2240" xr:uid="{00000000-0005-0000-0000-0000CC080000}"/>
    <cellStyle name="Normal 2 2 2 2 11" xfId="2241" xr:uid="{00000000-0005-0000-0000-0000CD080000}"/>
    <cellStyle name="Normal 2 2 2 2 12" xfId="2242" xr:uid="{00000000-0005-0000-0000-0000CE080000}"/>
    <cellStyle name="Normal 2 2 2 2 13" xfId="2243" xr:uid="{00000000-0005-0000-0000-0000CF080000}"/>
    <cellStyle name="Normal 2 2 2 2 14" xfId="2244" xr:uid="{00000000-0005-0000-0000-0000D0080000}"/>
    <cellStyle name="Normal 2 2 2 2 15" xfId="2245" xr:uid="{00000000-0005-0000-0000-0000D1080000}"/>
    <cellStyle name="Normal 2 2 2 2 16" xfId="2246" xr:uid="{00000000-0005-0000-0000-0000D2080000}"/>
    <cellStyle name="Normal 2 2 2 2 17" xfId="2247" xr:uid="{00000000-0005-0000-0000-0000D3080000}"/>
    <cellStyle name="Normal 2 2 2 2 18" xfId="2248" xr:uid="{00000000-0005-0000-0000-0000D4080000}"/>
    <cellStyle name="Normal 2 2 2 2 2" xfId="2249" xr:uid="{00000000-0005-0000-0000-0000D5080000}"/>
    <cellStyle name="Normal 2 2 2 2 2 10" xfId="2250" xr:uid="{00000000-0005-0000-0000-0000D6080000}"/>
    <cellStyle name="Normal 2 2 2 2 2 11" xfId="2251" xr:uid="{00000000-0005-0000-0000-0000D7080000}"/>
    <cellStyle name="Normal 2 2 2 2 2 12" xfId="2252" xr:uid="{00000000-0005-0000-0000-0000D8080000}"/>
    <cellStyle name="Normal 2 2 2 2 2 13" xfId="2253" xr:uid="{00000000-0005-0000-0000-0000D9080000}"/>
    <cellStyle name="Normal 2 2 2 2 2 14" xfId="2254" xr:uid="{00000000-0005-0000-0000-0000DA080000}"/>
    <cellStyle name="Normal 2 2 2 2 2 2" xfId="2255" xr:uid="{00000000-0005-0000-0000-0000DB080000}"/>
    <cellStyle name="Normal 2 2 2 2 2 2 10" xfId="2256" xr:uid="{00000000-0005-0000-0000-0000DC080000}"/>
    <cellStyle name="Normal 2 2 2 2 2 2 11" xfId="2257" xr:uid="{00000000-0005-0000-0000-0000DD080000}"/>
    <cellStyle name="Normal 2 2 2 2 2 2 12" xfId="2258" xr:uid="{00000000-0005-0000-0000-0000DE080000}"/>
    <cellStyle name="Normal 2 2 2 2 2 2 13" xfId="2259" xr:uid="{00000000-0005-0000-0000-0000DF080000}"/>
    <cellStyle name="Normal 2 2 2 2 2 2 14" xfId="2260" xr:uid="{00000000-0005-0000-0000-0000E0080000}"/>
    <cellStyle name="Normal 2 2 2 2 2 2 15" xfId="2261" xr:uid="{00000000-0005-0000-0000-0000E1080000}"/>
    <cellStyle name="Normal 2 2 2 2 2 2 16" xfId="2262" xr:uid="{00000000-0005-0000-0000-0000E2080000}"/>
    <cellStyle name="Normal 2 2 2 2 2 2 17" xfId="2263" xr:uid="{00000000-0005-0000-0000-0000E3080000}"/>
    <cellStyle name="Normal 2 2 2 2 2 2 2" xfId="2264" xr:uid="{00000000-0005-0000-0000-0000E4080000}"/>
    <cellStyle name="Normal 2 2 2 2 2 2 2 10" xfId="2265" xr:uid="{00000000-0005-0000-0000-0000E5080000}"/>
    <cellStyle name="Normal 2 2 2 2 2 2 2 11" xfId="2266" xr:uid="{00000000-0005-0000-0000-0000E6080000}"/>
    <cellStyle name="Normal 2 2 2 2 2 2 2 12" xfId="2267" xr:uid="{00000000-0005-0000-0000-0000E7080000}"/>
    <cellStyle name="Normal 2 2 2 2 2 2 2 2" xfId="2268" xr:uid="{00000000-0005-0000-0000-0000E8080000}"/>
    <cellStyle name="Normal 2 2 2 2 2 2 2 2 10" xfId="2269" xr:uid="{00000000-0005-0000-0000-0000E9080000}"/>
    <cellStyle name="Normal 2 2 2 2 2 2 2 2 11" xfId="2270" xr:uid="{00000000-0005-0000-0000-0000EA080000}"/>
    <cellStyle name="Normal 2 2 2 2 2 2 2 2 12" xfId="2271" xr:uid="{00000000-0005-0000-0000-0000EB080000}"/>
    <cellStyle name="Normal 2 2 2 2 2 2 2 2 13" xfId="2272" xr:uid="{00000000-0005-0000-0000-0000EC080000}"/>
    <cellStyle name="Normal 2 2 2 2 2 2 2 2 2" xfId="2273" xr:uid="{00000000-0005-0000-0000-0000ED080000}"/>
    <cellStyle name="Normal 2 2 2 2 2 2 2 2 2 10" xfId="2274" xr:uid="{00000000-0005-0000-0000-0000EE080000}"/>
    <cellStyle name="Normal 2 2 2 2 2 2 2 2 2 2" xfId="2275" xr:uid="{00000000-0005-0000-0000-0000EF080000}"/>
    <cellStyle name="Normal 2 2 2 2 2 2 2 2 2 2 10" xfId="2276" xr:uid="{00000000-0005-0000-0000-0000F0080000}"/>
    <cellStyle name="Normal 2 2 2 2 2 2 2 2 2 2 11" xfId="2277" xr:uid="{00000000-0005-0000-0000-0000F1080000}"/>
    <cellStyle name="Normal 2 2 2 2 2 2 2 2 2 2 2" xfId="2278" xr:uid="{00000000-0005-0000-0000-0000F2080000}"/>
    <cellStyle name="Normal 2 2 2 2 2 2 2 2 2 2 2 2" xfId="2279" xr:uid="{00000000-0005-0000-0000-0000F3080000}"/>
    <cellStyle name="Normal 2 2 2 2 2 2 2 2 2 2 2 2 2" xfId="2280" xr:uid="{00000000-0005-0000-0000-0000F4080000}"/>
    <cellStyle name="Normal 2 2 2 2 2 2 2 2 2 2 2 2 2 2" xfId="2281" xr:uid="{00000000-0005-0000-0000-0000F5080000}"/>
    <cellStyle name="Normal 2 2 2 2 2 2 2 2 2 2 2 2 3" xfId="2282" xr:uid="{00000000-0005-0000-0000-0000F6080000}"/>
    <cellStyle name="Normal 2 2 2 2 2 2 2 2 2 2 2 2 4" xfId="2283" xr:uid="{00000000-0005-0000-0000-0000F7080000}"/>
    <cellStyle name="Normal 2 2 2 2 2 2 2 2 2 2 2 2 5" xfId="2284" xr:uid="{00000000-0005-0000-0000-0000F8080000}"/>
    <cellStyle name="Normal 2 2 2 2 2 2 2 2 2 2 2 2 6" xfId="2285" xr:uid="{00000000-0005-0000-0000-0000F9080000}"/>
    <cellStyle name="Normal 2 2 2 2 2 2 2 2 2 2 2 2 7" xfId="2286" xr:uid="{00000000-0005-0000-0000-0000FA080000}"/>
    <cellStyle name="Normal 2 2 2 2 2 2 2 2 2 2 2 2 8" xfId="2287" xr:uid="{00000000-0005-0000-0000-0000FB080000}"/>
    <cellStyle name="Normal 2 2 2 2 2 2 2 2 2 2 2 3" xfId="2288" xr:uid="{00000000-0005-0000-0000-0000FC080000}"/>
    <cellStyle name="Normal 2 2 2 2 2 2 2 2 2 2 2 4" xfId="2289" xr:uid="{00000000-0005-0000-0000-0000FD080000}"/>
    <cellStyle name="Normal 2 2 2 2 2 2 2 2 2 2 2 5" xfId="2290" xr:uid="{00000000-0005-0000-0000-0000FE080000}"/>
    <cellStyle name="Normal 2 2 2 2 2 2 2 2 2 2 2 6" xfId="2291" xr:uid="{00000000-0005-0000-0000-0000FF080000}"/>
    <cellStyle name="Normal 2 2 2 2 2 2 2 2 2 2 2 7" xfId="2292" xr:uid="{00000000-0005-0000-0000-000000090000}"/>
    <cellStyle name="Normal 2 2 2 2 2 2 2 2 2 2 2 8" xfId="2293" xr:uid="{00000000-0005-0000-0000-000001090000}"/>
    <cellStyle name="Normal 2 2 2 2 2 2 2 2 2 2 3" xfId="2294" xr:uid="{00000000-0005-0000-0000-000002090000}"/>
    <cellStyle name="Normal 2 2 2 2 2 2 2 2 2 2 4" xfId="2295" xr:uid="{00000000-0005-0000-0000-000003090000}"/>
    <cellStyle name="Normal 2 2 2 2 2 2 2 2 2 2 5" xfId="2296" xr:uid="{00000000-0005-0000-0000-000004090000}"/>
    <cellStyle name="Normal 2 2 2 2 2 2 2 2 2 2 6" xfId="2297" xr:uid="{00000000-0005-0000-0000-000005090000}"/>
    <cellStyle name="Normal 2 2 2 2 2 2 2 2 2 2 7" xfId="2298" xr:uid="{00000000-0005-0000-0000-000006090000}"/>
    <cellStyle name="Normal 2 2 2 2 2 2 2 2 2 2 8" xfId="2299" xr:uid="{00000000-0005-0000-0000-000007090000}"/>
    <cellStyle name="Normal 2 2 2 2 2 2 2 2 2 2 9" xfId="2300" xr:uid="{00000000-0005-0000-0000-000008090000}"/>
    <cellStyle name="Normal 2 2 2 2 2 2 2 2 2 3" xfId="2301" xr:uid="{00000000-0005-0000-0000-000009090000}"/>
    <cellStyle name="Normal 2 2 2 2 2 2 2 2 2 3 10" xfId="2302" xr:uid="{00000000-0005-0000-0000-00000A090000}"/>
    <cellStyle name="Normal 2 2 2 2 2 2 2 2 2 3 11" xfId="2303" xr:uid="{00000000-0005-0000-0000-00000B090000}"/>
    <cellStyle name="Normal 2 2 2 2 2 2 2 2 2 3 2" xfId="2304" xr:uid="{00000000-0005-0000-0000-00000C090000}"/>
    <cellStyle name="Normal 2 2 2 2 2 2 2 2 2 3 2 2" xfId="2305" xr:uid="{00000000-0005-0000-0000-00000D090000}"/>
    <cellStyle name="Normal 2 2 2 2 2 2 2 2 2 3 2 3" xfId="2306" xr:uid="{00000000-0005-0000-0000-00000E090000}"/>
    <cellStyle name="Normal 2 2 2 2 2 2 2 2 2 3 2 4" xfId="2307" xr:uid="{00000000-0005-0000-0000-00000F090000}"/>
    <cellStyle name="Normal 2 2 2 2 2 2 2 2 2 3 2 5" xfId="2308" xr:uid="{00000000-0005-0000-0000-000010090000}"/>
    <cellStyle name="Normal 2 2 2 2 2 2 2 2 2 3 2 6" xfId="2309" xr:uid="{00000000-0005-0000-0000-000011090000}"/>
    <cellStyle name="Normal 2 2 2 2 2 2 2 2 2 3 2 7" xfId="2310" xr:uid="{00000000-0005-0000-0000-000012090000}"/>
    <cellStyle name="Normal 2 2 2 2 2 2 2 2 2 3 2 8" xfId="2311" xr:uid="{00000000-0005-0000-0000-000013090000}"/>
    <cellStyle name="Normal 2 2 2 2 2 2 2 2 2 3 3" xfId="2312" xr:uid="{00000000-0005-0000-0000-000014090000}"/>
    <cellStyle name="Normal 2 2 2 2 2 2 2 2 2 3 4" xfId="2313" xr:uid="{00000000-0005-0000-0000-000015090000}"/>
    <cellStyle name="Normal 2 2 2 2 2 2 2 2 2 3 5" xfId="2314" xr:uid="{00000000-0005-0000-0000-000016090000}"/>
    <cellStyle name="Normal 2 2 2 2 2 2 2 2 2 3 6" xfId="2315" xr:uid="{00000000-0005-0000-0000-000017090000}"/>
    <cellStyle name="Normal 2 2 2 2 2 2 2 2 2 3 7" xfId="2316" xr:uid="{00000000-0005-0000-0000-000018090000}"/>
    <cellStyle name="Normal 2 2 2 2 2 2 2 2 2 3 8" xfId="2317" xr:uid="{00000000-0005-0000-0000-000019090000}"/>
    <cellStyle name="Normal 2 2 2 2 2 2 2 2 2 3 9" xfId="2318" xr:uid="{00000000-0005-0000-0000-00001A090000}"/>
    <cellStyle name="Normal 2 2 2 2 2 2 2 2 2 4" xfId="2319" xr:uid="{00000000-0005-0000-0000-00001B090000}"/>
    <cellStyle name="Normal 2 2 2 2 2 2 2 2 2 5" xfId="2320" xr:uid="{00000000-0005-0000-0000-00001C090000}"/>
    <cellStyle name="Normal 2 2 2 2 2 2 2 2 2 6" xfId="2321" xr:uid="{00000000-0005-0000-0000-00001D090000}"/>
    <cellStyle name="Normal 2 2 2 2 2 2 2 2 2 7" xfId="2322" xr:uid="{00000000-0005-0000-0000-00001E090000}"/>
    <cellStyle name="Normal 2 2 2 2 2 2 2 2 2 8" xfId="2323" xr:uid="{00000000-0005-0000-0000-00001F090000}"/>
    <cellStyle name="Normal 2 2 2 2 2 2 2 2 2 9" xfId="2324" xr:uid="{00000000-0005-0000-0000-000020090000}"/>
    <cellStyle name="Normal 2 2 2 2 2 2 2 2 3" xfId="2325" xr:uid="{00000000-0005-0000-0000-000021090000}"/>
    <cellStyle name="Normal 2 2 2 2 2 2 2 2 3 2" xfId="2326" xr:uid="{00000000-0005-0000-0000-000022090000}"/>
    <cellStyle name="Normal 2 2 2 2 2 2 2 2 3 2 2" xfId="2327" xr:uid="{00000000-0005-0000-0000-000023090000}"/>
    <cellStyle name="Normal 2 2 2 2 2 2 2 2 3 2 3" xfId="2328" xr:uid="{00000000-0005-0000-0000-000024090000}"/>
    <cellStyle name="Normal 2 2 2 2 2 2 2 2 3 2 4" xfId="2329" xr:uid="{00000000-0005-0000-0000-000025090000}"/>
    <cellStyle name="Normal 2 2 2 2 2 2 2 2 3 2 5" xfId="2330" xr:uid="{00000000-0005-0000-0000-000026090000}"/>
    <cellStyle name="Normal 2 2 2 2 2 2 2 2 3 2 6" xfId="2331" xr:uid="{00000000-0005-0000-0000-000027090000}"/>
    <cellStyle name="Normal 2 2 2 2 2 2 2 2 3 2 7" xfId="2332" xr:uid="{00000000-0005-0000-0000-000028090000}"/>
    <cellStyle name="Normal 2 2 2 2 2 2 2 2 3 2 8" xfId="2333" xr:uid="{00000000-0005-0000-0000-000029090000}"/>
    <cellStyle name="Normal 2 2 2 2 2 2 2 2 3 3" xfId="2334" xr:uid="{00000000-0005-0000-0000-00002A090000}"/>
    <cellStyle name="Normal 2 2 2 2 2 2 2 2 3 4" xfId="2335" xr:uid="{00000000-0005-0000-0000-00002B090000}"/>
    <cellStyle name="Normal 2 2 2 2 2 2 2 2 3 5" xfId="2336" xr:uid="{00000000-0005-0000-0000-00002C090000}"/>
    <cellStyle name="Normal 2 2 2 2 2 2 2 2 3 6" xfId="2337" xr:uid="{00000000-0005-0000-0000-00002D090000}"/>
    <cellStyle name="Normal 2 2 2 2 2 2 2 2 3 7" xfId="2338" xr:uid="{00000000-0005-0000-0000-00002E090000}"/>
    <cellStyle name="Normal 2 2 2 2 2 2 2 2 3 8" xfId="2339" xr:uid="{00000000-0005-0000-0000-00002F090000}"/>
    <cellStyle name="Normal 2 2 2 2 2 2 2 2 4" xfId="2340" xr:uid="{00000000-0005-0000-0000-000030090000}"/>
    <cellStyle name="Normal 2 2 2 2 2 2 2 2 5" xfId="2341" xr:uid="{00000000-0005-0000-0000-000031090000}"/>
    <cellStyle name="Normal 2 2 2 2 2 2 2 2 6" xfId="2342" xr:uid="{00000000-0005-0000-0000-000032090000}"/>
    <cellStyle name="Normal 2 2 2 2 2 2 2 2 7" xfId="2343" xr:uid="{00000000-0005-0000-0000-000033090000}"/>
    <cellStyle name="Normal 2 2 2 2 2 2 2 2 8" xfId="2344" xr:uid="{00000000-0005-0000-0000-000034090000}"/>
    <cellStyle name="Normal 2 2 2 2 2 2 2 2 9" xfId="2345" xr:uid="{00000000-0005-0000-0000-000035090000}"/>
    <cellStyle name="Normal 2 2 2 2 2 2 2 3" xfId="2346" xr:uid="{00000000-0005-0000-0000-000036090000}"/>
    <cellStyle name="Normal 2 2 2 2 2 2 2 3 10" xfId="2347" xr:uid="{00000000-0005-0000-0000-000037090000}"/>
    <cellStyle name="Normal 2 2 2 2 2 2 2 3 11" xfId="2348" xr:uid="{00000000-0005-0000-0000-000038090000}"/>
    <cellStyle name="Normal 2 2 2 2 2 2 2 3 2" xfId="2349" xr:uid="{00000000-0005-0000-0000-000039090000}"/>
    <cellStyle name="Normal 2 2 2 2 2 2 2 3 2 2" xfId="2350" xr:uid="{00000000-0005-0000-0000-00003A090000}"/>
    <cellStyle name="Normal 2 2 2 2 2 2 2 3 2 2 2" xfId="2351" xr:uid="{00000000-0005-0000-0000-00003B090000}"/>
    <cellStyle name="Normal 2 2 2 2 2 2 2 3 2 2 3" xfId="2352" xr:uid="{00000000-0005-0000-0000-00003C090000}"/>
    <cellStyle name="Normal 2 2 2 2 2 2 2 3 2 2 4" xfId="2353" xr:uid="{00000000-0005-0000-0000-00003D090000}"/>
    <cellStyle name="Normal 2 2 2 2 2 2 2 3 2 2 5" xfId="2354" xr:uid="{00000000-0005-0000-0000-00003E090000}"/>
    <cellStyle name="Normal 2 2 2 2 2 2 2 3 2 2 6" xfId="2355" xr:uid="{00000000-0005-0000-0000-00003F090000}"/>
    <cellStyle name="Normal 2 2 2 2 2 2 2 3 2 2 7" xfId="2356" xr:uid="{00000000-0005-0000-0000-000040090000}"/>
    <cellStyle name="Normal 2 2 2 2 2 2 2 3 2 2 8" xfId="2357" xr:uid="{00000000-0005-0000-0000-000041090000}"/>
    <cellStyle name="Normal 2 2 2 2 2 2 2 3 2 3" xfId="2358" xr:uid="{00000000-0005-0000-0000-000042090000}"/>
    <cellStyle name="Normal 2 2 2 2 2 2 2 3 2 4" xfId="2359" xr:uid="{00000000-0005-0000-0000-000043090000}"/>
    <cellStyle name="Normal 2 2 2 2 2 2 2 3 2 5" xfId="2360" xr:uid="{00000000-0005-0000-0000-000044090000}"/>
    <cellStyle name="Normal 2 2 2 2 2 2 2 3 2 6" xfId="2361" xr:uid="{00000000-0005-0000-0000-000045090000}"/>
    <cellStyle name="Normal 2 2 2 2 2 2 2 3 2 7" xfId="2362" xr:uid="{00000000-0005-0000-0000-000046090000}"/>
    <cellStyle name="Normal 2 2 2 2 2 2 2 3 2 8" xfId="2363" xr:uid="{00000000-0005-0000-0000-000047090000}"/>
    <cellStyle name="Normal 2 2 2 2 2 2 2 3 3" xfId="2364" xr:uid="{00000000-0005-0000-0000-000048090000}"/>
    <cellStyle name="Normal 2 2 2 2 2 2 2 3 4" xfId="2365" xr:uid="{00000000-0005-0000-0000-000049090000}"/>
    <cellStyle name="Normal 2 2 2 2 2 2 2 3 5" xfId="2366" xr:uid="{00000000-0005-0000-0000-00004A090000}"/>
    <cellStyle name="Normal 2 2 2 2 2 2 2 3 6" xfId="2367" xr:uid="{00000000-0005-0000-0000-00004B090000}"/>
    <cellStyle name="Normal 2 2 2 2 2 2 2 3 7" xfId="2368" xr:uid="{00000000-0005-0000-0000-00004C090000}"/>
    <cellStyle name="Normal 2 2 2 2 2 2 2 3 8" xfId="2369" xr:uid="{00000000-0005-0000-0000-00004D090000}"/>
    <cellStyle name="Normal 2 2 2 2 2 2 2 3 9" xfId="2370" xr:uid="{00000000-0005-0000-0000-00004E090000}"/>
    <cellStyle name="Normal 2 2 2 2 2 2 2 4" xfId="2371" xr:uid="{00000000-0005-0000-0000-00004F090000}"/>
    <cellStyle name="Normal 2 2 2 2 2 2 2 4 10" xfId="2372" xr:uid="{00000000-0005-0000-0000-000050090000}"/>
    <cellStyle name="Normal 2 2 2 2 2 2 2 4 11" xfId="2373" xr:uid="{00000000-0005-0000-0000-000051090000}"/>
    <cellStyle name="Normal 2 2 2 2 2 2 2 4 2" xfId="2374" xr:uid="{00000000-0005-0000-0000-000052090000}"/>
    <cellStyle name="Normal 2 2 2 2 2 2 2 4 2 2" xfId="2375" xr:uid="{00000000-0005-0000-0000-000053090000}"/>
    <cellStyle name="Normal 2 2 2 2 2 2 2 4 2 3" xfId="2376" xr:uid="{00000000-0005-0000-0000-000054090000}"/>
    <cellStyle name="Normal 2 2 2 2 2 2 2 4 2 4" xfId="2377" xr:uid="{00000000-0005-0000-0000-000055090000}"/>
    <cellStyle name="Normal 2 2 2 2 2 2 2 4 2 5" xfId="2378" xr:uid="{00000000-0005-0000-0000-000056090000}"/>
    <cellStyle name="Normal 2 2 2 2 2 2 2 4 2 6" xfId="2379" xr:uid="{00000000-0005-0000-0000-000057090000}"/>
    <cellStyle name="Normal 2 2 2 2 2 2 2 4 2 7" xfId="2380" xr:uid="{00000000-0005-0000-0000-000058090000}"/>
    <cellStyle name="Normal 2 2 2 2 2 2 2 4 2 8" xfId="2381" xr:uid="{00000000-0005-0000-0000-000059090000}"/>
    <cellStyle name="Normal 2 2 2 2 2 2 2 4 3" xfId="2382" xr:uid="{00000000-0005-0000-0000-00005A090000}"/>
    <cellStyle name="Normal 2 2 2 2 2 2 2 4 4" xfId="2383" xr:uid="{00000000-0005-0000-0000-00005B090000}"/>
    <cellStyle name="Normal 2 2 2 2 2 2 2 4 5" xfId="2384" xr:uid="{00000000-0005-0000-0000-00005C090000}"/>
    <cellStyle name="Normal 2 2 2 2 2 2 2 4 6" xfId="2385" xr:uid="{00000000-0005-0000-0000-00005D090000}"/>
    <cellStyle name="Normal 2 2 2 2 2 2 2 4 7" xfId="2386" xr:uid="{00000000-0005-0000-0000-00005E090000}"/>
    <cellStyle name="Normal 2 2 2 2 2 2 2 4 8" xfId="2387" xr:uid="{00000000-0005-0000-0000-00005F090000}"/>
    <cellStyle name="Normal 2 2 2 2 2 2 2 4 9" xfId="2388" xr:uid="{00000000-0005-0000-0000-000060090000}"/>
    <cellStyle name="Normal 2 2 2 2 2 2 2 5" xfId="2389" xr:uid="{00000000-0005-0000-0000-000061090000}"/>
    <cellStyle name="Normal 2 2 2 2 2 2 2 5 10" xfId="2390" xr:uid="{00000000-0005-0000-0000-000062090000}"/>
    <cellStyle name="Normal 2 2 2 2 2 2 2 5 11" xfId="2391" xr:uid="{00000000-0005-0000-0000-000063090000}"/>
    <cellStyle name="Normal 2 2 2 2 2 2 2 5 2" xfId="2392" xr:uid="{00000000-0005-0000-0000-000064090000}"/>
    <cellStyle name="Normal 2 2 2 2 2 2 2 5 3" xfId="2393" xr:uid="{00000000-0005-0000-0000-000065090000}"/>
    <cellStyle name="Normal 2 2 2 2 2 2 2 5 4" xfId="2394" xr:uid="{00000000-0005-0000-0000-000066090000}"/>
    <cellStyle name="Normal 2 2 2 2 2 2 2 5 5" xfId="2395" xr:uid="{00000000-0005-0000-0000-000067090000}"/>
    <cellStyle name="Normal 2 2 2 2 2 2 2 5 6" xfId="2396" xr:uid="{00000000-0005-0000-0000-000068090000}"/>
    <cellStyle name="Normal 2 2 2 2 2 2 2 5 7" xfId="2397" xr:uid="{00000000-0005-0000-0000-000069090000}"/>
    <cellStyle name="Normal 2 2 2 2 2 2 2 5 8" xfId="2398" xr:uid="{00000000-0005-0000-0000-00006A090000}"/>
    <cellStyle name="Normal 2 2 2 2 2 2 2 5 9" xfId="2399" xr:uid="{00000000-0005-0000-0000-00006B090000}"/>
    <cellStyle name="Normal 2 2 2 2 2 2 2 6" xfId="2400" xr:uid="{00000000-0005-0000-0000-00006C090000}"/>
    <cellStyle name="Normal 2 2 2 2 2 2 2 7" xfId="2401" xr:uid="{00000000-0005-0000-0000-00006D090000}"/>
    <cellStyle name="Normal 2 2 2 2 2 2 2 8" xfId="2402" xr:uid="{00000000-0005-0000-0000-00006E090000}"/>
    <cellStyle name="Normal 2 2 2 2 2 2 2 9" xfId="2403" xr:uid="{00000000-0005-0000-0000-00006F090000}"/>
    <cellStyle name="Normal 2 2 2 2 2 2 3" xfId="2404" xr:uid="{00000000-0005-0000-0000-000070090000}"/>
    <cellStyle name="Normal 2 2 2 2 2 2 3 10" xfId="2405" xr:uid="{00000000-0005-0000-0000-000071090000}"/>
    <cellStyle name="Normal 2 2 2 2 2 2 3 11" xfId="2406" xr:uid="{00000000-0005-0000-0000-000072090000}"/>
    <cellStyle name="Normal 2 2 2 2 2 2 3 2" xfId="2407" xr:uid="{00000000-0005-0000-0000-000073090000}"/>
    <cellStyle name="Normal 2 2 2 2 2 2 3 3" xfId="2408" xr:uid="{00000000-0005-0000-0000-000074090000}"/>
    <cellStyle name="Normal 2 2 2 2 2 2 3 4" xfId="2409" xr:uid="{00000000-0005-0000-0000-000075090000}"/>
    <cellStyle name="Normal 2 2 2 2 2 2 3 5" xfId="2410" xr:uid="{00000000-0005-0000-0000-000076090000}"/>
    <cellStyle name="Normal 2 2 2 2 2 2 3 6" xfId="2411" xr:uid="{00000000-0005-0000-0000-000077090000}"/>
    <cellStyle name="Normal 2 2 2 2 2 2 3 7" xfId="2412" xr:uid="{00000000-0005-0000-0000-000078090000}"/>
    <cellStyle name="Normal 2 2 2 2 2 2 3 8" xfId="2413" xr:uid="{00000000-0005-0000-0000-000079090000}"/>
    <cellStyle name="Normal 2 2 2 2 2 2 3 9" xfId="2414" xr:uid="{00000000-0005-0000-0000-00007A090000}"/>
    <cellStyle name="Normal 2 2 2 2 2 2 4" xfId="2415" xr:uid="{00000000-0005-0000-0000-00007B090000}"/>
    <cellStyle name="Normal 2 2 2 2 2 2 4 10" xfId="2416" xr:uid="{00000000-0005-0000-0000-00007C090000}"/>
    <cellStyle name="Normal 2 2 2 2 2 2 4 11" xfId="2417" xr:uid="{00000000-0005-0000-0000-00007D090000}"/>
    <cellStyle name="Normal 2 2 2 2 2 2 4 2" xfId="2418" xr:uid="{00000000-0005-0000-0000-00007E090000}"/>
    <cellStyle name="Normal 2 2 2 2 2 2 4 3" xfId="2419" xr:uid="{00000000-0005-0000-0000-00007F090000}"/>
    <cellStyle name="Normal 2 2 2 2 2 2 4 4" xfId="2420" xr:uid="{00000000-0005-0000-0000-000080090000}"/>
    <cellStyle name="Normal 2 2 2 2 2 2 4 5" xfId="2421" xr:uid="{00000000-0005-0000-0000-000081090000}"/>
    <cellStyle name="Normal 2 2 2 2 2 2 4 6" xfId="2422" xr:uid="{00000000-0005-0000-0000-000082090000}"/>
    <cellStyle name="Normal 2 2 2 2 2 2 4 7" xfId="2423" xr:uid="{00000000-0005-0000-0000-000083090000}"/>
    <cellStyle name="Normal 2 2 2 2 2 2 4 8" xfId="2424" xr:uid="{00000000-0005-0000-0000-000084090000}"/>
    <cellStyle name="Normal 2 2 2 2 2 2 4 9" xfId="2425" xr:uid="{00000000-0005-0000-0000-000085090000}"/>
    <cellStyle name="Normal 2 2 2 2 2 2 5" xfId="2426" xr:uid="{00000000-0005-0000-0000-000086090000}"/>
    <cellStyle name="Normal 2 2 2 2 2 2 5 2" xfId="2427" xr:uid="{00000000-0005-0000-0000-000087090000}"/>
    <cellStyle name="Normal 2 2 2 2 2 2 5 2 10" xfId="2428" xr:uid="{00000000-0005-0000-0000-000088090000}"/>
    <cellStyle name="Normal 2 2 2 2 2 2 5 2 11" xfId="2429" xr:uid="{00000000-0005-0000-0000-000089090000}"/>
    <cellStyle name="Normal 2 2 2 2 2 2 5 2 12" xfId="2430" xr:uid="{00000000-0005-0000-0000-00008A090000}"/>
    <cellStyle name="Normal 2 2 2 2 2 2 5 2 13" xfId="2431" xr:uid="{00000000-0005-0000-0000-00008B090000}"/>
    <cellStyle name="Normal 2 2 2 2 2 2 5 2 2" xfId="2432" xr:uid="{00000000-0005-0000-0000-00008C090000}"/>
    <cellStyle name="Normal 2 2 2 2 2 2 5 2 3" xfId="2433" xr:uid="{00000000-0005-0000-0000-00008D090000}"/>
    <cellStyle name="Normal 2 2 2 2 2 2 5 2 4" xfId="2434" xr:uid="{00000000-0005-0000-0000-00008E090000}"/>
    <cellStyle name="Normal 2 2 2 2 2 2 5 2 5" xfId="2435" xr:uid="{00000000-0005-0000-0000-00008F090000}"/>
    <cellStyle name="Normal 2 2 2 2 2 2 5 2 6" xfId="2436" xr:uid="{00000000-0005-0000-0000-000090090000}"/>
    <cellStyle name="Normal 2 2 2 2 2 2 5 2 7" xfId="2437" xr:uid="{00000000-0005-0000-0000-000091090000}"/>
    <cellStyle name="Normal 2 2 2 2 2 2 5 2 8" xfId="2438" xr:uid="{00000000-0005-0000-0000-000092090000}"/>
    <cellStyle name="Normal 2 2 2 2 2 2 5 2 9" xfId="2439" xr:uid="{00000000-0005-0000-0000-000093090000}"/>
    <cellStyle name="Normal 2 2 2 2 2 2 5 3" xfId="2440" xr:uid="{00000000-0005-0000-0000-000094090000}"/>
    <cellStyle name="Normal 2 2 2 2 2 2 5 3 10" xfId="2441" xr:uid="{00000000-0005-0000-0000-000095090000}"/>
    <cellStyle name="Normal 2 2 2 2 2 2 5 3 11" xfId="2442" xr:uid="{00000000-0005-0000-0000-000096090000}"/>
    <cellStyle name="Normal 2 2 2 2 2 2 5 3 2" xfId="2443" xr:uid="{00000000-0005-0000-0000-000097090000}"/>
    <cellStyle name="Normal 2 2 2 2 2 2 5 3 3" xfId="2444" xr:uid="{00000000-0005-0000-0000-000098090000}"/>
    <cellStyle name="Normal 2 2 2 2 2 2 5 3 4" xfId="2445" xr:uid="{00000000-0005-0000-0000-000099090000}"/>
    <cellStyle name="Normal 2 2 2 2 2 2 5 3 5" xfId="2446" xr:uid="{00000000-0005-0000-0000-00009A090000}"/>
    <cellStyle name="Normal 2 2 2 2 2 2 5 3 6" xfId="2447" xr:uid="{00000000-0005-0000-0000-00009B090000}"/>
    <cellStyle name="Normal 2 2 2 2 2 2 5 3 7" xfId="2448" xr:uid="{00000000-0005-0000-0000-00009C090000}"/>
    <cellStyle name="Normal 2 2 2 2 2 2 5 3 8" xfId="2449" xr:uid="{00000000-0005-0000-0000-00009D090000}"/>
    <cellStyle name="Normal 2 2 2 2 2 2 5 3 9" xfId="2450" xr:uid="{00000000-0005-0000-0000-00009E090000}"/>
    <cellStyle name="Normal 2 2 2 2 2 2 6" xfId="2451" xr:uid="{00000000-0005-0000-0000-00009F090000}"/>
    <cellStyle name="Normal 2 2 2 2 2 2 7" xfId="2452" xr:uid="{00000000-0005-0000-0000-0000A0090000}"/>
    <cellStyle name="Normal 2 2 2 2 2 2 8" xfId="2453" xr:uid="{00000000-0005-0000-0000-0000A1090000}"/>
    <cellStyle name="Normal 2 2 2 2 2 2 9" xfId="2454" xr:uid="{00000000-0005-0000-0000-0000A2090000}"/>
    <cellStyle name="Normal 2 2 2 2 2 3" xfId="2455" xr:uid="{00000000-0005-0000-0000-0000A3090000}"/>
    <cellStyle name="Normal 2 2 2 2 2 4" xfId="2456" xr:uid="{00000000-0005-0000-0000-0000A4090000}"/>
    <cellStyle name="Normal 2 2 2 2 2 5" xfId="2457" xr:uid="{00000000-0005-0000-0000-0000A5090000}"/>
    <cellStyle name="Normal 2 2 2 2 2 5 10" xfId="2458" xr:uid="{00000000-0005-0000-0000-0000A6090000}"/>
    <cellStyle name="Normal 2 2 2 2 2 5 11" xfId="2459" xr:uid="{00000000-0005-0000-0000-0000A7090000}"/>
    <cellStyle name="Normal 2 2 2 2 2 5 12" xfId="2460" xr:uid="{00000000-0005-0000-0000-0000A8090000}"/>
    <cellStyle name="Normal 2 2 2 2 2 5 13" xfId="2461" xr:uid="{00000000-0005-0000-0000-0000A9090000}"/>
    <cellStyle name="Normal 2 2 2 2 2 5 2" xfId="2462" xr:uid="{00000000-0005-0000-0000-0000AA090000}"/>
    <cellStyle name="Normal 2 2 2 2 2 5 2 10" xfId="2463" xr:uid="{00000000-0005-0000-0000-0000AB090000}"/>
    <cellStyle name="Normal 2 2 2 2 2 5 2 2" xfId="2464" xr:uid="{00000000-0005-0000-0000-0000AC090000}"/>
    <cellStyle name="Normal 2 2 2 2 2 5 2 2 10" xfId="2465" xr:uid="{00000000-0005-0000-0000-0000AD090000}"/>
    <cellStyle name="Normal 2 2 2 2 2 5 2 2 11" xfId="2466" xr:uid="{00000000-0005-0000-0000-0000AE090000}"/>
    <cellStyle name="Normal 2 2 2 2 2 5 2 2 2" xfId="2467" xr:uid="{00000000-0005-0000-0000-0000AF090000}"/>
    <cellStyle name="Normal 2 2 2 2 2 5 2 2 2 2" xfId="2468" xr:uid="{00000000-0005-0000-0000-0000B0090000}"/>
    <cellStyle name="Normal 2 2 2 2 2 5 2 2 2 3" xfId="2469" xr:uid="{00000000-0005-0000-0000-0000B1090000}"/>
    <cellStyle name="Normal 2 2 2 2 2 5 2 2 2 4" xfId="2470" xr:uid="{00000000-0005-0000-0000-0000B2090000}"/>
    <cellStyle name="Normal 2 2 2 2 2 5 2 2 2 5" xfId="2471" xr:uid="{00000000-0005-0000-0000-0000B3090000}"/>
    <cellStyle name="Normal 2 2 2 2 2 5 2 2 2 6" xfId="2472" xr:uid="{00000000-0005-0000-0000-0000B4090000}"/>
    <cellStyle name="Normal 2 2 2 2 2 5 2 2 2 7" xfId="2473" xr:uid="{00000000-0005-0000-0000-0000B5090000}"/>
    <cellStyle name="Normal 2 2 2 2 2 5 2 2 2 8" xfId="2474" xr:uid="{00000000-0005-0000-0000-0000B6090000}"/>
    <cellStyle name="Normal 2 2 2 2 2 5 2 2 3" xfId="2475" xr:uid="{00000000-0005-0000-0000-0000B7090000}"/>
    <cellStyle name="Normal 2 2 2 2 2 5 2 2 4" xfId="2476" xr:uid="{00000000-0005-0000-0000-0000B8090000}"/>
    <cellStyle name="Normal 2 2 2 2 2 5 2 2 5" xfId="2477" xr:uid="{00000000-0005-0000-0000-0000B9090000}"/>
    <cellStyle name="Normal 2 2 2 2 2 5 2 2 6" xfId="2478" xr:uid="{00000000-0005-0000-0000-0000BA090000}"/>
    <cellStyle name="Normal 2 2 2 2 2 5 2 2 7" xfId="2479" xr:uid="{00000000-0005-0000-0000-0000BB090000}"/>
    <cellStyle name="Normal 2 2 2 2 2 5 2 2 8" xfId="2480" xr:uid="{00000000-0005-0000-0000-0000BC090000}"/>
    <cellStyle name="Normal 2 2 2 2 2 5 2 2 9" xfId="2481" xr:uid="{00000000-0005-0000-0000-0000BD090000}"/>
    <cellStyle name="Normal 2 2 2 2 2 5 2 3" xfId="2482" xr:uid="{00000000-0005-0000-0000-0000BE090000}"/>
    <cellStyle name="Normal 2 2 2 2 2 5 2 3 10" xfId="2483" xr:uid="{00000000-0005-0000-0000-0000BF090000}"/>
    <cellStyle name="Normal 2 2 2 2 2 5 2 3 11" xfId="2484" xr:uid="{00000000-0005-0000-0000-0000C0090000}"/>
    <cellStyle name="Normal 2 2 2 2 2 5 2 3 2" xfId="2485" xr:uid="{00000000-0005-0000-0000-0000C1090000}"/>
    <cellStyle name="Normal 2 2 2 2 2 5 2 3 3" xfId="2486" xr:uid="{00000000-0005-0000-0000-0000C2090000}"/>
    <cellStyle name="Normal 2 2 2 2 2 5 2 3 4" xfId="2487" xr:uid="{00000000-0005-0000-0000-0000C3090000}"/>
    <cellStyle name="Normal 2 2 2 2 2 5 2 3 5" xfId="2488" xr:uid="{00000000-0005-0000-0000-0000C4090000}"/>
    <cellStyle name="Normal 2 2 2 2 2 5 2 3 6" xfId="2489" xr:uid="{00000000-0005-0000-0000-0000C5090000}"/>
    <cellStyle name="Normal 2 2 2 2 2 5 2 3 7" xfId="2490" xr:uid="{00000000-0005-0000-0000-0000C6090000}"/>
    <cellStyle name="Normal 2 2 2 2 2 5 2 3 8" xfId="2491" xr:uid="{00000000-0005-0000-0000-0000C7090000}"/>
    <cellStyle name="Normal 2 2 2 2 2 5 2 3 9" xfId="2492" xr:uid="{00000000-0005-0000-0000-0000C8090000}"/>
    <cellStyle name="Normal 2 2 2 2 2 5 2 4" xfId="2493" xr:uid="{00000000-0005-0000-0000-0000C9090000}"/>
    <cellStyle name="Normal 2 2 2 2 2 5 2 5" xfId="2494" xr:uid="{00000000-0005-0000-0000-0000CA090000}"/>
    <cellStyle name="Normal 2 2 2 2 2 5 2 6" xfId="2495" xr:uid="{00000000-0005-0000-0000-0000CB090000}"/>
    <cellStyle name="Normal 2 2 2 2 2 5 2 7" xfId="2496" xr:uid="{00000000-0005-0000-0000-0000CC090000}"/>
    <cellStyle name="Normal 2 2 2 2 2 5 2 8" xfId="2497" xr:uid="{00000000-0005-0000-0000-0000CD090000}"/>
    <cellStyle name="Normal 2 2 2 2 2 5 2 9" xfId="2498" xr:uid="{00000000-0005-0000-0000-0000CE090000}"/>
    <cellStyle name="Normal 2 2 2 2 2 5 3" xfId="2499" xr:uid="{00000000-0005-0000-0000-0000CF090000}"/>
    <cellStyle name="Normal 2 2 2 2 2 5 4" xfId="2500" xr:uid="{00000000-0005-0000-0000-0000D0090000}"/>
    <cellStyle name="Normal 2 2 2 2 2 5 5" xfId="2501" xr:uid="{00000000-0005-0000-0000-0000D1090000}"/>
    <cellStyle name="Normal 2 2 2 2 2 5 6" xfId="2502" xr:uid="{00000000-0005-0000-0000-0000D2090000}"/>
    <cellStyle name="Normal 2 2 2 2 2 5 7" xfId="2503" xr:uid="{00000000-0005-0000-0000-0000D3090000}"/>
    <cellStyle name="Normal 2 2 2 2 2 5 8" xfId="2504" xr:uid="{00000000-0005-0000-0000-0000D4090000}"/>
    <cellStyle name="Normal 2 2 2 2 2 5 9" xfId="2505" xr:uid="{00000000-0005-0000-0000-0000D5090000}"/>
    <cellStyle name="Normal 2 2 2 2 2 6" xfId="2506" xr:uid="{00000000-0005-0000-0000-0000D6090000}"/>
    <cellStyle name="Normal 2 2 2 2 2 6 10" xfId="2507" xr:uid="{00000000-0005-0000-0000-0000D7090000}"/>
    <cellStyle name="Normal 2 2 2 2 2 6 11" xfId="2508" xr:uid="{00000000-0005-0000-0000-0000D8090000}"/>
    <cellStyle name="Normal 2 2 2 2 2 6 2" xfId="2509" xr:uid="{00000000-0005-0000-0000-0000D9090000}"/>
    <cellStyle name="Normal 2 2 2 2 2 6 3" xfId="2510" xr:uid="{00000000-0005-0000-0000-0000DA090000}"/>
    <cellStyle name="Normal 2 2 2 2 2 6 4" xfId="2511" xr:uid="{00000000-0005-0000-0000-0000DB090000}"/>
    <cellStyle name="Normal 2 2 2 2 2 6 5" xfId="2512" xr:uid="{00000000-0005-0000-0000-0000DC090000}"/>
    <cellStyle name="Normal 2 2 2 2 2 6 6" xfId="2513" xr:uid="{00000000-0005-0000-0000-0000DD090000}"/>
    <cellStyle name="Normal 2 2 2 2 2 6 7" xfId="2514" xr:uid="{00000000-0005-0000-0000-0000DE090000}"/>
    <cellStyle name="Normal 2 2 2 2 2 6 8" xfId="2515" xr:uid="{00000000-0005-0000-0000-0000DF090000}"/>
    <cellStyle name="Normal 2 2 2 2 2 6 9" xfId="2516" xr:uid="{00000000-0005-0000-0000-0000E0090000}"/>
    <cellStyle name="Normal 2 2 2 2 2 7" xfId="2517" xr:uid="{00000000-0005-0000-0000-0000E1090000}"/>
    <cellStyle name="Normal 2 2 2 2 2 7 10" xfId="2518" xr:uid="{00000000-0005-0000-0000-0000E2090000}"/>
    <cellStyle name="Normal 2 2 2 2 2 7 11" xfId="2519" xr:uid="{00000000-0005-0000-0000-0000E3090000}"/>
    <cellStyle name="Normal 2 2 2 2 2 7 2" xfId="2520" xr:uid="{00000000-0005-0000-0000-0000E4090000}"/>
    <cellStyle name="Normal 2 2 2 2 2 7 3" xfId="2521" xr:uid="{00000000-0005-0000-0000-0000E5090000}"/>
    <cellStyle name="Normal 2 2 2 2 2 7 4" xfId="2522" xr:uid="{00000000-0005-0000-0000-0000E6090000}"/>
    <cellStyle name="Normal 2 2 2 2 2 7 5" xfId="2523" xr:uid="{00000000-0005-0000-0000-0000E7090000}"/>
    <cellStyle name="Normal 2 2 2 2 2 7 6" xfId="2524" xr:uid="{00000000-0005-0000-0000-0000E8090000}"/>
    <cellStyle name="Normal 2 2 2 2 2 7 7" xfId="2525" xr:uid="{00000000-0005-0000-0000-0000E9090000}"/>
    <cellStyle name="Normal 2 2 2 2 2 7 8" xfId="2526" xr:uid="{00000000-0005-0000-0000-0000EA090000}"/>
    <cellStyle name="Normal 2 2 2 2 2 7 9" xfId="2527" xr:uid="{00000000-0005-0000-0000-0000EB090000}"/>
    <cellStyle name="Normal 2 2 2 2 2 8" xfId="2528" xr:uid="{00000000-0005-0000-0000-0000EC090000}"/>
    <cellStyle name="Normal 2 2 2 2 2 9" xfId="2529" xr:uid="{00000000-0005-0000-0000-0000ED090000}"/>
    <cellStyle name="Normal 2 2 2 2 3" xfId="2530" xr:uid="{00000000-0005-0000-0000-0000EE090000}"/>
    <cellStyle name="Normal 2 2 2 2 3 10" xfId="2531" xr:uid="{00000000-0005-0000-0000-0000EF090000}"/>
    <cellStyle name="Normal 2 2 2 2 3 11" xfId="2532" xr:uid="{00000000-0005-0000-0000-0000F0090000}"/>
    <cellStyle name="Normal 2 2 2 2 3 2" xfId="2533" xr:uid="{00000000-0005-0000-0000-0000F1090000}"/>
    <cellStyle name="Normal 2 2 2 2 3 3" xfId="2534" xr:uid="{00000000-0005-0000-0000-0000F2090000}"/>
    <cellStyle name="Normal 2 2 2 2 3 4" xfId="2535" xr:uid="{00000000-0005-0000-0000-0000F3090000}"/>
    <cellStyle name="Normal 2 2 2 2 3 5" xfId="2536" xr:uid="{00000000-0005-0000-0000-0000F4090000}"/>
    <cellStyle name="Normal 2 2 2 2 3 6" xfId="2537" xr:uid="{00000000-0005-0000-0000-0000F5090000}"/>
    <cellStyle name="Normal 2 2 2 2 3 7" xfId="2538" xr:uid="{00000000-0005-0000-0000-0000F6090000}"/>
    <cellStyle name="Normal 2 2 2 2 3 8" xfId="2539" xr:uid="{00000000-0005-0000-0000-0000F7090000}"/>
    <cellStyle name="Normal 2 2 2 2 3 9" xfId="2540" xr:uid="{00000000-0005-0000-0000-0000F8090000}"/>
    <cellStyle name="Normal 2 2 2 2 4" xfId="2541" xr:uid="{00000000-0005-0000-0000-0000F9090000}"/>
    <cellStyle name="Normal 2 2 2 2 4 10" xfId="2542" xr:uid="{00000000-0005-0000-0000-0000FA090000}"/>
    <cellStyle name="Normal 2 2 2 2 4 11" xfId="2543" xr:uid="{00000000-0005-0000-0000-0000FB090000}"/>
    <cellStyle name="Normal 2 2 2 2 4 2" xfId="2544" xr:uid="{00000000-0005-0000-0000-0000FC090000}"/>
    <cellStyle name="Normal 2 2 2 2 4 3" xfId="2545" xr:uid="{00000000-0005-0000-0000-0000FD090000}"/>
    <cellStyle name="Normal 2 2 2 2 4 4" xfId="2546" xr:uid="{00000000-0005-0000-0000-0000FE090000}"/>
    <cellStyle name="Normal 2 2 2 2 4 5" xfId="2547" xr:uid="{00000000-0005-0000-0000-0000FF090000}"/>
    <cellStyle name="Normal 2 2 2 2 4 6" xfId="2548" xr:uid="{00000000-0005-0000-0000-0000000A0000}"/>
    <cellStyle name="Normal 2 2 2 2 4 7" xfId="2549" xr:uid="{00000000-0005-0000-0000-0000010A0000}"/>
    <cellStyle name="Normal 2 2 2 2 4 8" xfId="2550" xr:uid="{00000000-0005-0000-0000-0000020A0000}"/>
    <cellStyle name="Normal 2 2 2 2 4 9" xfId="2551" xr:uid="{00000000-0005-0000-0000-0000030A0000}"/>
    <cellStyle name="Normal 2 2 2 2 5" xfId="2552" xr:uid="{00000000-0005-0000-0000-0000040A0000}"/>
    <cellStyle name="Normal 2 2 2 2 5 10" xfId="2553" xr:uid="{00000000-0005-0000-0000-0000050A0000}"/>
    <cellStyle name="Normal 2 2 2 2 5 11" xfId="2554" xr:uid="{00000000-0005-0000-0000-0000060A0000}"/>
    <cellStyle name="Normal 2 2 2 2 5 2" xfId="2555" xr:uid="{00000000-0005-0000-0000-0000070A0000}"/>
    <cellStyle name="Normal 2 2 2 2 5 3" xfId="2556" xr:uid="{00000000-0005-0000-0000-0000080A0000}"/>
    <cellStyle name="Normal 2 2 2 2 5 4" xfId="2557" xr:uid="{00000000-0005-0000-0000-0000090A0000}"/>
    <cellStyle name="Normal 2 2 2 2 5 5" xfId="2558" xr:uid="{00000000-0005-0000-0000-00000A0A0000}"/>
    <cellStyle name="Normal 2 2 2 2 5 6" xfId="2559" xr:uid="{00000000-0005-0000-0000-00000B0A0000}"/>
    <cellStyle name="Normal 2 2 2 2 5 7" xfId="2560" xr:uid="{00000000-0005-0000-0000-00000C0A0000}"/>
    <cellStyle name="Normal 2 2 2 2 5 8" xfId="2561" xr:uid="{00000000-0005-0000-0000-00000D0A0000}"/>
    <cellStyle name="Normal 2 2 2 2 5 9" xfId="2562" xr:uid="{00000000-0005-0000-0000-00000E0A0000}"/>
    <cellStyle name="Normal 2 2 2 2 6" xfId="2563" xr:uid="{00000000-0005-0000-0000-00000F0A0000}"/>
    <cellStyle name="Normal 2 2 2 2 6 2" xfId="2564" xr:uid="{00000000-0005-0000-0000-0000100A0000}"/>
    <cellStyle name="Normal 2 2 2 2 6 2 10" xfId="2565" xr:uid="{00000000-0005-0000-0000-0000110A0000}"/>
    <cellStyle name="Normal 2 2 2 2 6 2 11" xfId="2566" xr:uid="{00000000-0005-0000-0000-0000120A0000}"/>
    <cellStyle name="Normal 2 2 2 2 6 2 12" xfId="2567" xr:uid="{00000000-0005-0000-0000-0000130A0000}"/>
    <cellStyle name="Normal 2 2 2 2 6 2 13" xfId="2568" xr:uid="{00000000-0005-0000-0000-0000140A0000}"/>
    <cellStyle name="Normal 2 2 2 2 6 2 2" xfId="2569" xr:uid="{00000000-0005-0000-0000-0000150A0000}"/>
    <cellStyle name="Normal 2 2 2 2 6 2 3" xfId="2570" xr:uid="{00000000-0005-0000-0000-0000160A0000}"/>
    <cellStyle name="Normal 2 2 2 2 6 2 4" xfId="2571" xr:uid="{00000000-0005-0000-0000-0000170A0000}"/>
    <cellStyle name="Normal 2 2 2 2 6 2 5" xfId="2572" xr:uid="{00000000-0005-0000-0000-0000180A0000}"/>
    <cellStyle name="Normal 2 2 2 2 6 2 6" xfId="2573" xr:uid="{00000000-0005-0000-0000-0000190A0000}"/>
    <cellStyle name="Normal 2 2 2 2 6 2 7" xfId="2574" xr:uid="{00000000-0005-0000-0000-00001A0A0000}"/>
    <cellStyle name="Normal 2 2 2 2 6 2 8" xfId="2575" xr:uid="{00000000-0005-0000-0000-00001B0A0000}"/>
    <cellStyle name="Normal 2 2 2 2 6 2 9" xfId="2576" xr:uid="{00000000-0005-0000-0000-00001C0A0000}"/>
    <cellStyle name="Normal 2 2 2 2 6 3" xfId="2577" xr:uid="{00000000-0005-0000-0000-00001D0A0000}"/>
    <cellStyle name="Normal 2 2 2 2 6 3 10" xfId="2578" xr:uid="{00000000-0005-0000-0000-00001E0A0000}"/>
    <cellStyle name="Normal 2 2 2 2 6 3 11" xfId="2579" xr:uid="{00000000-0005-0000-0000-00001F0A0000}"/>
    <cellStyle name="Normal 2 2 2 2 6 3 2" xfId="2580" xr:uid="{00000000-0005-0000-0000-0000200A0000}"/>
    <cellStyle name="Normal 2 2 2 2 6 3 3" xfId="2581" xr:uid="{00000000-0005-0000-0000-0000210A0000}"/>
    <cellStyle name="Normal 2 2 2 2 6 3 4" xfId="2582" xr:uid="{00000000-0005-0000-0000-0000220A0000}"/>
    <cellStyle name="Normal 2 2 2 2 6 3 5" xfId="2583" xr:uid="{00000000-0005-0000-0000-0000230A0000}"/>
    <cellStyle name="Normal 2 2 2 2 6 3 6" xfId="2584" xr:uid="{00000000-0005-0000-0000-0000240A0000}"/>
    <cellStyle name="Normal 2 2 2 2 6 3 7" xfId="2585" xr:uid="{00000000-0005-0000-0000-0000250A0000}"/>
    <cellStyle name="Normal 2 2 2 2 6 3 8" xfId="2586" xr:uid="{00000000-0005-0000-0000-0000260A0000}"/>
    <cellStyle name="Normal 2 2 2 2 6 3 9" xfId="2587" xr:uid="{00000000-0005-0000-0000-0000270A0000}"/>
    <cellStyle name="Normal 2 2 2 2 7" xfId="2588" xr:uid="{00000000-0005-0000-0000-0000280A0000}"/>
    <cellStyle name="Normal 2 2 2 2 8" xfId="2589" xr:uid="{00000000-0005-0000-0000-0000290A0000}"/>
    <cellStyle name="Normal 2 2 2 2 9" xfId="2590" xr:uid="{00000000-0005-0000-0000-00002A0A0000}"/>
    <cellStyle name="Normal 2 2 2 2 9 2" xfId="2591" xr:uid="{00000000-0005-0000-0000-00002B0A0000}"/>
    <cellStyle name="Normal 2 2 2 2 9 3" xfId="2592" xr:uid="{00000000-0005-0000-0000-00002C0A0000}"/>
    <cellStyle name="Normal 2 2 2 2 9 4" xfId="2593" xr:uid="{00000000-0005-0000-0000-00002D0A0000}"/>
    <cellStyle name="Normal 2 2 2 2 9 5" xfId="2594" xr:uid="{00000000-0005-0000-0000-00002E0A0000}"/>
    <cellStyle name="Normal 2 2 2 2 9 6" xfId="2595" xr:uid="{00000000-0005-0000-0000-00002F0A0000}"/>
    <cellStyle name="Normal 2 2 2 2 9 7" xfId="2596" xr:uid="{00000000-0005-0000-0000-0000300A0000}"/>
    <cellStyle name="Normal 2 2 2 2 9 8" xfId="2597" xr:uid="{00000000-0005-0000-0000-0000310A0000}"/>
    <cellStyle name="Normal 2 2 2 3" xfId="2598" xr:uid="{00000000-0005-0000-0000-0000320A0000}"/>
    <cellStyle name="Normal 2 2 2 4" xfId="2599" xr:uid="{00000000-0005-0000-0000-0000330A0000}"/>
    <cellStyle name="Normal 2 2 2 5" xfId="2600" xr:uid="{00000000-0005-0000-0000-0000340A0000}"/>
    <cellStyle name="Normal 2 2 2 6" xfId="2601" xr:uid="{00000000-0005-0000-0000-0000350A0000}"/>
    <cellStyle name="Normal 2 2 2 6 10" xfId="2602" xr:uid="{00000000-0005-0000-0000-0000360A0000}"/>
    <cellStyle name="Normal 2 2 2 6 11" xfId="2603" xr:uid="{00000000-0005-0000-0000-0000370A0000}"/>
    <cellStyle name="Normal 2 2 2 6 12" xfId="2604" xr:uid="{00000000-0005-0000-0000-0000380A0000}"/>
    <cellStyle name="Normal 2 2 2 6 13" xfId="2605" xr:uid="{00000000-0005-0000-0000-0000390A0000}"/>
    <cellStyle name="Normal 2 2 2 6 2" xfId="2606" xr:uid="{00000000-0005-0000-0000-00003A0A0000}"/>
    <cellStyle name="Normal 2 2 2 6 2 10" xfId="2607" xr:uid="{00000000-0005-0000-0000-00003B0A0000}"/>
    <cellStyle name="Normal 2 2 2 6 2 2" xfId="2608" xr:uid="{00000000-0005-0000-0000-00003C0A0000}"/>
    <cellStyle name="Normal 2 2 2 6 2 2 10" xfId="2609" xr:uid="{00000000-0005-0000-0000-00003D0A0000}"/>
    <cellStyle name="Normal 2 2 2 6 2 2 11" xfId="2610" xr:uid="{00000000-0005-0000-0000-00003E0A0000}"/>
    <cellStyle name="Normal 2 2 2 6 2 2 2" xfId="2611" xr:uid="{00000000-0005-0000-0000-00003F0A0000}"/>
    <cellStyle name="Normal 2 2 2 6 2 2 2 2" xfId="2612" xr:uid="{00000000-0005-0000-0000-0000400A0000}"/>
    <cellStyle name="Normal 2 2 2 6 2 2 2 3" xfId="2613" xr:uid="{00000000-0005-0000-0000-0000410A0000}"/>
    <cellStyle name="Normal 2 2 2 6 2 2 2 4" xfId="2614" xr:uid="{00000000-0005-0000-0000-0000420A0000}"/>
    <cellStyle name="Normal 2 2 2 6 2 2 2 5" xfId="2615" xr:uid="{00000000-0005-0000-0000-0000430A0000}"/>
    <cellStyle name="Normal 2 2 2 6 2 2 2 6" xfId="2616" xr:uid="{00000000-0005-0000-0000-0000440A0000}"/>
    <cellStyle name="Normal 2 2 2 6 2 2 2 7" xfId="2617" xr:uid="{00000000-0005-0000-0000-0000450A0000}"/>
    <cellStyle name="Normal 2 2 2 6 2 2 2 8" xfId="2618" xr:uid="{00000000-0005-0000-0000-0000460A0000}"/>
    <cellStyle name="Normal 2 2 2 6 2 2 3" xfId="2619" xr:uid="{00000000-0005-0000-0000-0000470A0000}"/>
    <cellStyle name="Normal 2 2 2 6 2 2 4" xfId="2620" xr:uid="{00000000-0005-0000-0000-0000480A0000}"/>
    <cellStyle name="Normal 2 2 2 6 2 2 5" xfId="2621" xr:uid="{00000000-0005-0000-0000-0000490A0000}"/>
    <cellStyle name="Normal 2 2 2 6 2 2 6" xfId="2622" xr:uid="{00000000-0005-0000-0000-00004A0A0000}"/>
    <cellStyle name="Normal 2 2 2 6 2 2 7" xfId="2623" xr:uid="{00000000-0005-0000-0000-00004B0A0000}"/>
    <cellStyle name="Normal 2 2 2 6 2 2 8" xfId="2624" xr:uid="{00000000-0005-0000-0000-00004C0A0000}"/>
    <cellStyle name="Normal 2 2 2 6 2 2 9" xfId="2625" xr:uid="{00000000-0005-0000-0000-00004D0A0000}"/>
    <cellStyle name="Normal 2 2 2 6 2 3" xfId="2626" xr:uid="{00000000-0005-0000-0000-00004E0A0000}"/>
    <cellStyle name="Normal 2 2 2 6 2 3 10" xfId="2627" xr:uid="{00000000-0005-0000-0000-00004F0A0000}"/>
    <cellStyle name="Normal 2 2 2 6 2 3 11" xfId="2628" xr:uid="{00000000-0005-0000-0000-0000500A0000}"/>
    <cellStyle name="Normal 2 2 2 6 2 3 2" xfId="2629" xr:uid="{00000000-0005-0000-0000-0000510A0000}"/>
    <cellStyle name="Normal 2 2 2 6 2 3 3" xfId="2630" xr:uid="{00000000-0005-0000-0000-0000520A0000}"/>
    <cellStyle name="Normal 2 2 2 6 2 3 4" xfId="2631" xr:uid="{00000000-0005-0000-0000-0000530A0000}"/>
    <cellStyle name="Normal 2 2 2 6 2 3 5" xfId="2632" xr:uid="{00000000-0005-0000-0000-0000540A0000}"/>
    <cellStyle name="Normal 2 2 2 6 2 3 6" xfId="2633" xr:uid="{00000000-0005-0000-0000-0000550A0000}"/>
    <cellStyle name="Normal 2 2 2 6 2 3 7" xfId="2634" xr:uid="{00000000-0005-0000-0000-0000560A0000}"/>
    <cellStyle name="Normal 2 2 2 6 2 3 8" xfId="2635" xr:uid="{00000000-0005-0000-0000-0000570A0000}"/>
    <cellStyle name="Normal 2 2 2 6 2 3 9" xfId="2636" xr:uid="{00000000-0005-0000-0000-0000580A0000}"/>
    <cellStyle name="Normal 2 2 2 6 2 4" xfId="2637" xr:uid="{00000000-0005-0000-0000-0000590A0000}"/>
    <cellStyle name="Normal 2 2 2 6 2 5" xfId="2638" xr:uid="{00000000-0005-0000-0000-00005A0A0000}"/>
    <cellStyle name="Normal 2 2 2 6 2 6" xfId="2639" xr:uid="{00000000-0005-0000-0000-00005B0A0000}"/>
    <cellStyle name="Normal 2 2 2 6 2 7" xfId="2640" xr:uid="{00000000-0005-0000-0000-00005C0A0000}"/>
    <cellStyle name="Normal 2 2 2 6 2 8" xfId="2641" xr:uid="{00000000-0005-0000-0000-00005D0A0000}"/>
    <cellStyle name="Normal 2 2 2 6 2 9" xfId="2642" xr:uid="{00000000-0005-0000-0000-00005E0A0000}"/>
    <cellStyle name="Normal 2 2 2 6 3" xfId="2643" xr:uid="{00000000-0005-0000-0000-00005F0A0000}"/>
    <cellStyle name="Normal 2 2 2 6 4" xfId="2644" xr:uid="{00000000-0005-0000-0000-0000600A0000}"/>
    <cellStyle name="Normal 2 2 2 6 5" xfId="2645" xr:uid="{00000000-0005-0000-0000-0000610A0000}"/>
    <cellStyle name="Normal 2 2 2 6 6" xfId="2646" xr:uid="{00000000-0005-0000-0000-0000620A0000}"/>
    <cellStyle name="Normal 2 2 2 6 7" xfId="2647" xr:uid="{00000000-0005-0000-0000-0000630A0000}"/>
    <cellStyle name="Normal 2 2 2 6 8" xfId="2648" xr:uid="{00000000-0005-0000-0000-0000640A0000}"/>
    <cellStyle name="Normal 2 2 2 6 9" xfId="2649" xr:uid="{00000000-0005-0000-0000-0000650A0000}"/>
    <cellStyle name="Normal 2 2 2 7" xfId="2650" xr:uid="{00000000-0005-0000-0000-0000660A0000}"/>
    <cellStyle name="Normal 2 2 2 7 10" xfId="2651" xr:uid="{00000000-0005-0000-0000-0000670A0000}"/>
    <cellStyle name="Normal 2 2 2 7 11" xfId="2652" xr:uid="{00000000-0005-0000-0000-0000680A0000}"/>
    <cellStyle name="Normal 2 2 2 7 2" xfId="2653" xr:uid="{00000000-0005-0000-0000-0000690A0000}"/>
    <cellStyle name="Normal 2 2 2 7 3" xfId="2654" xr:uid="{00000000-0005-0000-0000-00006A0A0000}"/>
    <cellStyle name="Normal 2 2 2 7 4" xfId="2655" xr:uid="{00000000-0005-0000-0000-00006B0A0000}"/>
    <cellStyle name="Normal 2 2 2 7 5" xfId="2656" xr:uid="{00000000-0005-0000-0000-00006C0A0000}"/>
    <cellStyle name="Normal 2 2 2 7 6" xfId="2657" xr:uid="{00000000-0005-0000-0000-00006D0A0000}"/>
    <cellStyle name="Normal 2 2 2 7 7" xfId="2658" xr:uid="{00000000-0005-0000-0000-00006E0A0000}"/>
    <cellStyle name="Normal 2 2 2 7 8" xfId="2659" xr:uid="{00000000-0005-0000-0000-00006F0A0000}"/>
    <cellStyle name="Normal 2 2 2 7 9" xfId="2660" xr:uid="{00000000-0005-0000-0000-0000700A0000}"/>
    <cellStyle name="Normal 2 2 2 8" xfId="2661" xr:uid="{00000000-0005-0000-0000-0000710A0000}"/>
    <cellStyle name="Normal 2 2 2 8 10" xfId="2662" xr:uid="{00000000-0005-0000-0000-0000720A0000}"/>
    <cellStyle name="Normal 2 2 2 8 11" xfId="2663" xr:uid="{00000000-0005-0000-0000-0000730A0000}"/>
    <cellStyle name="Normal 2 2 2 8 2" xfId="2664" xr:uid="{00000000-0005-0000-0000-0000740A0000}"/>
    <cellStyle name="Normal 2 2 2 8 3" xfId="2665" xr:uid="{00000000-0005-0000-0000-0000750A0000}"/>
    <cellStyle name="Normal 2 2 2 8 4" xfId="2666" xr:uid="{00000000-0005-0000-0000-0000760A0000}"/>
    <cellStyle name="Normal 2 2 2 8 5" xfId="2667" xr:uid="{00000000-0005-0000-0000-0000770A0000}"/>
    <cellStyle name="Normal 2 2 2 8 6" xfId="2668" xr:uid="{00000000-0005-0000-0000-0000780A0000}"/>
    <cellStyle name="Normal 2 2 2 8 7" xfId="2669" xr:uid="{00000000-0005-0000-0000-0000790A0000}"/>
    <cellStyle name="Normal 2 2 2 8 8" xfId="2670" xr:uid="{00000000-0005-0000-0000-00007A0A0000}"/>
    <cellStyle name="Normal 2 2 2 8 9" xfId="2671" xr:uid="{00000000-0005-0000-0000-00007B0A0000}"/>
    <cellStyle name="Normal 2 2 2 9" xfId="2672" xr:uid="{00000000-0005-0000-0000-00007C0A0000}"/>
    <cellStyle name="Normal 2 2 20" xfId="2214" xr:uid="{00000000-0005-0000-0000-00007D0A0000}"/>
    <cellStyle name="Normal 2 2 3" xfId="2673" xr:uid="{00000000-0005-0000-0000-00007E0A0000}"/>
    <cellStyle name="Normal 2 2 3 10" xfId="2674" xr:uid="{00000000-0005-0000-0000-00007F0A0000}"/>
    <cellStyle name="Normal 2 2 3 11" xfId="2675" xr:uid="{00000000-0005-0000-0000-0000800A0000}"/>
    <cellStyle name="Normal 2 2 3 2" xfId="2676" xr:uid="{00000000-0005-0000-0000-0000810A0000}"/>
    <cellStyle name="Normal 2 2 3 2 2" xfId="2677" xr:uid="{00000000-0005-0000-0000-0000820A0000}"/>
    <cellStyle name="Normal 2 2 3 2 2 2" xfId="2678" xr:uid="{00000000-0005-0000-0000-0000830A0000}"/>
    <cellStyle name="Normal 2 2 3 2 2 3" xfId="2679" xr:uid="{00000000-0005-0000-0000-0000840A0000}"/>
    <cellStyle name="Normal 2 2 3 2 2 4" xfId="2680" xr:uid="{00000000-0005-0000-0000-0000850A0000}"/>
    <cellStyle name="Normal 2 2 3 2 2 5" xfId="2681" xr:uid="{00000000-0005-0000-0000-0000860A0000}"/>
    <cellStyle name="Normal 2 2 3 2 2 6" xfId="2682" xr:uid="{00000000-0005-0000-0000-0000870A0000}"/>
    <cellStyle name="Normal 2 2 3 2 2 7" xfId="2683" xr:uid="{00000000-0005-0000-0000-0000880A0000}"/>
    <cellStyle name="Normal 2 2 3 2 2 8" xfId="2684" xr:uid="{00000000-0005-0000-0000-0000890A0000}"/>
    <cellStyle name="Normal 2 2 3 2 3" xfId="2685" xr:uid="{00000000-0005-0000-0000-00008A0A0000}"/>
    <cellStyle name="Normal 2 2 3 2 4" xfId="2686" xr:uid="{00000000-0005-0000-0000-00008B0A0000}"/>
    <cellStyle name="Normal 2 2 3 2 5" xfId="2687" xr:uid="{00000000-0005-0000-0000-00008C0A0000}"/>
    <cellStyle name="Normal 2 2 3 2 6" xfId="2688" xr:uid="{00000000-0005-0000-0000-00008D0A0000}"/>
    <cellStyle name="Normal 2 2 3 2 7" xfId="2689" xr:uid="{00000000-0005-0000-0000-00008E0A0000}"/>
    <cellStyle name="Normal 2 2 3 2 8" xfId="2690" xr:uid="{00000000-0005-0000-0000-00008F0A0000}"/>
    <cellStyle name="Normal 2 2 3 3" xfId="2691" xr:uid="{00000000-0005-0000-0000-0000900A0000}"/>
    <cellStyle name="Normal 2 2 3 4" xfId="2692" xr:uid="{00000000-0005-0000-0000-0000910A0000}"/>
    <cellStyle name="Normal 2 2 3 5" xfId="2693" xr:uid="{00000000-0005-0000-0000-0000920A0000}"/>
    <cellStyle name="Normal 2 2 3 6" xfId="2694" xr:uid="{00000000-0005-0000-0000-0000930A0000}"/>
    <cellStyle name="Normal 2 2 3 7" xfId="2695" xr:uid="{00000000-0005-0000-0000-0000940A0000}"/>
    <cellStyle name="Normal 2 2 3 8" xfId="2696" xr:uid="{00000000-0005-0000-0000-0000950A0000}"/>
    <cellStyle name="Normal 2 2 3 9" xfId="2697" xr:uid="{00000000-0005-0000-0000-0000960A0000}"/>
    <cellStyle name="Normal 2 2 4" xfId="2698" xr:uid="{00000000-0005-0000-0000-0000970A0000}"/>
    <cellStyle name="Normal 2 2 4 10" xfId="2699" xr:uid="{00000000-0005-0000-0000-0000980A0000}"/>
    <cellStyle name="Normal 2 2 4 11" xfId="2700" xr:uid="{00000000-0005-0000-0000-0000990A0000}"/>
    <cellStyle name="Normal 2 2 4 12" xfId="2701" xr:uid="{00000000-0005-0000-0000-00009A0A0000}"/>
    <cellStyle name="Normal 2 2 4 13" xfId="2702" xr:uid="{00000000-0005-0000-0000-00009B0A0000}"/>
    <cellStyle name="Normal 2 2 4 2" xfId="2703" xr:uid="{00000000-0005-0000-0000-00009C0A0000}"/>
    <cellStyle name="Normal 2 2 4 2 2" xfId="2704" xr:uid="{00000000-0005-0000-0000-00009D0A0000}"/>
    <cellStyle name="Normal 2 2 4 3" xfId="2705" xr:uid="{00000000-0005-0000-0000-00009E0A0000}"/>
    <cellStyle name="Normal 2 2 4 3 2" xfId="2706" xr:uid="{00000000-0005-0000-0000-00009F0A0000}"/>
    <cellStyle name="Normal 2 2 4 4" xfId="2707" xr:uid="{00000000-0005-0000-0000-0000A00A0000}"/>
    <cellStyle name="Normal 2 2 4 5" xfId="2708" xr:uid="{00000000-0005-0000-0000-0000A10A0000}"/>
    <cellStyle name="Normal 2 2 4 6" xfId="2709" xr:uid="{00000000-0005-0000-0000-0000A20A0000}"/>
    <cellStyle name="Normal 2 2 4 7" xfId="2710" xr:uid="{00000000-0005-0000-0000-0000A30A0000}"/>
    <cellStyle name="Normal 2 2 4 8" xfId="2711" xr:uid="{00000000-0005-0000-0000-0000A40A0000}"/>
    <cellStyle name="Normal 2 2 4 9" xfId="2712" xr:uid="{00000000-0005-0000-0000-0000A50A0000}"/>
    <cellStyle name="Normal 2 2 5" xfId="2713" xr:uid="{00000000-0005-0000-0000-0000A60A0000}"/>
    <cellStyle name="Normal 2 2 5 10" xfId="2714" xr:uid="{00000000-0005-0000-0000-0000A70A0000}"/>
    <cellStyle name="Normal 2 2 5 11" xfId="2715" xr:uid="{00000000-0005-0000-0000-0000A80A0000}"/>
    <cellStyle name="Normal 2 2 5 2" xfId="2716" xr:uid="{00000000-0005-0000-0000-0000A90A0000}"/>
    <cellStyle name="Normal 2 2 5 2 2" xfId="2717" xr:uid="{00000000-0005-0000-0000-0000AA0A0000}"/>
    <cellStyle name="Normal 2 2 5 2 2 2" xfId="2718" xr:uid="{00000000-0005-0000-0000-0000AB0A0000}"/>
    <cellStyle name="Normal 2 2 5 2 2 3" xfId="2719" xr:uid="{00000000-0005-0000-0000-0000AC0A0000}"/>
    <cellStyle name="Normal 2 2 5 2 2 4" xfId="2720" xr:uid="{00000000-0005-0000-0000-0000AD0A0000}"/>
    <cellStyle name="Normal 2 2 5 2 2 5" xfId="2721" xr:uid="{00000000-0005-0000-0000-0000AE0A0000}"/>
    <cellStyle name="Normal 2 2 5 2 2 6" xfId="2722" xr:uid="{00000000-0005-0000-0000-0000AF0A0000}"/>
    <cellStyle name="Normal 2 2 5 2 2 7" xfId="2723" xr:uid="{00000000-0005-0000-0000-0000B00A0000}"/>
    <cellStyle name="Normal 2 2 5 2 2 8" xfId="2724" xr:uid="{00000000-0005-0000-0000-0000B10A0000}"/>
    <cellStyle name="Normal 2 2 5 2 3" xfId="2725" xr:uid="{00000000-0005-0000-0000-0000B20A0000}"/>
    <cellStyle name="Normal 2 2 5 2 4" xfId="2726" xr:uid="{00000000-0005-0000-0000-0000B30A0000}"/>
    <cellStyle name="Normal 2 2 5 2 5" xfId="2727" xr:uid="{00000000-0005-0000-0000-0000B40A0000}"/>
    <cellStyle name="Normal 2 2 5 2 6" xfId="2728" xr:uid="{00000000-0005-0000-0000-0000B50A0000}"/>
    <cellStyle name="Normal 2 2 5 2 7" xfId="2729" xr:uid="{00000000-0005-0000-0000-0000B60A0000}"/>
    <cellStyle name="Normal 2 2 5 2 8" xfId="2730" xr:uid="{00000000-0005-0000-0000-0000B70A0000}"/>
    <cellStyle name="Normal 2 2 5 3" xfId="2731" xr:uid="{00000000-0005-0000-0000-0000B80A0000}"/>
    <cellStyle name="Normal 2 2 5 4" xfId="2732" xr:uid="{00000000-0005-0000-0000-0000B90A0000}"/>
    <cellStyle name="Normal 2 2 5 5" xfId="2733" xr:uid="{00000000-0005-0000-0000-0000BA0A0000}"/>
    <cellStyle name="Normal 2 2 5 6" xfId="2734" xr:uid="{00000000-0005-0000-0000-0000BB0A0000}"/>
    <cellStyle name="Normal 2 2 5 7" xfId="2735" xr:uid="{00000000-0005-0000-0000-0000BC0A0000}"/>
    <cellStyle name="Normal 2 2 5 8" xfId="2736" xr:uid="{00000000-0005-0000-0000-0000BD0A0000}"/>
    <cellStyle name="Normal 2 2 5 9" xfId="2737" xr:uid="{00000000-0005-0000-0000-0000BE0A0000}"/>
    <cellStyle name="Normal 2 2 6" xfId="2738" xr:uid="{00000000-0005-0000-0000-0000BF0A0000}"/>
    <cellStyle name="Normal 2 2 6 10" xfId="2739" xr:uid="{00000000-0005-0000-0000-0000C00A0000}"/>
    <cellStyle name="Normal 2 2 6 11" xfId="2740" xr:uid="{00000000-0005-0000-0000-0000C10A0000}"/>
    <cellStyle name="Normal 2 2 6 2" xfId="2741" xr:uid="{00000000-0005-0000-0000-0000C20A0000}"/>
    <cellStyle name="Normal 2 2 6 3" xfId="2742" xr:uid="{00000000-0005-0000-0000-0000C30A0000}"/>
    <cellStyle name="Normal 2 2 6 4" xfId="2743" xr:uid="{00000000-0005-0000-0000-0000C40A0000}"/>
    <cellStyle name="Normal 2 2 6 5" xfId="2744" xr:uid="{00000000-0005-0000-0000-0000C50A0000}"/>
    <cellStyle name="Normal 2 2 6 6" xfId="2745" xr:uid="{00000000-0005-0000-0000-0000C60A0000}"/>
    <cellStyle name="Normal 2 2 6 7" xfId="2746" xr:uid="{00000000-0005-0000-0000-0000C70A0000}"/>
    <cellStyle name="Normal 2 2 6 8" xfId="2747" xr:uid="{00000000-0005-0000-0000-0000C80A0000}"/>
    <cellStyle name="Normal 2 2 6 9" xfId="2748" xr:uid="{00000000-0005-0000-0000-0000C90A0000}"/>
    <cellStyle name="Normal 2 2 7" xfId="2749" xr:uid="{00000000-0005-0000-0000-0000CA0A0000}"/>
    <cellStyle name="Normal 2 2 7 10" xfId="2750" xr:uid="{00000000-0005-0000-0000-0000CB0A0000}"/>
    <cellStyle name="Normal 2 2 7 2" xfId="2751" xr:uid="{00000000-0005-0000-0000-0000CC0A0000}"/>
    <cellStyle name="Normal 2 2 7 2 10" xfId="2752" xr:uid="{00000000-0005-0000-0000-0000CD0A0000}"/>
    <cellStyle name="Normal 2 2 7 2 11" xfId="2753" xr:uid="{00000000-0005-0000-0000-0000CE0A0000}"/>
    <cellStyle name="Normal 2 2 7 2 12" xfId="2754" xr:uid="{00000000-0005-0000-0000-0000CF0A0000}"/>
    <cellStyle name="Normal 2 2 7 2 13" xfId="2755" xr:uid="{00000000-0005-0000-0000-0000D00A0000}"/>
    <cellStyle name="Normal 2 2 7 2 2" xfId="2756" xr:uid="{00000000-0005-0000-0000-0000D10A0000}"/>
    <cellStyle name="Normal 2 2 7 2 2 2" xfId="2757" xr:uid="{00000000-0005-0000-0000-0000D20A0000}"/>
    <cellStyle name="Normal 2 2 7 2 2 2 2" xfId="2758" xr:uid="{00000000-0005-0000-0000-0000D30A0000}"/>
    <cellStyle name="Normal 2 2 7 2 2 2 3" xfId="2759" xr:uid="{00000000-0005-0000-0000-0000D40A0000}"/>
    <cellStyle name="Normal 2 2 7 2 2 2 4" xfId="2760" xr:uid="{00000000-0005-0000-0000-0000D50A0000}"/>
    <cellStyle name="Normal 2 2 7 2 2 2 5" xfId="2761" xr:uid="{00000000-0005-0000-0000-0000D60A0000}"/>
    <cellStyle name="Normal 2 2 7 2 2 2 6" xfId="2762" xr:uid="{00000000-0005-0000-0000-0000D70A0000}"/>
    <cellStyle name="Normal 2 2 7 2 2 2 7" xfId="2763" xr:uid="{00000000-0005-0000-0000-0000D80A0000}"/>
    <cellStyle name="Normal 2 2 7 2 2 2 8" xfId="2764" xr:uid="{00000000-0005-0000-0000-0000D90A0000}"/>
    <cellStyle name="Normal 2 2 7 2 2 3" xfId="2765" xr:uid="{00000000-0005-0000-0000-0000DA0A0000}"/>
    <cellStyle name="Normal 2 2 7 2 2 4" xfId="2766" xr:uid="{00000000-0005-0000-0000-0000DB0A0000}"/>
    <cellStyle name="Normal 2 2 7 2 2 5" xfId="2767" xr:uid="{00000000-0005-0000-0000-0000DC0A0000}"/>
    <cellStyle name="Normal 2 2 7 2 2 6" xfId="2768" xr:uid="{00000000-0005-0000-0000-0000DD0A0000}"/>
    <cellStyle name="Normal 2 2 7 2 2 7" xfId="2769" xr:uid="{00000000-0005-0000-0000-0000DE0A0000}"/>
    <cellStyle name="Normal 2 2 7 2 2 8" xfId="2770" xr:uid="{00000000-0005-0000-0000-0000DF0A0000}"/>
    <cellStyle name="Normal 2 2 7 2 3" xfId="2771" xr:uid="{00000000-0005-0000-0000-0000E00A0000}"/>
    <cellStyle name="Normal 2 2 7 2 4" xfId="2772" xr:uid="{00000000-0005-0000-0000-0000E10A0000}"/>
    <cellStyle name="Normal 2 2 7 2 5" xfId="2773" xr:uid="{00000000-0005-0000-0000-0000E20A0000}"/>
    <cellStyle name="Normal 2 2 7 2 6" xfId="2774" xr:uid="{00000000-0005-0000-0000-0000E30A0000}"/>
    <cellStyle name="Normal 2 2 7 2 7" xfId="2775" xr:uid="{00000000-0005-0000-0000-0000E40A0000}"/>
    <cellStyle name="Normal 2 2 7 2 8" xfId="2776" xr:uid="{00000000-0005-0000-0000-0000E50A0000}"/>
    <cellStyle name="Normal 2 2 7 2 9" xfId="2777" xr:uid="{00000000-0005-0000-0000-0000E60A0000}"/>
    <cellStyle name="Normal 2 2 7 3" xfId="2778" xr:uid="{00000000-0005-0000-0000-0000E70A0000}"/>
    <cellStyle name="Normal 2 2 7 3 10" xfId="2779" xr:uid="{00000000-0005-0000-0000-0000E80A0000}"/>
    <cellStyle name="Normal 2 2 7 3 11" xfId="2780" xr:uid="{00000000-0005-0000-0000-0000E90A0000}"/>
    <cellStyle name="Normal 2 2 7 3 2" xfId="2781" xr:uid="{00000000-0005-0000-0000-0000EA0A0000}"/>
    <cellStyle name="Normal 2 2 7 3 3" xfId="2782" xr:uid="{00000000-0005-0000-0000-0000EB0A0000}"/>
    <cellStyle name="Normal 2 2 7 3 4" xfId="2783" xr:uid="{00000000-0005-0000-0000-0000EC0A0000}"/>
    <cellStyle name="Normal 2 2 7 3 5" xfId="2784" xr:uid="{00000000-0005-0000-0000-0000ED0A0000}"/>
    <cellStyle name="Normal 2 2 7 3 6" xfId="2785" xr:uid="{00000000-0005-0000-0000-0000EE0A0000}"/>
    <cellStyle name="Normal 2 2 7 3 7" xfId="2786" xr:uid="{00000000-0005-0000-0000-0000EF0A0000}"/>
    <cellStyle name="Normal 2 2 7 3 8" xfId="2787" xr:uid="{00000000-0005-0000-0000-0000F00A0000}"/>
    <cellStyle name="Normal 2 2 7 3 9" xfId="2788" xr:uid="{00000000-0005-0000-0000-0000F10A0000}"/>
    <cellStyle name="Normal 2 2 7 4" xfId="2789" xr:uid="{00000000-0005-0000-0000-0000F20A0000}"/>
    <cellStyle name="Normal 2 2 7 5" xfId="2790" xr:uid="{00000000-0005-0000-0000-0000F30A0000}"/>
    <cellStyle name="Normal 2 2 7 6" xfId="2791" xr:uid="{00000000-0005-0000-0000-0000F40A0000}"/>
    <cellStyle name="Normal 2 2 7 7" xfId="2792" xr:uid="{00000000-0005-0000-0000-0000F50A0000}"/>
    <cellStyle name="Normal 2 2 7 8" xfId="2793" xr:uid="{00000000-0005-0000-0000-0000F60A0000}"/>
    <cellStyle name="Normal 2 2 7 9" xfId="2794" xr:uid="{00000000-0005-0000-0000-0000F70A0000}"/>
    <cellStyle name="Normal 2 2 8" xfId="2795" xr:uid="{00000000-0005-0000-0000-0000F80A0000}"/>
    <cellStyle name="Normal 2 2 9" xfId="2796" xr:uid="{00000000-0005-0000-0000-0000F90A0000}"/>
    <cellStyle name="Normal 2 2 9 2" xfId="2797" xr:uid="{00000000-0005-0000-0000-0000FA0A0000}"/>
    <cellStyle name="Normal 2 2 9 2 2" xfId="2798" xr:uid="{00000000-0005-0000-0000-0000FB0A0000}"/>
    <cellStyle name="Normal 2 2 9 2 3" xfId="2799" xr:uid="{00000000-0005-0000-0000-0000FC0A0000}"/>
    <cellStyle name="Normal 2 2 9 2 4" xfId="2800" xr:uid="{00000000-0005-0000-0000-0000FD0A0000}"/>
    <cellStyle name="Normal 2 2 9 2 5" xfId="2801" xr:uid="{00000000-0005-0000-0000-0000FE0A0000}"/>
    <cellStyle name="Normal 2 2 9 2 6" xfId="2802" xr:uid="{00000000-0005-0000-0000-0000FF0A0000}"/>
    <cellStyle name="Normal 2 2 9 2 7" xfId="2803" xr:uid="{00000000-0005-0000-0000-0000000B0000}"/>
    <cellStyle name="Normal 2 2 9 2 8" xfId="2804" xr:uid="{00000000-0005-0000-0000-0000010B0000}"/>
    <cellStyle name="Normal 2 2 9 3" xfId="2805" xr:uid="{00000000-0005-0000-0000-0000020B0000}"/>
    <cellStyle name="Normal 2 2 9 4" xfId="2806" xr:uid="{00000000-0005-0000-0000-0000030B0000}"/>
    <cellStyle name="Normal 2 2 9 5" xfId="2807" xr:uid="{00000000-0005-0000-0000-0000040B0000}"/>
    <cellStyle name="Normal 2 2 9 6" xfId="2808" xr:uid="{00000000-0005-0000-0000-0000050B0000}"/>
    <cellStyle name="Normal 2 2 9 7" xfId="2809" xr:uid="{00000000-0005-0000-0000-0000060B0000}"/>
    <cellStyle name="Normal 2 2 9 8" xfId="2810" xr:uid="{00000000-0005-0000-0000-0000070B0000}"/>
    <cellStyle name="Normal 2 20" xfId="2811" xr:uid="{00000000-0005-0000-0000-0000080B0000}"/>
    <cellStyle name="Normal 2 21" xfId="2812" xr:uid="{00000000-0005-0000-0000-0000090B0000}"/>
    <cellStyle name="Normal 2 22" xfId="2813" xr:uid="{00000000-0005-0000-0000-00000A0B0000}"/>
    <cellStyle name="Normal 2 23" xfId="3409" xr:uid="{00000000-0005-0000-0000-00000B0B0000}"/>
    <cellStyle name="Normal 2 24" xfId="2167" xr:uid="{00000000-0005-0000-0000-00000C0B0000}"/>
    <cellStyle name="Normal 2 3" xfId="2814" xr:uid="{00000000-0005-0000-0000-00000D0B0000}"/>
    <cellStyle name="Normal 2 3 10" xfId="2815" xr:uid="{00000000-0005-0000-0000-00000E0B0000}"/>
    <cellStyle name="Normal 2 3 11" xfId="2816" xr:uid="{00000000-0005-0000-0000-00000F0B0000}"/>
    <cellStyle name="Normal 2 3 12" xfId="2817" xr:uid="{00000000-0005-0000-0000-0000100B0000}"/>
    <cellStyle name="Normal 2 3 13" xfId="2818" xr:uid="{00000000-0005-0000-0000-0000110B0000}"/>
    <cellStyle name="Normal 2 3 2" xfId="2819" xr:uid="{00000000-0005-0000-0000-0000120B0000}"/>
    <cellStyle name="Normal 2 3 2 10" xfId="2820" xr:uid="{00000000-0005-0000-0000-0000130B0000}"/>
    <cellStyle name="Normal 2 3 2 11" xfId="2821" xr:uid="{00000000-0005-0000-0000-0000140B0000}"/>
    <cellStyle name="Normal 2 3 2 2" xfId="2822" xr:uid="{00000000-0005-0000-0000-0000150B0000}"/>
    <cellStyle name="Normal 2 3 2 2 2" xfId="2823" xr:uid="{00000000-0005-0000-0000-0000160B0000}"/>
    <cellStyle name="Normal 2 3 2 2 2 2" xfId="2824" xr:uid="{00000000-0005-0000-0000-0000170B0000}"/>
    <cellStyle name="Normal 2 3 2 2 2 3" xfId="2825" xr:uid="{00000000-0005-0000-0000-0000180B0000}"/>
    <cellStyle name="Normal 2 3 2 2 2 4" xfId="2826" xr:uid="{00000000-0005-0000-0000-0000190B0000}"/>
    <cellStyle name="Normal 2 3 2 2 2 5" xfId="2827" xr:uid="{00000000-0005-0000-0000-00001A0B0000}"/>
    <cellStyle name="Normal 2 3 2 2 2 6" xfId="2828" xr:uid="{00000000-0005-0000-0000-00001B0B0000}"/>
    <cellStyle name="Normal 2 3 2 2 2 7" xfId="2829" xr:uid="{00000000-0005-0000-0000-00001C0B0000}"/>
    <cellStyle name="Normal 2 3 2 2 2 8" xfId="2830" xr:uid="{00000000-0005-0000-0000-00001D0B0000}"/>
    <cellStyle name="Normal 2 3 2 2 3" xfId="2831" xr:uid="{00000000-0005-0000-0000-00001E0B0000}"/>
    <cellStyle name="Normal 2 3 2 2 4" xfId="2832" xr:uid="{00000000-0005-0000-0000-00001F0B0000}"/>
    <cellStyle name="Normal 2 3 2 2 5" xfId="2833" xr:uid="{00000000-0005-0000-0000-0000200B0000}"/>
    <cellStyle name="Normal 2 3 2 2 6" xfId="2834" xr:uid="{00000000-0005-0000-0000-0000210B0000}"/>
    <cellStyle name="Normal 2 3 2 2 7" xfId="2835" xr:uid="{00000000-0005-0000-0000-0000220B0000}"/>
    <cellStyle name="Normal 2 3 2 2 8" xfId="2836" xr:uid="{00000000-0005-0000-0000-0000230B0000}"/>
    <cellStyle name="Normal 2 3 2 3" xfId="2837" xr:uid="{00000000-0005-0000-0000-0000240B0000}"/>
    <cellStyle name="Normal 2 3 2 4" xfId="2838" xr:uid="{00000000-0005-0000-0000-0000250B0000}"/>
    <cellStyle name="Normal 2 3 2 5" xfId="2839" xr:uid="{00000000-0005-0000-0000-0000260B0000}"/>
    <cellStyle name="Normal 2 3 2 6" xfId="2840" xr:uid="{00000000-0005-0000-0000-0000270B0000}"/>
    <cellStyle name="Normal 2 3 2 7" xfId="2841" xr:uid="{00000000-0005-0000-0000-0000280B0000}"/>
    <cellStyle name="Normal 2 3 2 8" xfId="2842" xr:uid="{00000000-0005-0000-0000-0000290B0000}"/>
    <cellStyle name="Normal 2 3 2 9" xfId="2843" xr:uid="{00000000-0005-0000-0000-00002A0B0000}"/>
    <cellStyle name="Normal 2 3 3" xfId="2844" xr:uid="{00000000-0005-0000-0000-00002B0B0000}"/>
    <cellStyle name="Normal 2 3 3 2" xfId="2845" xr:uid="{00000000-0005-0000-0000-00002C0B0000}"/>
    <cellStyle name="Normal 2 3 3 3" xfId="2846" xr:uid="{00000000-0005-0000-0000-00002D0B0000}"/>
    <cellStyle name="Normal 2 3 3 4" xfId="2847" xr:uid="{00000000-0005-0000-0000-00002E0B0000}"/>
    <cellStyle name="Normal 2 3 3 5" xfId="2848" xr:uid="{00000000-0005-0000-0000-00002F0B0000}"/>
    <cellStyle name="Normal 2 3 3 6" xfId="2849" xr:uid="{00000000-0005-0000-0000-0000300B0000}"/>
    <cellStyle name="Normal 2 3 3 7" xfId="2850" xr:uid="{00000000-0005-0000-0000-0000310B0000}"/>
    <cellStyle name="Normal 2 3 3 8" xfId="2851" xr:uid="{00000000-0005-0000-0000-0000320B0000}"/>
    <cellStyle name="Normal 2 3 4" xfId="2852" xr:uid="{00000000-0005-0000-0000-0000330B0000}"/>
    <cellStyle name="Normal 2 3 5" xfId="2853" xr:uid="{00000000-0005-0000-0000-0000340B0000}"/>
    <cellStyle name="Normal 2 3 6" xfId="2854" xr:uid="{00000000-0005-0000-0000-0000350B0000}"/>
    <cellStyle name="Normal 2 3 7" xfId="2855" xr:uid="{00000000-0005-0000-0000-0000360B0000}"/>
    <cellStyle name="Normal 2 3 8" xfId="2856" xr:uid="{00000000-0005-0000-0000-0000370B0000}"/>
    <cellStyle name="Normal 2 3 9" xfId="2857" xr:uid="{00000000-0005-0000-0000-0000380B0000}"/>
    <cellStyle name="Normal 2 4" xfId="2858" xr:uid="{00000000-0005-0000-0000-0000390B0000}"/>
    <cellStyle name="Normal 2 4 10" xfId="2859" xr:uid="{00000000-0005-0000-0000-00003A0B0000}"/>
    <cellStyle name="Normal 2 4 11" xfId="2860" xr:uid="{00000000-0005-0000-0000-00003B0B0000}"/>
    <cellStyle name="Normal 2 4 2" xfId="2861" xr:uid="{00000000-0005-0000-0000-00003C0B0000}"/>
    <cellStyle name="Normal 2 4 2 2" xfId="2862" xr:uid="{00000000-0005-0000-0000-00003D0B0000}"/>
    <cellStyle name="Normal 2 4 3" xfId="2863" xr:uid="{00000000-0005-0000-0000-00003E0B0000}"/>
    <cellStyle name="Normal 2 4 3 2" xfId="2864" xr:uid="{00000000-0005-0000-0000-00003F0B0000}"/>
    <cellStyle name="Normal 2 4 4" xfId="2865" xr:uid="{00000000-0005-0000-0000-0000400B0000}"/>
    <cellStyle name="Normal 2 4 5" xfId="2866" xr:uid="{00000000-0005-0000-0000-0000410B0000}"/>
    <cellStyle name="Normal 2 4 6" xfId="2867" xr:uid="{00000000-0005-0000-0000-0000420B0000}"/>
    <cellStyle name="Normal 2 4 7" xfId="2868" xr:uid="{00000000-0005-0000-0000-0000430B0000}"/>
    <cellStyle name="Normal 2 4 8" xfId="2869" xr:uid="{00000000-0005-0000-0000-0000440B0000}"/>
    <cellStyle name="Normal 2 4 9" xfId="2870" xr:uid="{00000000-0005-0000-0000-0000450B0000}"/>
    <cellStyle name="Normal 2 5" xfId="2871" xr:uid="{00000000-0005-0000-0000-0000460B0000}"/>
    <cellStyle name="Normal 2 6" xfId="2872" xr:uid="{00000000-0005-0000-0000-0000470B0000}"/>
    <cellStyle name="Normal 2 7" xfId="2873" xr:uid="{00000000-0005-0000-0000-0000480B0000}"/>
    <cellStyle name="Normal 2 7 10" xfId="2874" xr:uid="{00000000-0005-0000-0000-0000490B0000}"/>
    <cellStyle name="Normal 2 7 11" xfId="2875" xr:uid="{00000000-0005-0000-0000-00004A0B0000}"/>
    <cellStyle name="Normal 2 7 2" xfId="2876" xr:uid="{00000000-0005-0000-0000-00004B0B0000}"/>
    <cellStyle name="Normal 2 7 2 2" xfId="2877" xr:uid="{00000000-0005-0000-0000-00004C0B0000}"/>
    <cellStyle name="Normal 2 7 3" xfId="2878" xr:uid="{00000000-0005-0000-0000-00004D0B0000}"/>
    <cellStyle name="Normal 2 7 3 2" xfId="2879" xr:uid="{00000000-0005-0000-0000-00004E0B0000}"/>
    <cellStyle name="Normal 2 7 4" xfId="2880" xr:uid="{00000000-0005-0000-0000-00004F0B0000}"/>
    <cellStyle name="Normal 2 7 5" xfId="2881" xr:uid="{00000000-0005-0000-0000-0000500B0000}"/>
    <cellStyle name="Normal 2 7 6" xfId="2882" xr:uid="{00000000-0005-0000-0000-0000510B0000}"/>
    <cellStyle name="Normal 2 7 7" xfId="2883" xr:uid="{00000000-0005-0000-0000-0000520B0000}"/>
    <cellStyle name="Normal 2 7 8" xfId="2884" xr:uid="{00000000-0005-0000-0000-0000530B0000}"/>
    <cellStyle name="Normal 2 7 9" xfId="2885" xr:uid="{00000000-0005-0000-0000-0000540B0000}"/>
    <cellStyle name="Normal 2 8" xfId="2886" xr:uid="{00000000-0005-0000-0000-0000550B0000}"/>
    <cellStyle name="Normal 2 8 10" xfId="2887" xr:uid="{00000000-0005-0000-0000-0000560B0000}"/>
    <cellStyle name="Normal 2 8 11" xfId="2888" xr:uid="{00000000-0005-0000-0000-0000570B0000}"/>
    <cellStyle name="Normal 2 8 12" xfId="2889" xr:uid="{00000000-0005-0000-0000-0000580B0000}"/>
    <cellStyle name="Normal 2 8 13" xfId="2890" xr:uid="{00000000-0005-0000-0000-0000590B0000}"/>
    <cellStyle name="Normal 2 8 14" xfId="2891" xr:uid="{00000000-0005-0000-0000-00005A0B0000}"/>
    <cellStyle name="Normal 2 8 2" xfId="2892" xr:uid="{00000000-0005-0000-0000-00005B0B0000}"/>
    <cellStyle name="Normal 2 8 2 10" xfId="2893" xr:uid="{00000000-0005-0000-0000-00005C0B0000}"/>
    <cellStyle name="Normal 2 8 2 2" xfId="2894" xr:uid="{00000000-0005-0000-0000-00005D0B0000}"/>
    <cellStyle name="Normal 2 8 2 2 10" xfId="2895" xr:uid="{00000000-0005-0000-0000-00005E0B0000}"/>
    <cellStyle name="Normal 2 8 2 2 11" xfId="2896" xr:uid="{00000000-0005-0000-0000-00005F0B0000}"/>
    <cellStyle name="Normal 2 8 2 2 2" xfId="2897" xr:uid="{00000000-0005-0000-0000-0000600B0000}"/>
    <cellStyle name="Normal 2 8 2 2 2 2" xfId="2898" xr:uid="{00000000-0005-0000-0000-0000610B0000}"/>
    <cellStyle name="Normal 2 8 2 2 2 3" xfId="2899" xr:uid="{00000000-0005-0000-0000-0000620B0000}"/>
    <cellStyle name="Normal 2 8 2 2 2 4" xfId="2900" xr:uid="{00000000-0005-0000-0000-0000630B0000}"/>
    <cellStyle name="Normal 2 8 2 2 2 5" xfId="2901" xr:uid="{00000000-0005-0000-0000-0000640B0000}"/>
    <cellStyle name="Normal 2 8 2 2 2 6" xfId="2902" xr:uid="{00000000-0005-0000-0000-0000650B0000}"/>
    <cellStyle name="Normal 2 8 2 2 2 7" xfId="2903" xr:uid="{00000000-0005-0000-0000-0000660B0000}"/>
    <cellStyle name="Normal 2 8 2 2 2 8" xfId="2904" xr:uid="{00000000-0005-0000-0000-0000670B0000}"/>
    <cellStyle name="Normal 2 8 2 2 3" xfId="2905" xr:uid="{00000000-0005-0000-0000-0000680B0000}"/>
    <cellStyle name="Normal 2 8 2 2 4" xfId="2906" xr:uid="{00000000-0005-0000-0000-0000690B0000}"/>
    <cellStyle name="Normal 2 8 2 2 5" xfId="2907" xr:uid="{00000000-0005-0000-0000-00006A0B0000}"/>
    <cellStyle name="Normal 2 8 2 2 6" xfId="2908" xr:uid="{00000000-0005-0000-0000-00006B0B0000}"/>
    <cellStyle name="Normal 2 8 2 2 7" xfId="2909" xr:uid="{00000000-0005-0000-0000-00006C0B0000}"/>
    <cellStyle name="Normal 2 8 2 2 8" xfId="2910" xr:uid="{00000000-0005-0000-0000-00006D0B0000}"/>
    <cellStyle name="Normal 2 8 2 2 9" xfId="2911" xr:uid="{00000000-0005-0000-0000-00006E0B0000}"/>
    <cellStyle name="Normal 2 8 2 3" xfId="2912" xr:uid="{00000000-0005-0000-0000-00006F0B0000}"/>
    <cellStyle name="Normal 2 8 2 3 10" xfId="2913" xr:uid="{00000000-0005-0000-0000-0000700B0000}"/>
    <cellStyle name="Normal 2 8 2 3 11" xfId="2914" xr:uid="{00000000-0005-0000-0000-0000710B0000}"/>
    <cellStyle name="Normal 2 8 2 3 2" xfId="2915" xr:uid="{00000000-0005-0000-0000-0000720B0000}"/>
    <cellStyle name="Normal 2 8 2 3 3" xfId="2916" xr:uid="{00000000-0005-0000-0000-0000730B0000}"/>
    <cellStyle name="Normal 2 8 2 3 4" xfId="2917" xr:uid="{00000000-0005-0000-0000-0000740B0000}"/>
    <cellStyle name="Normal 2 8 2 3 5" xfId="2918" xr:uid="{00000000-0005-0000-0000-0000750B0000}"/>
    <cellStyle name="Normal 2 8 2 3 6" xfId="2919" xr:uid="{00000000-0005-0000-0000-0000760B0000}"/>
    <cellStyle name="Normal 2 8 2 3 7" xfId="2920" xr:uid="{00000000-0005-0000-0000-0000770B0000}"/>
    <cellStyle name="Normal 2 8 2 3 8" xfId="2921" xr:uid="{00000000-0005-0000-0000-0000780B0000}"/>
    <cellStyle name="Normal 2 8 2 3 9" xfId="2922" xr:uid="{00000000-0005-0000-0000-0000790B0000}"/>
    <cellStyle name="Normal 2 8 2 4" xfId="2923" xr:uid="{00000000-0005-0000-0000-00007A0B0000}"/>
    <cellStyle name="Normal 2 8 2 5" xfId="2924" xr:uid="{00000000-0005-0000-0000-00007B0B0000}"/>
    <cellStyle name="Normal 2 8 2 6" xfId="2925" xr:uid="{00000000-0005-0000-0000-00007C0B0000}"/>
    <cellStyle name="Normal 2 8 2 7" xfId="2926" xr:uid="{00000000-0005-0000-0000-00007D0B0000}"/>
    <cellStyle name="Normal 2 8 2 8" xfId="2927" xr:uid="{00000000-0005-0000-0000-00007E0B0000}"/>
    <cellStyle name="Normal 2 8 2 9" xfId="2928" xr:uid="{00000000-0005-0000-0000-00007F0B0000}"/>
    <cellStyle name="Normal 2 8 3" xfId="2929" xr:uid="{00000000-0005-0000-0000-0000800B0000}"/>
    <cellStyle name="Normal 2 8 3 2" xfId="2930" xr:uid="{00000000-0005-0000-0000-0000810B0000}"/>
    <cellStyle name="Normal 2 8 3 2 2" xfId="2931" xr:uid="{00000000-0005-0000-0000-0000820B0000}"/>
    <cellStyle name="Normal 2 8 3 2 2 2" xfId="2932" xr:uid="{00000000-0005-0000-0000-0000830B0000}"/>
    <cellStyle name="Normal 2 8 3 2 2 3" xfId="2933" xr:uid="{00000000-0005-0000-0000-0000840B0000}"/>
    <cellStyle name="Normal 2 8 3 2 2 4" xfId="2934" xr:uid="{00000000-0005-0000-0000-0000850B0000}"/>
    <cellStyle name="Normal 2 8 3 2 2 5" xfId="2935" xr:uid="{00000000-0005-0000-0000-0000860B0000}"/>
    <cellStyle name="Normal 2 8 3 2 2 6" xfId="2936" xr:uid="{00000000-0005-0000-0000-0000870B0000}"/>
    <cellStyle name="Normal 2 8 3 2 2 7" xfId="2937" xr:uid="{00000000-0005-0000-0000-0000880B0000}"/>
    <cellStyle name="Normal 2 8 3 2 2 8" xfId="2938" xr:uid="{00000000-0005-0000-0000-0000890B0000}"/>
    <cellStyle name="Normal 2 8 3 2 3" xfId="2939" xr:uid="{00000000-0005-0000-0000-00008A0B0000}"/>
    <cellStyle name="Normal 2 8 3 2 4" xfId="2940" xr:uid="{00000000-0005-0000-0000-00008B0B0000}"/>
    <cellStyle name="Normal 2 8 3 2 5" xfId="2941" xr:uid="{00000000-0005-0000-0000-00008C0B0000}"/>
    <cellStyle name="Normal 2 8 3 2 6" xfId="2942" xr:uid="{00000000-0005-0000-0000-00008D0B0000}"/>
    <cellStyle name="Normal 2 8 3 2 7" xfId="2943" xr:uid="{00000000-0005-0000-0000-00008E0B0000}"/>
    <cellStyle name="Normal 2 8 3 2 8" xfId="2944" xr:uid="{00000000-0005-0000-0000-00008F0B0000}"/>
    <cellStyle name="Normal 2 8 3 3" xfId="2945" xr:uid="{00000000-0005-0000-0000-0000900B0000}"/>
    <cellStyle name="Normal 2 8 3 4" xfId="2946" xr:uid="{00000000-0005-0000-0000-0000910B0000}"/>
    <cellStyle name="Normal 2 8 3 5" xfId="2947" xr:uid="{00000000-0005-0000-0000-0000920B0000}"/>
    <cellStyle name="Normal 2 8 3 6" xfId="2948" xr:uid="{00000000-0005-0000-0000-0000930B0000}"/>
    <cellStyle name="Normal 2 8 3 7" xfId="2949" xr:uid="{00000000-0005-0000-0000-0000940B0000}"/>
    <cellStyle name="Normal 2 8 3 8" xfId="2950" xr:uid="{00000000-0005-0000-0000-0000950B0000}"/>
    <cellStyle name="Normal 2 8 4" xfId="2951" xr:uid="{00000000-0005-0000-0000-0000960B0000}"/>
    <cellStyle name="Normal 2 8 5" xfId="2952" xr:uid="{00000000-0005-0000-0000-0000970B0000}"/>
    <cellStyle name="Normal 2 8 6" xfId="2953" xr:uid="{00000000-0005-0000-0000-0000980B0000}"/>
    <cellStyle name="Normal 2 8 7" xfId="2954" xr:uid="{00000000-0005-0000-0000-0000990B0000}"/>
    <cellStyle name="Normal 2 8 8" xfId="2955" xr:uid="{00000000-0005-0000-0000-00009A0B0000}"/>
    <cellStyle name="Normal 2 8 9" xfId="2956" xr:uid="{00000000-0005-0000-0000-00009B0B0000}"/>
    <cellStyle name="Normal 2 9" xfId="2957" xr:uid="{00000000-0005-0000-0000-00009C0B0000}"/>
    <cellStyle name="Normal 2 9 10" xfId="2958" xr:uid="{00000000-0005-0000-0000-00009D0B0000}"/>
    <cellStyle name="Normal 2 9 11" xfId="2959" xr:uid="{00000000-0005-0000-0000-00009E0B0000}"/>
    <cellStyle name="Normal 2 9 12" xfId="2960" xr:uid="{00000000-0005-0000-0000-00009F0B0000}"/>
    <cellStyle name="Normal 2 9 13" xfId="2961" xr:uid="{00000000-0005-0000-0000-0000A00B0000}"/>
    <cellStyle name="Normal 2 9 14" xfId="2962" xr:uid="{00000000-0005-0000-0000-0000A10B0000}"/>
    <cellStyle name="Normal 2 9 2" xfId="2963" xr:uid="{00000000-0005-0000-0000-0000A20B0000}"/>
    <cellStyle name="Normal 2 9 2 2" xfId="2964" xr:uid="{00000000-0005-0000-0000-0000A30B0000}"/>
    <cellStyle name="Normal 2 9 3" xfId="2965" xr:uid="{00000000-0005-0000-0000-0000A40B0000}"/>
    <cellStyle name="Normal 2 9 3 2" xfId="2966" xr:uid="{00000000-0005-0000-0000-0000A50B0000}"/>
    <cellStyle name="Normal 2 9 4" xfId="2967" xr:uid="{00000000-0005-0000-0000-0000A60B0000}"/>
    <cellStyle name="Normal 2 9 5" xfId="2968" xr:uid="{00000000-0005-0000-0000-0000A70B0000}"/>
    <cellStyle name="Normal 2 9 6" xfId="2969" xr:uid="{00000000-0005-0000-0000-0000A80B0000}"/>
    <cellStyle name="Normal 2 9 7" xfId="2970" xr:uid="{00000000-0005-0000-0000-0000A90B0000}"/>
    <cellStyle name="Normal 2 9 8" xfId="2971" xr:uid="{00000000-0005-0000-0000-0000AA0B0000}"/>
    <cellStyle name="Normal 2 9 9" xfId="2972" xr:uid="{00000000-0005-0000-0000-0000AB0B0000}"/>
    <cellStyle name="Normal 20" xfId="3427" xr:uid="{00000000-0005-0000-0000-0000AC0B0000}"/>
    <cellStyle name="Normal 21" xfId="3437" xr:uid="{00000000-0005-0000-0000-0000AD0B0000}"/>
    <cellStyle name="Normal 22" xfId="3423" xr:uid="{00000000-0005-0000-0000-0000AE0B0000}"/>
    <cellStyle name="Normal 23" xfId="3424" xr:uid="{00000000-0005-0000-0000-0000AF0B0000}"/>
    <cellStyle name="Normal 24" xfId="3426" xr:uid="{00000000-0005-0000-0000-0000B00B0000}"/>
    <cellStyle name="Normal 25" xfId="3438" xr:uid="{00000000-0005-0000-0000-0000B10B0000}"/>
    <cellStyle name="Normal 26" xfId="13" xr:uid="{00000000-0005-0000-0000-0000B20B0000}"/>
    <cellStyle name="Normal 3" xfId="10" xr:uid="{00000000-0005-0000-0000-0000B30B0000}"/>
    <cellStyle name="Normal 3 10" xfId="2974" xr:uid="{00000000-0005-0000-0000-0000B40B0000}"/>
    <cellStyle name="Normal 3 11" xfId="2975" xr:uid="{00000000-0005-0000-0000-0000B50B0000}"/>
    <cellStyle name="Normal 3 12" xfId="2976" xr:uid="{00000000-0005-0000-0000-0000B60B0000}"/>
    <cellStyle name="Normal 3 13" xfId="2977" xr:uid="{00000000-0005-0000-0000-0000B70B0000}"/>
    <cellStyle name="Normal 3 14" xfId="2978" xr:uid="{00000000-0005-0000-0000-0000B80B0000}"/>
    <cellStyle name="Normal 3 15" xfId="2979" xr:uid="{00000000-0005-0000-0000-0000B90B0000}"/>
    <cellStyle name="Normal 3 16" xfId="2980" xr:uid="{00000000-0005-0000-0000-0000BA0B0000}"/>
    <cellStyle name="Normal 3 17" xfId="2981" xr:uid="{00000000-0005-0000-0000-0000BB0B0000}"/>
    <cellStyle name="Normal 3 18" xfId="2982" xr:uid="{00000000-0005-0000-0000-0000BC0B0000}"/>
    <cellStyle name="Normal 3 19" xfId="2983" xr:uid="{00000000-0005-0000-0000-0000BD0B0000}"/>
    <cellStyle name="Normal 3 2" xfId="2984" xr:uid="{00000000-0005-0000-0000-0000BE0B0000}"/>
    <cellStyle name="Normal 3 20" xfId="2985" xr:uid="{00000000-0005-0000-0000-0000BF0B0000}"/>
    <cellStyle name="Normal 3 21" xfId="3410" xr:uid="{00000000-0005-0000-0000-0000C00B0000}"/>
    <cellStyle name="Normal 3 22" xfId="2973" xr:uid="{00000000-0005-0000-0000-0000C10B0000}"/>
    <cellStyle name="Normal 3 3" xfId="2986" xr:uid="{00000000-0005-0000-0000-0000C20B0000}"/>
    <cellStyle name="Normal 3 3 2" xfId="2987" xr:uid="{00000000-0005-0000-0000-0000C30B0000}"/>
    <cellStyle name="Normal 3 3 2 2" xfId="2988" xr:uid="{00000000-0005-0000-0000-0000C40B0000}"/>
    <cellStyle name="Normal 3 3 2 2 2" xfId="2989" xr:uid="{00000000-0005-0000-0000-0000C50B0000}"/>
    <cellStyle name="Normal 3 3 2 2 2 2" xfId="2990" xr:uid="{00000000-0005-0000-0000-0000C60B0000}"/>
    <cellStyle name="Normal 3 3 2 2 2 2 2" xfId="2991" xr:uid="{00000000-0005-0000-0000-0000C70B0000}"/>
    <cellStyle name="Normal 3 3 2 2 2 2 2 2" xfId="2992" xr:uid="{00000000-0005-0000-0000-0000C80B0000}"/>
    <cellStyle name="Normal 3 3 2 2 2 2 2 3" xfId="2993" xr:uid="{00000000-0005-0000-0000-0000C90B0000}"/>
    <cellStyle name="Normal 3 3 2 2 2 3" xfId="2994" xr:uid="{00000000-0005-0000-0000-0000CA0B0000}"/>
    <cellStyle name="Normal 3 3 2 2 2 4" xfId="2995" xr:uid="{00000000-0005-0000-0000-0000CB0B0000}"/>
    <cellStyle name="Normal 3 3 2 2 3" xfId="2996" xr:uid="{00000000-0005-0000-0000-0000CC0B0000}"/>
    <cellStyle name="Normal 3 3 2 2 3 2" xfId="2997" xr:uid="{00000000-0005-0000-0000-0000CD0B0000}"/>
    <cellStyle name="Normal 3 3 2 3" xfId="2998" xr:uid="{00000000-0005-0000-0000-0000CE0B0000}"/>
    <cellStyle name="Normal 3 3 2 4" xfId="2999" xr:uid="{00000000-0005-0000-0000-0000CF0B0000}"/>
    <cellStyle name="Normal 3 3 2 5" xfId="3000" xr:uid="{00000000-0005-0000-0000-0000D00B0000}"/>
    <cellStyle name="Normal 3 3 3" xfId="3001" xr:uid="{00000000-0005-0000-0000-0000D10B0000}"/>
    <cellStyle name="Normal 3 3 3 2" xfId="3002" xr:uid="{00000000-0005-0000-0000-0000D20B0000}"/>
    <cellStyle name="Normal 3 3 4" xfId="3003" xr:uid="{00000000-0005-0000-0000-0000D30B0000}"/>
    <cellStyle name="Normal 3 3 4 2" xfId="3004" xr:uid="{00000000-0005-0000-0000-0000D40B0000}"/>
    <cellStyle name="Normal 3 4" xfId="3005" xr:uid="{00000000-0005-0000-0000-0000D50B0000}"/>
    <cellStyle name="Normal 3 5" xfId="3006" xr:uid="{00000000-0005-0000-0000-0000D60B0000}"/>
    <cellStyle name="Normal 3 6" xfId="3007" xr:uid="{00000000-0005-0000-0000-0000D70B0000}"/>
    <cellStyle name="Normal 3 7" xfId="3008" xr:uid="{00000000-0005-0000-0000-0000D80B0000}"/>
    <cellStyle name="Normal 3 7 2" xfId="3009" xr:uid="{00000000-0005-0000-0000-0000D90B0000}"/>
    <cellStyle name="Normal 3 7 2 2" xfId="3010" xr:uid="{00000000-0005-0000-0000-0000DA0B0000}"/>
    <cellStyle name="Normal 3 7 2 2 2" xfId="3011" xr:uid="{00000000-0005-0000-0000-0000DB0B0000}"/>
    <cellStyle name="Normal 3 7 2 2 3" xfId="3012" xr:uid="{00000000-0005-0000-0000-0000DC0B0000}"/>
    <cellStyle name="Normal 3 7 2 2 4" xfId="3013" xr:uid="{00000000-0005-0000-0000-0000DD0B0000}"/>
    <cellStyle name="Normal 3 7 2 2 5" xfId="3014" xr:uid="{00000000-0005-0000-0000-0000DE0B0000}"/>
    <cellStyle name="Normal 3 7 2 2 6" xfId="3015" xr:uid="{00000000-0005-0000-0000-0000DF0B0000}"/>
    <cellStyle name="Normal 3 7 2 2 7" xfId="3016" xr:uid="{00000000-0005-0000-0000-0000E00B0000}"/>
    <cellStyle name="Normal 3 7 2 2 8" xfId="3017" xr:uid="{00000000-0005-0000-0000-0000E10B0000}"/>
    <cellStyle name="Normal 3 7 2 3" xfId="3018" xr:uid="{00000000-0005-0000-0000-0000E20B0000}"/>
    <cellStyle name="Normal 3 7 2 4" xfId="3019" xr:uid="{00000000-0005-0000-0000-0000E30B0000}"/>
    <cellStyle name="Normal 3 7 2 5" xfId="3020" xr:uid="{00000000-0005-0000-0000-0000E40B0000}"/>
    <cellStyle name="Normal 3 7 2 6" xfId="3021" xr:uid="{00000000-0005-0000-0000-0000E50B0000}"/>
    <cellStyle name="Normal 3 7 2 7" xfId="3022" xr:uid="{00000000-0005-0000-0000-0000E60B0000}"/>
    <cellStyle name="Normal 3 7 2 8" xfId="3023" xr:uid="{00000000-0005-0000-0000-0000E70B0000}"/>
    <cellStyle name="Normal 3 7 3" xfId="3024" xr:uid="{00000000-0005-0000-0000-0000E80B0000}"/>
    <cellStyle name="Normal 3 7 4" xfId="3025" xr:uid="{00000000-0005-0000-0000-0000E90B0000}"/>
    <cellStyle name="Normal 3 7 5" xfId="3026" xr:uid="{00000000-0005-0000-0000-0000EA0B0000}"/>
    <cellStyle name="Normal 3 7 6" xfId="3027" xr:uid="{00000000-0005-0000-0000-0000EB0B0000}"/>
    <cellStyle name="Normal 3 7 7" xfId="3028" xr:uid="{00000000-0005-0000-0000-0000EC0B0000}"/>
    <cellStyle name="Normal 3 7 8" xfId="3029" xr:uid="{00000000-0005-0000-0000-0000ED0B0000}"/>
    <cellStyle name="Normal 3 8" xfId="3030" xr:uid="{00000000-0005-0000-0000-0000EE0B0000}"/>
    <cellStyle name="Normal 3 9" xfId="3031" xr:uid="{00000000-0005-0000-0000-0000EF0B0000}"/>
    <cellStyle name="Normal 4" xfId="3032" xr:uid="{00000000-0005-0000-0000-0000F00B0000}"/>
    <cellStyle name="Normal 4 10" xfId="3033" xr:uid="{00000000-0005-0000-0000-0000F10B0000}"/>
    <cellStyle name="Normal 4 11" xfId="3034" xr:uid="{00000000-0005-0000-0000-0000F20B0000}"/>
    <cellStyle name="Normal 4 12" xfId="3035" xr:uid="{00000000-0005-0000-0000-0000F30B0000}"/>
    <cellStyle name="Normal 4 13" xfId="3036" xr:uid="{00000000-0005-0000-0000-0000F40B0000}"/>
    <cellStyle name="Normal 4 14" xfId="3037" xr:uid="{00000000-0005-0000-0000-0000F50B0000}"/>
    <cellStyle name="Normal 4 15" xfId="3038" xr:uid="{00000000-0005-0000-0000-0000F60B0000}"/>
    <cellStyle name="Normal 4 16" xfId="3039" xr:uid="{00000000-0005-0000-0000-0000F70B0000}"/>
    <cellStyle name="Normal 4 17" xfId="3040" xr:uid="{00000000-0005-0000-0000-0000F80B0000}"/>
    <cellStyle name="Normal 4 18" xfId="3041" xr:uid="{00000000-0005-0000-0000-0000F90B0000}"/>
    <cellStyle name="Normal 4 19" xfId="3042" xr:uid="{00000000-0005-0000-0000-0000FA0B0000}"/>
    <cellStyle name="Normal 4 2" xfId="3043" xr:uid="{00000000-0005-0000-0000-0000FB0B0000}"/>
    <cellStyle name="Normal 4 20" xfId="3044" xr:uid="{00000000-0005-0000-0000-0000FC0B0000}"/>
    <cellStyle name="Normal 4 21" xfId="3411" xr:uid="{00000000-0005-0000-0000-0000FD0B0000}"/>
    <cellStyle name="Normal 4 3" xfId="3045" xr:uid="{00000000-0005-0000-0000-0000FE0B0000}"/>
    <cellStyle name="Normal 4 3 2" xfId="3046" xr:uid="{00000000-0005-0000-0000-0000FF0B0000}"/>
    <cellStyle name="Normal 4 3 2 2" xfId="3047" xr:uid="{00000000-0005-0000-0000-0000000C0000}"/>
    <cellStyle name="Normal 4 3 2 2 2" xfId="3048" xr:uid="{00000000-0005-0000-0000-0000010C0000}"/>
    <cellStyle name="Normal 4 3 2 2 2 2" xfId="3049" xr:uid="{00000000-0005-0000-0000-0000020C0000}"/>
    <cellStyle name="Normal 4 3 2 2 2 2 2" xfId="3050" xr:uid="{00000000-0005-0000-0000-0000030C0000}"/>
    <cellStyle name="Normal 4 3 2 2 2 2 2 2" xfId="3051" xr:uid="{00000000-0005-0000-0000-0000040C0000}"/>
    <cellStyle name="Normal 4 3 2 2 2 2 2 3" xfId="3052" xr:uid="{00000000-0005-0000-0000-0000050C0000}"/>
    <cellStyle name="Normal 4 3 2 2 2 3" xfId="3053" xr:uid="{00000000-0005-0000-0000-0000060C0000}"/>
    <cellStyle name="Normal 4 3 2 2 2 4" xfId="3054" xr:uid="{00000000-0005-0000-0000-0000070C0000}"/>
    <cellStyle name="Normal 4 3 2 2 3" xfId="3055" xr:uid="{00000000-0005-0000-0000-0000080C0000}"/>
    <cellStyle name="Normal 4 3 2 2 3 2" xfId="3056" xr:uid="{00000000-0005-0000-0000-0000090C0000}"/>
    <cellStyle name="Normal 4 3 2 3" xfId="3057" xr:uid="{00000000-0005-0000-0000-00000A0C0000}"/>
    <cellStyle name="Normal 4 3 2 4" xfId="3058" xr:uid="{00000000-0005-0000-0000-00000B0C0000}"/>
    <cellStyle name="Normal 4 3 2 5" xfId="3059" xr:uid="{00000000-0005-0000-0000-00000C0C0000}"/>
    <cellStyle name="Normal 4 3 3" xfId="3060" xr:uid="{00000000-0005-0000-0000-00000D0C0000}"/>
    <cellStyle name="Normal 4 3 3 2" xfId="3061" xr:uid="{00000000-0005-0000-0000-00000E0C0000}"/>
    <cellStyle name="Normal 4 3 4" xfId="3062" xr:uid="{00000000-0005-0000-0000-00000F0C0000}"/>
    <cellStyle name="Normal 4 3 4 2" xfId="3063" xr:uid="{00000000-0005-0000-0000-0000100C0000}"/>
    <cellStyle name="Normal 4 4" xfId="3064" xr:uid="{00000000-0005-0000-0000-0000110C0000}"/>
    <cellStyle name="Normal 4 5" xfId="3065" xr:uid="{00000000-0005-0000-0000-0000120C0000}"/>
    <cellStyle name="Normal 4 6" xfId="3066" xr:uid="{00000000-0005-0000-0000-0000130C0000}"/>
    <cellStyle name="Normal 4 7" xfId="3067" xr:uid="{00000000-0005-0000-0000-0000140C0000}"/>
    <cellStyle name="Normal 4 7 2" xfId="3068" xr:uid="{00000000-0005-0000-0000-0000150C0000}"/>
    <cellStyle name="Normal 4 7 2 2" xfId="3069" xr:uid="{00000000-0005-0000-0000-0000160C0000}"/>
    <cellStyle name="Normal 4 7 2 2 2" xfId="3070" xr:uid="{00000000-0005-0000-0000-0000170C0000}"/>
    <cellStyle name="Normal 4 7 2 2 3" xfId="3071" xr:uid="{00000000-0005-0000-0000-0000180C0000}"/>
    <cellStyle name="Normal 4 7 2 2 4" xfId="3072" xr:uid="{00000000-0005-0000-0000-0000190C0000}"/>
    <cellStyle name="Normal 4 7 2 2 5" xfId="3073" xr:uid="{00000000-0005-0000-0000-00001A0C0000}"/>
    <cellStyle name="Normal 4 7 2 2 6" xfId="3074" xr:uid="{00000000-0005-0000-0000-00001B0C0000}"/>
    <cellStyle name="Normal 4 7 2 2 7" xfId="3075" xr:uid="{00000000-0005-0000-0000-00001C0C0000}"/>
    <cellStyle name="Normal 4 7 2 2 8" xfId="3076" xr:uid="{00000000-0005-0000-0000-00001D0C0000}"/>
    <cellStyle name="Normal 4 7 2 3" xfId="3077" xr:uid="{00000000-0005-0000-0000-00001E0C0000}"/>
    <cellStyle name="Normal 4 7 2 4" xfId="3078" xr:uid="{00000000-0005-0000-0000-00001F0C0000}"/>
    <cellStyle name="Normal 4 7 2 5" xfId="3079" xr:uid="{00000000-0005-0000-0000-0000200C0000}"/>
    <cellStyle name="Normal 4 7 2 6" xfId="3080" xr:uid="{00000000-0005-0000-0000-0000210C0000}"/>
    <cellStyle name="Normal 4 7 2 7" xfId="3081" xr:uid="{00000000-0005-0000-0000-0000220C0000}"/>
    <cellStyle name="Normal 4 7 2 8" xfId="3082" xr:uid="{00000000-0005-0000-0000-0000230C0000}"/>
    <cellStyle name="Normal 4 7 3" xfId="3083" xr:uid="{00000000-0005-0000-0000-0000240C0000}"/>
    <cellStyle name="Normal 4 7 4" xfId="3084" xr:uid="{00000000-0005-0000-0000-0000250C0000}"/>
    <cellStyle name="Normal 4 7 5" xfId="3085" xr:uid="{00000000-0005-0000-0000-0000260C0000}"/>
    <cellStyle name="Normal 4 7 6" xfId="3086" xr:uid="{00000000-0005-0000-0000-0000270C0000}"/>
    <cellStyle name="Normal 4 7 7" xfId="3087" xr:uid="{00000000-0005-0000-0000-0000280C0000}"/>
    <cellStyle name="Normal 4 7 8" xfId="3088" xr:uid="{00000000-0005-0000-0000-0000290C0000}"/>
    <cellStyle name="Normal 4 8" xfId="3089" xr:uid="{00000000-0005-0000-0000-00002A0C0000}"/>
    <cellStyle name="Normal 4 9" xfId="3090" xr:uid="{00000000-0005-0000-0000-00002B0C0000}"/>
    <cellStyle name="Normal 5" xfId="3091" xr:uid="{00000000-0005-0000-0000-00002C0C0000}"/>
    <cellStyle name="Normal 5 2" xfId="3420" xr:uid="{00000000-0005-0000-0000-00002D0C0000}"/>
    <cellStyle name="Normal 5 2 2" xfId="3439" xr:uid="{00000000-0005-0000-0000-00002E0C0000}"/>
    <cellStyle name="Normal 6" xfId="3412" xr:uid="{00000000-0005-0000-0000-00002F0C0000}"/>
    <cellStyle name="Normal 6 10" xfId="3092" xr:uid="{00000000-0005-0000-0000-0000300C0000}"/>
    <cellStyle name="Normal 6 11" xfId="3093" xr:uid="{00000000-0005-0000-0000-0000310C0000}"/>
    <cellStyle name="Normal 6 12" xfId="3094" xr:uid="{00000000-0005-0000-0000-0000320C0000}"/>
    <cellStyle name="Normal 6 13" xfId="3440" xr:uid="{00000000-0005-0000-0000-0000330C0000}"/>
    <cellStyle name="Normal 6 2" xfId="3095" xr:uid="{00000000-0005-0000-0000-0000340C0000}"/>
    <cellStyle name="Normal 6 2 10" xfId="3096" xr:uid="{00000000-0005-0000-0000-0000350C0000}"/>
    <cellStyle name="Normal 6 2 11" xfId="3097" xr:uid="{00000000-0005-0000-0000-0000360C0000}"/>
    <cellStyle name="Normal 6 2 12" xfId="3098" xr:uid="{00000000-0005-0000-0000-0000370C0000}"/>
    <cellStyle name="Normal 6 2 2" xfId="3099" xr:uid="{00000000-0005-0000-0000-0000380C0000}"/>
    <cellStyle name="Normal 6 2 3" xfId="3100" xr:uid="{00000000-0005-0000-0000-0000390C0000}"/>
    <cellStyle name="Normal 6 2 4" xfId="3101" xr:uid="{00000000-0005-0000-0000-00003A0C0000}"/>
    <cellStyle name="Normal 6 2 5" xfId="3102" xr:uid="{00000000-0005-0000-0000-00003B0C0000}"/>
    <cellStyle name="Normal 6 2 6" xfId="3103" xr:uid="{00000000-0005-0000-0000-00003C0C0000}"/>
    <cellStyle name="Normal 6 2 7" xfId="3104" xr:uid="{00000000-0005-0000-0000-00003D0C0000}"/>
    <cellStyle name="Normal 6 2 8" xfId="3105" xr:uid="{00000000-0005-0000-0000-00003E0C0000}"/>
    <cellStyle name="Normal 6 2 9" xfId="3106" xr:uid="{00000000-0005-0000-0000-00003F0C0000}"/>
    <cellStyle name="Normal 6 3" xfId="3107" xr:uid="{00000000-0005-0000-0000-0000400C0000}"/>
    <cellStyle name="Normal 6 3 10" xfId="3108" xr:uid="{00000000-0005-0000-0000-0000410C0000}"/>
    <cellStyle name="Normal 6 3 11" xfId="3109" xr:uid="{00000000-0005-0000-0000-0000420C0000}"/>
    <cellStyle name="Normal 6 3 2" xfId="3110" xr:uid="{00000000-0005-0000-0000-0000430C0000}"/>
    <cellStyle name="Normal 6 3 2 2" xfId="3111" xr:uid="{00000000-0005-0000-0000-0000440C0000}"/>
    <cellStyle name="Normal 6 3 2 2 2" xfId="3112" xr:uid="{00000000-0005-0000-0000-0000450C0000}"/>
    <cellStyle name="Normal 6 3 2 2 3" xfId="3113" xr:uid="{00000000-0005-0000-0000-0000460C0000}"/>
    <cellStyle name="Normal 6 3 2 2 4" xfId="3114" xr:uid="{00000000-0005-0000-0000-0000470C0000}"/>
    <cellStyle name="Normal 6 3 2 2 5" xfId="3115" xr:uid="{00000000-0005-0000-0000-0000480C0000}"/>
    <cellStyle name="Normal 6 3 2 2 6" xfId="3116" xr:uid="{00000000-0005-0000-0000-0000490C0000}"/>
    <cellStyle name="Normal 6 3 2 2 7" xfId="3117" xr:uid="{00000000-0005-0000-0000-00004A0C0000}"/>
    <cellStyle name="Normal 6 3 2 2 8" xfId="3118" xr:uid="{00000000-0005-0000-0000-00004B0C0000}"/>
    <cellStyle name="Normal 6 3 2 3" xfId="3119" xr:uid="{00000000-0005-0000-0000-00004C0C0000}"/>
    <cellStyle name="Normal 6 3 2 4" xfId="3120" xr:uid="{00000000-0005-0000-0000-00004D0C0000}"/>
    <cellStyle name="Normal 6 3 2 5" xfId="3121" xr:uid="{00000000-0005-0000-0000-00004E0C0000}"/>
    <cellStyle name="Normal 6 3 2 6" xfId="3122" xr:uid="{00000000-0005-0000-0000-00004F0C0000}"/>
    <cellStyle name="Normal 6 3 2 7" xfId="3123" xr:uid="{00000000-0005-0000-0000-0000500C0000}"/>
    <cellStyle name="Normal 6 3 2 8" xfId="3124" xr:uid="{00000000-0005-0000-0000-0000510C0000}"/>
    <cellStyle name="Normal 6 3 3" xfId="3125" xr:uid="{00000000-0005-0000-0000-0000520C0000}"/>
    <cellStyle name="Normal 6 3 4" xfId="3126" xr:uid="{00000000-0005-0000-0000-0000530C0000}"/>
    <cellStyle name="Normal 6 3 5" xfId="3127" xr:uid="{00000000-0005-0000-0000-0000540C0000}"/>
    <cellStyle name="Normal 6 3 6" xfId="3128" xr:uid="{00000000-0005-0000-0000-0000550C0000}"/>
    <cellStyle name="Normal 6 3 7" xfId="3129" xr:uid="{00000000-0005-0000-0000-0000560C0000}"/>
    <cellStyle name="Normal 6 3 8" xfId="3130" xr:uid="{00000000-0005-0000-0000-0000570C0000}"/>
    <cellStyle name="Normal 6 3 9" xfId="3131" xr:uid="{00000000-0005-0000-0000-0000580C0000}"/>
    <cellStyle name="Normal 6 4" xfId="3132" xr:uid="{00000000-0005-0000-0000-0000590C0000}"/>
    <cellStyle name="Normal 6 4 10" xfId="3133" xr:uid="{00000000-0005-0000-0000-00005A0C0000}"/>
    <cellStyle name="Normal 6 4 11" xfId="3134" xr:uid="{00000000-0005-0000-0000-00005B0C0000}"/>
    <cellStyle name="Normal 6 4 2" xfId="3135" xr:uid="{00000000-0005-0000-0000-00005C0C0000}"/>
    <cellStyle name="Normal 6 4 2 2" xfId="3136" xr:uid="{00000000-0005-0000-0000-00005D0C0000}"/>
    <cellStyle name="Normal 6 4 2 2 2" xfId="3137" xr:uid="{00000000-0005-0000-0000-00005E0C0000}"/>
    <cellStyle name="Normal 6 4 2 2 3" xfId="3138" xr:uid="{00000000-0005-0000-0000-00005F0C0000}"/>
    <cellStyle name="Normal 6 4 2 2 4" xfId="3139" xr:uid="{00000000-0005-0000-0000-0000600C0000}"/>
    <cellStyle name="Normal 6 4 2 2 5" xfId="3140" xr:uid="{00000000-0005-0000-0000-0000610C0000}"/>
    <cellStyle name="Normal 6 4 2 2 6" xfId="3141" xr:uid="{00000000-0005-0000-0000-0000620C0000}"/>
    <cellStyle name="Normal 6 4 2 2 7" xfId="3142" xr:uid="{00000000-0005-0000-0000-0000630C0000}"/>
    <cellStyle name="Normal 6 4 2 2 8" xfId="3143" xr:uid="{00000000-0005-0000-0000-0000640C0000}"/>
    <cellStyle name="Normal 6 4 2 3" xfId="3144" xr:uid="{00000000-0005-0000-0000-0000650C0000}"/>
    <cellStyle name="Normal 6 4 2 4" xfId="3145" xr:uid="{00000000-0005-0000-0000-0000660C0000}"/>
    <cellStyle name="Normal 6 4 2 5" xfId="3146" xr:uid="{00000000-0005-0000-0000-0000670C0000}"/>
    <cellStyle name="Normal 6 4 2 6" xfId="3147" xr:uid="{00000000-0005-0000-0000-0000680C0000}"/>
    <cellStyle name="Normal 6 4 2 7" xfId="3148" xr:uid="{00000000-0005-0000-0000-0000690C0000}"/>
    <cellStyle name="Normal 6 4 2 8" xfId="3149" xr:uid="{00000000-0005-0000-0000-00006A0C0000}"/>
    <cellStyle name="Normal 6 4 3" xfId="3150" xr:uid="{00000000-0005-0000-0000-00006B0C0000}"/>
    <cellStyle name="Normal 6 4 4" xfId="3151" xr:uid="{00000000-0005-0000-0000-00006C0C0000}"/>
    <cellStyle name="Normal 6 4 5" xfId="3152" xr:uid="{00000000-0005-0000-0000-00006D0C0000}"/>
    <cellStyle name="Normal 6 4 6" xfId="3153" xr:uid="{00000000-0005-0000-0000-00006E0C0000}"/>
    <cellStyle name="Normal 6 4 7" xfId="3154" xr:uid="{00000000-0005-0000-0000-00006F0C0000}"/>
    <cellStyle name="Normal 6 4 8" xfId="3155" xr:uid="{00000000-0005-0000-0000-0000700C0000}"/>
    <cellStyle name="Normal 6 4 9" xfId="3156" xr:uid="{00000000-0005-0000-0000-0000710C0000}"/>
    <cellStyle name="Normal 6 5" xfId="3157" xr:uid="{00000000-0005-0000-0000-0000720C0000}"/>
    <cellStyle name="Normal 6 5 10" xfId="3158" xr:uid="{00000000-0005-0000-0000-0000730C0000}"/>
    <cellStyle name="Normal 6 5 11" xfId="3159" xr:uid="{00000000-0005-0000-0000-0000740C0000}"/>
    <cellStyle name="Normal 6 5 2" xfId="3160" xr:uid="{00000000-0005-0000-0000-0000750C0000}"/>
    <cellStyle name="Normal 6 5 2 2" xfId="3161" xr:uid="{00000000-0005-0000-0000-0000760C0000}"/>
    <cellStyle name="Normal 6 5 2 2 2" xfId="3162" xr:uid="{00000000-0005-0000-0000-0000770C0000}"/>
    <cellStyle name="Normal 6 5 2 2 3" xfId="3163" xr:uid="{00000000-0005-0000-0000-0000780C0000}"/>
    <cellStyle name="Normal 6 5 2 2 4" xfId="3164" xr:uid="{00000000-0005-0000-0000-0000790C0000}"/>
    <cellStyle name="Normal 6 5 2 2 5" xfId="3165" xr:uid="{00000000-0005-0000-0000-00007A0C0000}"/>
    <cellStyle name="Normal 6 5 2 2 6" xfId="3166" xr:uid="{00000000-0005-0000-0000-00007B0C0000}"/>
    <cellStyle name="Normal 6 5 2 2 7" xfId="3167" xr:uid="{00000000-0005-0000-0000-00007C0C0000}"/>
    <cellStyle name="Normal 6 5 2 2 8" xfId="3168" xr:uid="{00000000-0005-0000-0000-00007D0C0000}"/>
    <cellStyle name="Normal 6 5 2 3" xfId="3169" xr:uid="{00000000-0005-0000-0000-00007E0C0000}"/>
    <cellStyle name="Normal 6 5 2 4" xfId="3170" xr:uid="{00000000-0005-0000-0000-00007F0C0000}"/>
    <cellStyle name="Normal 6 5 2 5" xfId="3171" xr:uid="{00000000-0005-0000-0000-0000800C0000}"/>
    <cellStyle name="Normal 6 5 2 6" xfId="3172" xr:uid="{00000000-0005-0000-0000-0000810C0000}"/>
    <cellStyle name="Normal 6 5 2 7" xfId="3173" xr:uid="{00000000-0005-0000-0000-0000820C0000}"/>
    <cellStyle name="Normal 6 5 2 8" xfId="3174" xr:uid="{00000000-0005-0000-0000-0000830C0000}"/>
    <cellStyle name="Normal 6 5 3" xfId="3175" xr:uid="{00000000-0005-0000-0000-0000840C0000}"/>
    <cellStyle name="Normal 6 5 4" xfId="3176" xr:uid="{00000000-0005-0000-0000-0000850C0000}"/>
    <cellStyle name="Normal 6 5 5" xfId="3177" xr:uid="{00000000-0005-0000-0000-0000860C0000}"/>
    <cellStyle name="Normal 6 5 6" xfId="3178" xr:uid="{00000000-0005-0000-0000-0000870C0000}"/>
    <cellStyle name="Normal 6 5 7" xfId="3179" xr:uid="{00000000-0005-0000-0000-0000880C0000}"/>
    <cellStyle name="Normal 6 5 8" xfId="3180" xr:uid="{00000000-0005-0000-0000-0000890C0000}"/>
    <cellStyle name="Normal 6 5 9" xfId="3181" xr:uid="{00000000-0005-0000-0000-00008A0C0000}"/>
    <cellStyle name="Normal 6 6" xfId="3182" xr:uid="{00000000-0005-0000-0000-00008B0C0000}"/>
    <cellStyle name="Normal 6 6 2" xfId="3183" xr:uid="{00000000-0005-0000-0000-00008C0C0000}"/>
    <cellStyle name="Normal 6 6 3" xfId="3184" xr:uid="{00000000-0005-0000-0000-00008D0C0000}"/>
    <cellStyle name="Normal 6 6 4" xfId="3185" xr:uid="{00000000-0005-0000-0000-00008E0C0000}"/>
    <cellStyle name="Normal 6 6 5" xfId="3186" xr:uid="{00000000-0005-0000-0000-00008F0C0000}"/>
    <cellStyle name="Normal 6 6 6" xfId="3187" xr:uid="{00000000-0005-0000-0000-0000900C0000}"/>
    <cellStyle name="Normal 6 6 7" xfId="3188" xr:uid="{00000000-0005-0000-0000-0000910C0000}"/>
    <cellStyle name="Normal 6 6 8" xfId="3189" xr:uid="{00000000-0005-0000-0000-0000920C0000}"/>
    <cellStyle name="Normal 6 7" xfId="3190" xr:uid="{00000000-0005-0000-0000-0000930C0000}"/>
    <cellStyle name="Normal 6 8" xfId="3191" xr:uid="{00000000-0005-0000-0000-0000940C0000}"/>
    <cellStyle name="Normal 6 9" xfId="3192" xr:uid="{00000000-0005-0000-0000-0000950C0000}"/>
    <cellStyle name="Normal 7" xfId="3193" xr:uid="{00000000-0005-0000-0000-0000960C0000}"/>
    <cellStyle name="Normal 7 10" xfId="3194" xr:uid="{00000000-0005-0000-0000-0000970C0000}"/>
    <cellStyle name="Normal 7 11" xfId="3195" xr:uid="{00000000-0005-0000-0000-0000980C0000}"/>
    <cellStyle name="Normal 7 12" xfId="3196" xr:uid="{00000000-0005-0000-0000-0000990C0000}"/>
    <cellStyle name="Normal 7 13" xfId="3197" xr:uid="{00000000-0005-0000-0000-00009A0C0000}"/>
    <cellStyle name="Normal 7 14" xfId="3198" xr:uid="{00000000-0005-0000-0000-00009B0C0000}"/>
    <cellStyle name="Normal 7 15" xfId="3199" xr:uid="{00000000-0005-0000-0000-00009C0C0000}"/>
    <cellStyle name="Normal 7 16" xfId="3200" xr:uid="{00000000-0005-0000-0000-00009D0C0000}"/>
    <cellStyle name="Normal 7 17" xfId="3413" xr:uid="{00000000-0005-0000-0000-00009E0C0000}"/>
    <cellStyle name="Normal 7 2" xfId="3201" xr:uid="{00000000-0005-0000-0000-00009F0C0000}"/>
    <cellStyle name="Normal 7 2 10" xfId="3202" xr:uid="{00000000-0005-0000-0000-0000A00C0000}"/>
    <cellStyle name="Normal 7 2 11" xfId="3203" xr:uid="{00000000-0005-0000-0000-0000A10C0000}"/>
    <cellStyle name="Normal 7 2 12" xfId="3204" xr:uid="{00000000-0005-0000-0000-0000A20C0000}"/>
    <cellStyle name="Normal 7 2 13" xfId="3205" xr:uid="{00000000-0005-0000-0000-0000A30C0000}"/>
    <cellStyle name="Normal 7 2 2" xfId="3206" xr:uid="{00000000-0005-0000-0000-0000A40C0000}"/>
    <cellStyle name="Normal 7 2 2 10" xfId="3207" xr:uid="{00000000-0005-0000-0000-0000A50C0000}"/>
    <cellStyle name="Normal 7 2 2 2" xfId="3208" xr:uid="{00000000-0005-0000-0000-0000A60C0000}"/>
    <cellStyle name="Normal 7 2 2 2 2" xfId="3209" xr:uid="{00000000-0005-0000-0000-0000A70C0000}"/>
    <cellStyle name="Normal 7 2 2 2 2 2" xfId="3210" xr:uid="{00000000-0005-0000-0000-0000A80C0000}"/>
    <cellStyle name="Normal 7 2 2 2 2 2 2" xfId="3211" xr:uid="{00000000-0005-0000-0000-0000A90C0000}"/>
    <cellStyle name="Normal 7 2 2 2 2 2 2 2" xfId="3212" xr:uid="{00000000-0005-0000-0000-0000AA0C0000}"/>
    <cellStyle name="Normal 7 2 2 2 2 2 2 2 2" xfId="3213" xr:uid="{00000000-0005-0000-0000-0000AB0C0000}"/>
    <cellStyle name="Normal 7 2 2 2 2 2 2 2 3" xfId="3214" xr:uid="{00000000-0005-0000-0000-0000AC0C0000}"/>
    <cellStyle name="Normal 7 2 2 2 2 2 2 2 4" xfId="3215" xr:uid="{00000000-0005-0000-0000-0000AD0C0000}"/>
    <cellStyle name="Normal 7 2 2 2 2 2 2 2 5" xfId="3216" xr:uid="{00000000-0005-0000-0000-0000AE0C0000}"/>
    <cellStyle name="Normal 7 2 2 2 2 2 2 2 6" xfId="3217" xr:uid="{00000000-0005-0000-0000-0000AF0C0000}"/>
    <cellStyle name="Normal 7 2 2 2 2 2 2 2 7" xfId="3218" xr:uid="{00000000-0005-0000-0000-0000B00C0000}"/>
    <cellStyle name="Normal 7 2 2 2 2 2 2 2 8" xfId="3219" xr:uid="{00000000-0005-0000-0000-0000B10C0000}"/>
    <cellStyle name="Normal 7 2 2 2 2 2 2 3" xfId="3220" xr:uid="{00000000-0005-0000-0000-0000B20C0000}"/>
    <cellStyle name="Normal 7 2 2 2 2 2 2 4" xfId="3221" xr:uid="{00000000-0005-0000-0000-0000B30C0000}"/>
    <cellStyle name="Normal 7 2 2 2 2 2 2 5" xfId="3222" xr:uid="{00000000-0005-0000-0000-0000B40C0000}"/>
    <cellStyle name="Normal 7 2 2 2 2 2 2 6" xfId="3223" xr:uid="{00000000-0005-0000-0000-0000B50C0000}"/>
    <cellStyle name="Normal 7 2 2 2 2 2 2 7" xfId="3224" xr:uid="{00000000-0005-0000-0000-0000B60C0000}"/>
    <cellStyle name="Normal 7 2 2 2 2 2 2 8" xfId="3225" xr:uid="{00000000-0005-0000-0000-0000B70C0000}"/>
    <cellStyle name="Normal 7 2 2 2 2 2 3" xfId="3226" xr:uid="{00000000-0005-0000-0000-0000B80C0000}"/>
    <cellStyle name="Normal 7 2 2 2 2 2 4" xfId="3227" xr:uid="{00000000-0005-0000-0000-0000B90C0000}"/>
    <cellStyle name="Normal 7 2 2 2 2 2 5" xfId="3228" xr:uid="{00000000-0005-0000-0000-0000BA0C0000}"/>
    <cellStyle name="Normal 7 2 2 2 2 2 6" xfId="3229" xr:uid="{00000000-0005-0000-0000-0000BB0C0000}"/>
    <cellStyle name="Normal 7 2 2 2 2 2 7" xfId="3230" xr:uid="{00000000-0005-0000-0000-0000BC0C0000}"/>
    <cellStyle name="Normal 7 2 2 2 2 2 8" xfId="3231" xr:uid="{00000000-0005-0000-0000-0000BD0C0000}"/>
    <cellStyle name="Normal 7 2 2 2 2 3" xfId="3232" xr:uid="{00000000-0005-0000-0000-0000BE0C0000}"/>
    <cellStyle name="Normal 7 2 2 2 2 4" xfId="3233" xr:uid="{00000000-0005-0000-0000-0000BF0C0000}"/>
    <cellStyle name="Normal 7 2 2 2 2 5" xfId="3234" xr:uid="{00000000-0005-0000-0000-0000C00C0000}"/>
    <cellStyle name="Normal 7 2 2 2 2 6" xfId="3235" xr:uid="{00000000-0005-0000-0000-0000C10C0000}"/>
    <cellStyle name="Normal 7 2 2 2 2 7" xfId="3236" xr:uid="{00000000-0005-0000-0000-0000C20C0000}"/>
    <cellStyle name="Normal 7 2 2 2 2 8" xfId="3237" xr:uid="{00000000-0005-0000-0000-0000C30C0000}"/>
    <cellStyle name="Normal 7 2 2 2 2 9" xfId="3238" xr:uid="{00000000-0005-0000-0000-0000C40C0000}"/>
    <cellStyle name="Normal 7 2 2 2 3" xfId="3239" xr:uid="{00000000-0005-0000-0000-0000C50C0000}"/>
    <cellStyle name="Normal 7 2 2 2 4" xfId="3240" xr:uid="{00000000-0005-0000-0000-0000C60C0000}"/>
    <cellStyle name="Normal 7 2 2 2 5" xfId="3241" xr:uid="{00000000-0005-0000-0000-0000C70C0000}"/>
    <cellStyle name="Normal 7 2 2 2 6" xfId="3242" xr:uid="{00000000-0005-0000-0000-0000C80C0000}"/>
    <cellStyle name="Normal 7 2 2 2 7" xfId="3243" xr:uid="{00000000-0005-0000-0000-0000C90C0000}"/>
    <cellStyle name="Normal 7 2 2 2 8" xfId="3244" xr:uid="{00000000-0005-0000-0000-0000CA0C0000}"/>
    <cellStyle name="Normal 7 2 2 2 9" xfId="3245" xr:uid="{00000000-0005-0000-0000-0000CB0C0000}"/>
    <cellStyle name="Normal 7 2 2 3" xfId="3246" xr:uid="{00000000-0005-0000-0000-0000CC0C0000}"/>
    <cellStyle name="Normal 7 2 2 4" xfId="3247" xr:uid="{00000000-0005-0000-0000-0000CD0C0000}"/>
    <cellStyle name="Normal 7 2 2 5" xfId="3248" xr:uid="{00000000-0005-0000-0000-0000CE0C0000}"/>
    <cellStyle name="Normal 7 2 2 6" xfId="3249" xr:uid="{00000000-0005-0000-0000-0000CF0C0000}"/>
    <cellStyle name="Normal 7 2 2 7" xfId="3250" xr:uid="{00000000-0005-0000-0000-0000D00C0000}"/>
    <cellStyle name="Normal 7 2 2 8" xfId="3251" xr:uid="{00000000-0005-0000-0000-0000D10C0000}"/>
    <cellStyle name="Normal 7 2 2 9" xfId="3252" xr:uid="{00000000-0005-0000-0000-0000D20C0000}"/>
    <cellStyle name="Normal 7 2 3" xfId="3253" xr:uid="{00000000-0005-0000-0000-0000D30C0000}"/>
    <cellStyle name="Normal 7 2 3 2" xfId="3254" xr:uid="{00000000-0005-0000-0000-0000D40C0000}"/>
    <cellStyle name="Normal 7 2 4" xfId="3255" xr:uid="{00000000-0005-0000-0000-0000D50C0000}"/>
    <cellStyle name="Normal 7 2 5" xfId="3256" xr:uid="{00000000-0005-0000-0000-0000D60C0000}"/>
    <cellStyle name="Normal 7 2 6" xfId="3257" xr:uid="{00000000-0005-0000-0000-0000D70C0000}"/>
    <cellStyle name="Normal 7 2 7" xfId="3258" xr:uid="{00000000-0005-0000-0000-0000D80C0000}"/>
    <cellStyle name="Normal 7 2 8" xfId="3259" xr:uid="{00000000-0005-0000-0000-0000D90C0000}"/>
    <cellStyle name="Normal 7 2 9" xfId="3260" xr:uid="{00000000-0005-0000-0000-0000DA0C0000}"/>
    <cellStyle name="Normal 7 3" xfId="3261" xr:uid="{00000000-0005-0000-0000-0000DB0C0000}"/>
    <cellStyle name="Normal 7 3 2" xfId="3262" xr:uid="{00000000-0005-0000-0000-0000DC0C0000}"/>
    <cellStyle name="Normal 7 3 2 10" xfId="3263" xr:uid="{00000000-0005-0000-0000-0000DD0C0000}"/>
    <cellStyle name="Normal 7 3 2 11" xfId="3264" xr:uid="{00000000-0005-0000-0000-0000DE0C0000}"/>
    <cellStyle name="Normal 7 3 2 2" xfId="3265" xr:uid="{00000000-0005-0000-0000-0000DF0C0000}"/>
    <cellStyle name="Normal 7 3 2 3" xfId="3266" xr:uid="{00000000-0005-0000-0000-0000E00C0000}"/>
    <cellStyle name="Normal 7 3 2 4" xfId="3267" xr:uid="{00000000-0005-0000-0000-0000E10C0000}"/>
    <cellStyle name="Normal 7 3 2 5" xfId="3268" xr:uid="{00000000-0005-0000-0000-0000E20C0000}"/>
    <cellStyle name="Normal 7 3 2 6" xfId="3269" xr:uid="{00000000-0005-0000-0000-0000E30C0000}"/>
    <cellStyle name="Normal 7 3 2 7" xfId="3270" xr:uid="{00000000-0005-0000-0000-0000E40C0000}"/>
    <cellStyle name="Normal 7 3 2 8" xfId="3271" xr:uid="{00000000-0005-0000-0000-0000E50C0000}"/>
    <cellStyle name="Normal 7 3 2 9" xfId="3272" xr:uid="{00000000-0005-0000-0000-0000E60C0000}"/>
    <cellStyle name="Normal 7 3 3" xfId="3273" xr:uid="{00000000-0005-0000-0000-0000E70C0000}"/>
    <cellStyle name="Normal 7 3 3 10" xfId="3274" xr:uid="{00000000-0005-0000-0000-0000E80C0000}"/>
    <cellStyle name="Normal 7 3 3 11" xfId="3275" xr:uid="{00000000-0005-0000-0000-0000E90C0000}"/>
    <cellStyle name="Normal 7 3 3 2" xfId="3276" xr:uid="{00000000-0005-0000-0000-0000EA0C0000}"/>
    <cellStyle name="Normal 7 3 3 3" xfId="3277" xr:uid="{00000000-0005-0000-0000-0000EB0C0000}"/>
    <cellStyle name="Normal 7 3 3 4" xfId="3278" xr:uid="{00000000-0005-0000-0000-0000EC0C0000}"/>
    <cellStyle name="Normal 7 3 3 5" xfId="3279" xr:uid="{00000000-0005-0000-0000-0000ED0C0000}"/>
    <cellStyle name="Normal 7 3 3 6" xfId="3280" xr:uid="{00000000-0005-0000-0000-0000EE0C0000}"/>
    <cellStyle name="Normal 7 3 3 7" xfId="3281" xr:uid="{00000000-0005-0000-0000-0000EF0C0000}"/>
    <cellStyle name="Normal 7 3 3 8" xfId="3282" xr:uid="{00000000-0005-0000-0000-0000F00C0000}"/>
    <cellStyle name="Normal 7 3 3 9" xfId="3283" xr:uid="{00000000-0005-0000-0000-0000F10C0000}"/>
    <cellStyle name="Normal 7 4" xfId="3284" xr:uid="{00000000-0005-0000-0000-0000F20C0000}"/>
    <cellStyle name="Normal 7 4 2" xfId="3285" xr:uid="{00000000-0005-0000-0000-0000F30C0000}"/>
    <cellStyle name="Normal 7 4 2 2" xfId="3286" xr:uid="{00000000-0005-0000-0000-0000F40C0000}"/>
    <cellStyle name="Normal 7 4 2 2 2" xfId="3287" xr:uid="{00000000-0005-0000-0000-0000F50C0000}"/>
    <cellStyle name="Normal 7 4 2 2 3" xfId="3288" xr:uid="{00000000-0005-0000-0000-0000F60C0000}"/>
    <cellStyle name="Normal 7 4 2 2 4" xfId="3289" xr:uid="{00000000-0005-0000-0000-0000F70C0000}"/>
    <cellStyle name="Normal 7 4 2 2 5" xfId="3290" xr:uid="{00000000-0005-0000-0000-0000F80C0000}"/>
    <cellStyle name="Normal 7 4 2 2 6" xfId="3291" xr:uid="{00000000-0005-0000-0000-0000F90C0000}"/>
    <cellStyle name="Normal 7 4 2 2 7" xfId="3292" xr:uid="{00000000-0005-0000-0000-0000FA0C0000}"/>
    <cellStyle name="Normal 7 4 2 2 8" xfId="3293" xr:uid="{00000000-0005-0000-0000-0000FB0C0000}"/>
    <cellStyle name="Normal 7 4 2 3" xfId="3294" xr:uid="{00000000-0005-0000-0000-0000FC0C0000}"/>
    <cellStyle name="Normal 7 4 2 4" xfId="3295" xr:uid="{00000000-0005-0000-0000-0000FD0C0000}"/>
    <cellStyle name="Normal 7 4 2 5" xfId="3296" xr:uid="{00000000-0005-0000-0000-0000FE0C0000}"/>
    <cellStyle name="Normal 7 4 2 6" xfId="3297" xr:uid="{00000000-0005-0000-0000-0000FF0C0000}"/>
    <cellStyle name="Normal 7 4 2 7" xfId="3298" xr:uid="{00000000-0005-0000-0000-0000000D0000}"/>
    <cellStyle name="Normal 7 4 2 8" xfId="3299" xr:uid="{00000000-0005-0000-0000-0000010D0000}"/>
    <cellStyle name="Normal 7 4 3" xfId="3300" xr:uid="{00000000-0005-0000-0000-0000020D0000}"/>
    <cellStyle name="Normal 7 4 4" xfId="3301" xr:uid="{00000000-0005-0000-0000-0000030D0000}"/>
    <cellStyle name="Normal 7 4 5" xfId="3302" xr:uid="{00000000-0005-0000-0000-0000040D0000}"/>
    <cellStyle name="Normal 7 4 6" xfId="3303" xr:uid="{00000000-0005-0000-0000-0000050D0000}"/>
    <cellStyle name="Normal 7 4 7" xfId="3304" xr:uid="{00000000-0005-0000-0000-0000060D0000}"/>
    <cellStyle name="Normal 7 4 8" xfId="3305" xr:uid="{00000000-0005-0000-0000-0000070D0000}"/>
    <cellStyle name="Normal 7 5" xfId="3306" xr:uid="{00000000-0005-0000-0000-0000080D0000}"/>
    <cellStyle name="Normal 7 5 2" xfId="3307" xr:uid="{00000000-0005-0000-0000-0000090D0000}"/>
    <cellStyle name="Normal 7 6" xfId="3308" xr:uid="{00000000-0005-0000-0000-00000A0D0000}"/>
    <cellStyle name="Normal 7 6 2" xfId="3309" xr:uid="{00000000-0005-0000-0000-00000B0D0000}"/>
    <cellStyle name="Normal 7 7" xfId="3310" xr:uid="{00000000-0005-0000-0000-00000C0D0000}"/>
    <cellStyle name="Normal 7 8" xfId="3311" xr:uid="{00000000-0005-0000-0000-00000D0D0000}"/>
    <cellStyle name="Normal 7 9" xfId="3312" xr:uid="{00000000-0005-0000-0000-00000E0D0000}"/>
    <cellStyle name="Normal 8" xfId="3313" xr:uid="{00000000-0005-0000-0000-00000F0D0000}"/>
    <cellStyle name="Normal 8 2" xfId="3314" xr:uid="{00000000-0005-0000-0000-0000100D0000}"/>
    <cellStyle name="Normal 8 3" xfId="3315" xr:uid="{00000000-0005-0000-0000-0000110D0000}"/>
    <cellStyle name="Normal 8 4" xfId="3316" xr:uid="{00000000-0005-0000-0000-0000120D0000}"/>
    <cellStyle name="Normal 8 4 2" xfId="3317" xr:uid="{00000000-0005-0000-0000-0000130D0000}"/>
    <cellStyle name="Normal 8 5" xfId="3414" xr:uid="{00000000-0005-0000-0000-0000140D0000}"/>
    <cellStyle name="Normal 8 6" xfId="3441" xr:uid="{00000000-0005-0000-0000-0000150D0000}"/>
    <cellStyle name="Normal 9" xfId="3415" xr:uid="{00000000-0005-0000-0000-0000160D0000}"/>
    <cellStyle name="Note 2" xfId="3318" xr:uid="{00000000-0005-0000-0000-0000170D0000}"/>
    <cellStyle name="Note 3" xfId="3319" xr:uid="{00000000-0005-0000-0000-0000180D0000}"/>
    <cellStyle name="Note 4" xfId="3320" xr:uid="{00000000-0005-0000-0000-0000190D0000}"/>
    <cellStyle name="Note 5" xfId="3321" xr:uid="{00000000-0005-0000-0000-00001A0D0000}"/>
    <cellStyle name="Note 6" xfId="3322" xr:uid="{00000000-0005-0000-0000-00001B0D0000}"/>
    <cellStyle name="Note 6 10" xfId="3323" xr:uid="{00000000-0005-0000-0000-00001C0D0000}"/>
    <cellStyle name="Note 6 10 2" xfId="3442" xr:uid="{00000000-0005-0000-0000-00001D0D0000}"/>
    <cellStyle name="Note 6 11" xfId="3324" xr:uid="{00000000-0005-0000-0000-00001E0D0000}"/>
    <cellStyle name="Note 6 11 2" xfId="3443" xr:uid="{00000000-0005-0000-0000-00001F0D0000}"/>
    <cellStyle name="Note 6 12" xfId="3325" xr:uid="{00000000-0005-0000-0000-0000200D0000}"/>
    <cellStyle name="Note 6 12 2" xfId="3444" xr:uid="{00000000-0005-0000-0000-0000210D0000}"/>
    <cellStyle name="Note 6 13" xfId="3326" xr:uid="{00000000-0005-0000-0000-0000220D0000}"/>
    <cellStyle name="Note 6 13 2" xfId="3445" xr:uid="{00000000-0005-0000-0000-0000230D0000}"/>
    <cellStyle name="Note 6 14" xfId="3327" xr:uid="{00000000-0005-0000-0000-0000240D0000}"/>
    <cellStyle name="Note 6 14 2" xfId="3446" xr:uid="{00000000-0005-0000-0000-0000250D0000}"/>
    <cellStyle name="Note 6 15" xfId="3328" xr:uid="{00000000-0005-0000-0000-0000260D0000}"/>
    <cellStyle name="Note 6 15 2" xfId="3447" xr:uid="{00000000-0005-0000-0000-0000270D0000}"/>
    <cellStyle name="Note 6 16" xfId="3329" xr:uid="{00000000-0005-0000-0000-0000280D0000}"/>
    <cellStyle name="Note 6 16 2" xfId="3448" xr:uid="{00000000-0005-0000-0000-0000290D0000}"/>
    <cellStyle name="Note 6 17" xfId="3330" xr:uid="{00000000-0005-0000-0000-00002A0D0000}"/>
    <cellStyle name="Note 6 17 2" xfId="3449" xr:uid="{00000000-0005-0000-0000-00002B0D0000}"/>
    <cellStyle name="Note 6 18" xfId="3450" xr:uid="{00000000-0005-0000-0000-00002C0D0000}"/>
    <cellStyle name="Note 6 2" xfId="3331" xr:uid="{00000000-0005-0000-0000-00002D0D0000}"/>
    <cellStyle name="Note 6 2 10" xfId="3332" xr:uid="{00000000-0005-0000-0000-00002E0D0000}"/>
    <cellStyle name="Note 6 2 10 2" xfId="3451" xr:uid="{00000000-0005-0000-0000-00002F0D0000}"/>
    <cellStyle name="Note 6 2 11" xfId="3333" xr:uid="{00000000-0005-0000-0000-0000300D0000}"/>
    <cellStyle name="Note 6 2 11 2" xfId="3452" xr:uid="{00000000-0005-0000-0000-0000310D0000}"/>
    <cellStyle name="Note 6 2 12" xfId="3334" xr:uid="{00000000-0005-0000-0000-0000320D0000}"/>
    <cellStyle name="Note 6 2 12 2" xfId="3453" xr:uid="{00000000-0005-0000-0000-0000330D0000}"/>
    <cellStyle name="Note 6 2 13" xfId="3335" xr:uid="{00000000-0005-0000-0000-0000340D0000}"/>
    <cellStyle name="Note 6 2 13 2" xfId="3454" xr:uid="{00000000-0005-0000-0000-0000350D0000}"/>
    <cellStyle name="Note 6 2 14" xfId="3336" xr:uid="{00000000-0005-0000-0000-0000360D0000}"/>
    <cellStyle name="Note 6 2 14 2" xfId="3455" xr:uid="{00000000-0005-0000-0000-0000370D0000}"/>
    <cellStyle name="Note 6 2 15" xfId="3456" xr:uid="{00000000-0005-0000-0000-0000380D0000}"/>
    <cellStyle name="Note 6 2 2" xfId="3337" xr:uid="{00000000-0005-0000-0000-0000390D0000}"/>
    <cellStyle name="Note 6 2 2 2" xfId="3338" xr:uid="{00000000-0005-0000-0000-00003A0D0000}"/>
    <cellStyle name="Note 6 2 2 2 2" xfId="3457" xr:uid="{00000000-0005-0000-0000-00003B0D0000}"/>
    <cellStyle name="Note 6 2 2 3" xfId="3458" xr:uid="{00000000-0005-0000-0000-00003C0D0000}"/>
    <cellStyle name="Note 6 2 3" xfId="3339" xr:uid="{00000000-0005-0000-0000-00003D0D0000}"/>
    <cellStyle name="Note 6 2 3 2" xfId="3340" xr:uid="{00000000-0005-0000-0000-00003E0D0000}"/>
    <cellStyle name="Note 6 2 3 2 2" xfId="3459" xr:uid="{00000000-0005-0000-0000-00003F0D0000}"/>
    <cellStyle name="Note 6 2 3 3" xfId="3460" xr:uid="{00000000-0005-0000-0000-0000400D0000}"/>
    <cellStyle name="Note 6 2 4" xfId="3341" xr:uid="{00000000-0005-0000-0000-0000410D0000}"/>
    <cellStyle name="Note 6 2 4 2" xfId="3461" xr:uid="{00000000-0005-0000-0000-0000420D0000}"/>
    <cellStyle name="Note 6 2 5" xfId="3342" xr:uid="{00000000-0005-0000-0000-0000430D0000}"/>
    <cellStyle name="Note 6 2 5 2" xfId="3462" xr:uid="{00000000-0005-0000-0000-0000440D0000}"/>
    <cellStyle name="Note 6 2 6" xfId="3343" xr:uid="{00000000-0005-0000-0000-0000450D0000}"/>
    <cellStyle name="Note 6 2 6 2" xfId="3463" xr:uid="{00000000-0005-0000-0000-0000460D0000}"/>
    <cellStyle name="Note 6 2 7" xfId="3344" xr:uid="{00000000-0005-0000-0000-0000470D0000}"/>
    <cellStyle name="Note 6 2 7 2" xfId="3464" xr:uid="{00000000-0005-0000-0000-0000480D0000}"/>
    <cellStyle name="Note 6 2 8" xfId="3345" xr:uid="{00000000-0005-0000-0000-0000490D0000}"/>
    <cellStyle name="Note 6 2 8 2" xfId="3465" xr:uid="{00000000-0005-0000-0000-00004A0D0000}"/>
    <cellStyle name="Note 6 2 9" xfId="3346" xr:uid="{00000000-0005-0000-0000-00004B0D0000}"/>
    <cellStyle name="Note 6 2 9 2" xfId="3466" xr:uid="{00000000-0005-0000-0000-00004C0D0000}"/>
    <cellStyle name="Note 6 3" xfId="3347" xr:uid="{00000000-0005-0000-0000-00004D0D0000}"/>
    <cellStyle name="Note 6 3 10" xfId="3348" xr:uid="{00000000-0005-0000-0000-00004E0D0000}"/>
    <cellStyle name="Note 6 3 10 2" xfId="3467" xr:uid="{00000000-0005-0000-0000-00004F0D0000}"/>
    <cellStyle name="Note 6 3 11" xfId="3349" xr:uid="{00000000-0005-0000-0000-0000500D0000}"/>
    <cellStyle name="Note 6 3 11 2" xfId="3468" xr:uid="{00000000-0005-0000-0000-0000510D0000}"/>
    <cellStyle name="Note 6 3 12" xfId="3350" xr:uid="{00000000-0005-0000-0000-0000520D0000}"/>
    <cellStyle name="Note 6 3 12 2" xfId="3469" xr:uid="{00000000-0005-0000-0000-0000530D0000}"/>
    <cellStyle name="Note 6 3 13" xfId="3351" xr:uid="{00000000-0005-0000-0000-0000540D0000}"/>
    <cellStyle name="Note 6 3 13 2" xfId="3470" xr:uid="{00000000-0005-0000-0000-0000550D0000}"/>
    <cellStyle name="Note 6 3 14" xfId="3352" xr:uid="{00000000-0005-0000-0000-0000560D0000}"/>
    <cellStyle name="Note 6 3 14 2" xfId="3471" xr:uid="{00000000-0005-0000-0000-0000570D0000}"/>
    <cellStyle name="Note 6 3 15" xfId="3472" xr:uid="{00000000-0005-0000-0000-0000580D0000}"/>
    <cellStyle name="Note 6 3 2" xfId="3353" xr:uid="{00000000-0005-0000-0000-0000590D0000}"/>
    <cellStyle name="Note 6 3 2 2" xfId="3354" xr:uid="{00000000-0005-0000-0000-00005A0D0000}"/>
    <cellStyle name="Note 6 3 2 2 2" xfId="3473" xr:uid="{00000000-0005-0000-0000-00005B0D0000}"/>
    <cellStyle name="Note 6 3 2 3" xfId="3474" xr:uid="{00000000-0005-0000-0000-00005C0D0000}"/>
    <cellStyle name="Note 6 3 3" xfId="3355" xr:uid="{00000000-0005-0000-0000-00005D0D0000}"/>
    <cellStyle name="Note 6 3 3 2" xfId="3356" xr:uid="{00000000-0005-0000-0000-00005E0D0000}"/>
    <cellStyle name="Note 6 3 3 2 2" xfId="3475" xr:uid="{00000000-0005-0000-0000-00005F0D0000}"/>
    <cellStyle name="Note 6 3 3 3" xfId="3476" xr:uid="{00000000-0005-0000-0000-0000600D0000}"/>
    <cellStyle name="Note 6 3 4" xfId="3357" xr:uid="{00000000-0005-0000-0000-0000610D0000}"/>
    <cellStyle name="Note 6 3 4 2" xfId="3477" xr:uid="{00000000-0005-0000-0000-0000620D0000}"/>
    <cellStyle name="Note 6 3 5" xfId="3358" xr:uid="{00000000-0005-0000-0000-0000630D0000}"/>
    <cellStyle name="Note 6 3 5 2" xfId="3478" xr:uid="{00000000-0005-0000-0000-0000640D0000}"/>
    <cellStyle name="Note 6 3 6" xfId="3359" xr:uid="{00000000-0005-0000-0000-0000650D0000}"/>
    <cellStyle name="Note 6 3 6 2" xfId="3479" xr:uid="{00000000-0005-0000-0000-0000660D0000}"/>
    <cellStyle name="Note 6 3 7" xfId="3360" xr:uid="{00000000-0005-0000-0000-0000670D0000}"/>
    <cellStyle name="Note 6 3 7 2" xfId="3480" xr:uid="{00000000-0005-0000-0000-0000680D0000}"/>
    <cellStyle name="Note 6 3 8" xfId="3361" xr:uid="{00000000-0005-0000-0000-0000690D0000}"/>
    <cellStyle name="Note 6 3 8 2" xfId="3481" xr:uid="{00000000-0005-0000-0000-00006A0D0000}"/>
    <cellStyle name="Note 6 3 9" xfId="3362" xr:uid="{00000000-0005-0000-0000-00006B0D0000}"/>
    <cellStyle name="Note 6 3 9 2" xfId="3482" xr:uid="{00000000-0005-0000-0000-00006C0D0000}"/>
    <cellStyle name="Note 6 4" xfId="3363" xr:uid="{00000000-0005-0000-0000-00006D0D0000}"/>
    <cellStyle name="Note 6 4 10" xfId="3364" xr:uid="{00000000-0005-0000-0000-00006E0D0000}"/>
    <cellStyle name="Note 6 4 10 2" xfId="3483" xr:uid="{00000000-0005-0000-0000-00006F0D0000}"/>
    <cellStyle name="Note 6 4 11" xfId="3365" xr:uid="{00000000-0005-0000-0000-0000700D0000}"/>
    <cellStyle name="Note 6 4 11 2" xfId="3484" xr:uid="{00000000-0005-0000-0000-0000710D0000}"/>
    <cellStyle name="Note 6 4 12" xfId="3485" xr:uid="{00000000-0005-0000-0000-0000720D0000}"/>
    <cellStyle name="Note 6 4 2" xfId="3366" xr:uid="{00000000-0005-0000-0000-0000730D0000}"/>
    <cellStyle name="Note 6 4 2 2" xfId="3486" xr:uid="{00000000-0005-0000-0000-0000740D0000}"/>
    <cellStyle name="Note 6 4 3" xfId="3367" xr:uid="{00000000-0005-0000-0000-0000750D0000}"/>
    <cellStyle name="Note 6 4 3 2" xfId="3487" xr:uid="{00000000-0005-0000-0000-0000760D0000}"/>
    <cellStyle name="Note 6 4 4" xfId="3368" xr:uid="{00000000-0005-0000-0000-0000770D0000}"/>
    <cellStyle name="Note 6 4 4 2" xfId="3488" xr:uid="{00000000-0005-0000-0000-0000780D0000}"/>
    <cellStyle name="Note 6 4 5" xfId="3369" xr:uid="{00000000-0005-0000-0000-0000790D0000}"/>
    <cellStyle name="Note 6 4 5 2" xfId="3489" xr:uid="{00000000-0005-0000-0000-00007A0D0000}"/>
    <cellStyle name="Note 6 4 6" xfId="3370" xr:uid="{00000000-0005-0000-0000-00007B0D0000}"/>
    <cellStyle name="Note 6 4 6 2" xfId="3490" xr:uid="{00000000-0005-0000-0000-00007C0D0000}"/>
    <cellStyle name="Note 6 4 7" xfId="3371" xr:uid="{00000000-0005-0000-0000-00007D0D0000}"/>
    <cellStyle name="Note 6 4 7 2" xfId="3491" xr:uid="{00000000-0005-0000-0000-00007E0D0000}"/>
    <cellStyle name="Note 6 4 8" xfId="3372" xr:uid="{00000000-0005-0000-0000-00007F0D0000}"/>
    <cellStyle name="Note 6 4 8 2" xfId="3492" xr:uid="{00000000-0005-0000-0000-0000800D0000}"/>
    <cellStyle name="Note 6 4 9" xfId="3373" xr:uid="{00000000-0005-0000-0000-0000810D0000}"/>
    <cellStyle name="Note 6 4 9 2" xfId="3493" xr:uid="{00000000-0005-0000-0000-0000820D0000}"/>
    <cellStyle name="Note 6 5" xfId="3374" xr:uid="{00000000-0005-0000-0000-0000830D0000}"/>
    <cellStyle name="Note 6 5 10" xfId="3375" xr:uid="{00000000-0005-0000-0000-0000840D0000}"/>
    <cellStyle name="Note 6 5 10 2" xfId="3494" xr:uid="{00000000-0005-0000-0000-0000850D0000}"/>
    <cellStyle name="Note 6 5 11" xfId="3376" xr:uid="{00000000-0005-0000-0000-0000860D0000}"/>
    <cellStyle name="Note 6 5 11 2" xfId="3495" xr:uid="{00000000-0005-0000-0000-0000870D0000}"/>
    <cellStyle name="Note 6 5 12" xfId="3496" xr:uid="{00000000-0005-0000-0000-0000880D0000}"/>
    <cellStyle name="Note 6 5 2" xfId="3377" xr:uid="{00000000-0005-0000-0000-0000890D0000}"/>
    <cellStyle name="Note 6 5 2 2" xfId="3497" xr:uid="{00000000-0005-0000-0000-00008A0D0000}"/>
    <cellStyle name="Note 6 5 3" xfId="3378" xr:uid="{00000000-0005-0000-0000-00008B0D0000}"/>
    <cellStyle name="Note 6 5 3 2" xfId="3498" xr:uid="{00000000-0005-0000-0000-00008C0D0000}"/>
    <cellStyle name="Note 6 5 4" xfId="3379" xr:uid="{00000000-0005-0000-0000-00008D0D0000}"/>
    <cellStyle name="Note 6 5 4 2" xfId="3499" xr:uid="{00000000-0005-0000-0000-00008E0D0000}"/>
    <cellStyle name="Note 6 5 5" xfId="3380" xr:uid="{00000000-0005-0000-0000-00008F0D0000}"/>
    <cellStyle name="Note 6 5 5 2" xfId="3500" xr:uid="{00000000-0005-0000-0000-0000900D0000}"/>
    <cellStyle name="Note 6 5 6" xfId="3381" xr:uid="{00000000-0005-0000-0000-0000910D0000}"/>
    <cellStyle name="Note 6 5 6 2" xfId="3501" xr:uid="{00000000-0005-0000-0000-0000920D0000}"/>
    <cellStyle name="Note 6 5 7" xfId="3382" xr:uid="{00000000-0005-0000-0000-0000930D0000}"/>
    <cellStyle name="Note 6 5 7 2" xfId="3502" xr:uid="{00000000-0005-0000-0000-0000940D0000}"/>
    <cellStyle name="Note 6 5 8" xfId="3383" xr:uid="{00000000-0005-0000-0000-0000950D0000}"/>
    <cellStyle name="Note 6 5 8 2" xfId="3503" xr:uid="{00000000-0005-0000-0000-0000960D0000}"/>
    <cellStyle name="Note 6 5 9" xfId="3384" xr:uid="{00000000-0005-0000-0000-0000970D0000}"/>
    <cellStyle name="Note 6 5 9 2" xfId="3504" xr:uid="{00000000-0005-0000-0000-0000980D0000}"/>
    <cellStyle name="Note 6 6" xfId="3385" xr:uid="{00000000-0005-0000-0000-0000990D0000}"/>
    <cellStyle name="Note 6 6 2" xfId="3386" xr:uid="{00000000-0005-0000-0000-00009A0D0000}"/>
    <cellStyle name="Note 6 6 2 2" xfId="3505" xr:uid="{00000000-0005-0000-0000-00009B0D0000}"/>
    <cellStyle name="Note 6 6 3" xfId="3506" xr:uid="{00000000-0005-0000-0000-00009C0D0000}"/>
    <cellStyle name="Note 6 7" xfId="3387" xr:uid="{00000000-0005-0000-0000-00009D0D0000}"/>
    <cellStyle name="Note 6 7 2" xfId="3507" xr:uid="{00000000-0005-0000-0000-00009E0D0000}"/>
    <cellStyle name="Note 6 8" xfId="3388" xr:uid="{00000000-0005-0000-0000-00009F0D0000}"/>
    <cellStyle name="Note 6 8 2" xfId="3508" xr:uid="{00000000-0005-0000-0000-0000A00D0000}"/>
    <cellStyle name="Note 6 9" xfId="3389" xr:uid="{00000000-0005-0000-0000-0000A10D0000}"/>
    <cellStyle name="Note 6 9 2" xfId="3509" xr:uid="{00000000-0005-0000-0000-0000A20D0000}"/>
    <cellStyle name="Note 7" xfId="3510" xr:uid="{00000000-0005-0000-0000-0000A30D0000}"/>
    <cellStyle name="Note 8" xfId="3511" xr:uid="{00000000-0005-0000-0000-0000A40D0000}"/>
    <cellStyle name="Note 9" xfId="3512" xr:uid="{00000000-0005-0000-0000-0000A50D0000}"/>
    <cellStyle name="Output 2" xfId="3390" xr:uid="{00000000-0005-0000-0000-0000A60D0000}"/>
    <cellStyle name="Output 3" xfId="3391" xr:uid="{00000000-0005-0000-0000-0000A70D0000}"/>
    <cellStyle name="Output 4" xfId="3392" xr:uid="{00000000-0005-0000-0000-0000A80D0000}"/>
    <cellStyle name="Output 5" xfId="3393" xr:uid="{00000000-0005-0000-0000-0000A90D0000}"/>
    <cellStyle name="Percent" xfId="3" builtinId="5"/>
    <cellStyle name="Percent 2" xfId="6" xr:uid="{00000000-0005-0000-0000-0000AB0D0000}"/>
    <cellStyle name="Percent 2 2" xfId="9" xr:uid="{00000000-0005-0000-0000-0000AC0D0000}"/>
    <cellStyle name="Percent 2 3" xfId="3422" xr:uid="{00000000-0005-0000-0000-0000AD0D0000}"/>
    <cellStyle name="Standard 2" xfId="3513" xr:uid="{00000000-0005-0000-0000-0000AE0D0000}"/>
    <cellStyle name="Standard 5" xfId="3514" xr:uid="{00000000-0005-0000-0000-0000AF0D0000}"/>
    <cellStyle name="Title 2" xfId="3394" xr:uid="{00000000-0005-0000-0000-0000B00D0000}"/>
    <cellStyle name="Title 3" xfId="3395" xr:uid="{00000000-0005-0000-0000-0000B10D0000}"/>
    <cellStyle name="Title 4" xfId="3396" xr:uid="{00000000-0005-0000-0000-0000B20D0000}"/>
    <cellStyle name="Title 5" xfId="3397" xr:uid="{00000000-0005-0000-0000-0000B30D0000}"/>
    <cellStyle name="Total 2" xfId="3398" xr:uid="{00000000-0005-0000-0000-0000B40D0000}"/>
    <cellStyle name="Total 3" xfId="3399" xr:uid="{00000000-0005-0000-0000-0000B50D0000}"/>
    <cellStyle name="Total 4" xfId="3400" xr:uid="{00000000-0005-0000-0000-0000B60D0000}"/>
    <cellStyle name="Total 5" xfId="3401" xr:uid="{00000000-0005-0000-0000-0000B70D0000}"/>
    <cellStyle name="Warning Text 2" xfId="3402" xr:uid="{00000000-0005-0000-0000-0000B80D0000}"/>
    <cellStyle name="Warning Text 3" xfId="3403" xr:uid="{00000000-0005-0000-0000-0000B90D0000}"/>
    <cellStyle name="Warning Text 4" xfId="3404" xr:uid="{00000000-0005-0000-0000-0000BA0D0000}"/>
    <cellStyle name="Warning Text 5" xfId="3405" xr:uid="{00000000-0005-0000-0000-0000BB0D0000}"/>
  </cellStyles>
  <dxfs count="94">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rgb="FF000000"/>
        <name val="Arial Narrow"/>
        <scheme val="none"/>
      </font>
      <numFmt numFmtId="168" formatCode="0.0"/>
      <fill>
        <patternFill patternType="none">
          <fgColor indexed="64"/>
          <bgColor indexed="65"/>
        </patternFill>
      </fill>
      <alignment horizontal="center" vertical="bottom" textRotation="0" wrapText="1" relative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10"/>
        <color rgb="FF0000FF"/>
        <name val="Arial Narrow"/>
        <scheme val="none"/>
      </font>
      <numFmt numFmtId="0" formatCode="General"/>
      <fill>
        <patternFill patternType="solid">
          <fgColor indexed="64"/>
          <bgColor theme="0"/>
        </patternFill>
      </fill>
      <alignment horizontal="center" vertical="bottom" textRotation="0" wrapText="1" relative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rgb="FF0000FF"/>
        <name val="Arial Narrow"/>
        <scheme val="none"/>
      </font>
      <fill>
        <patternFill patternType="solid">
          <fgColor indexed="64"/>
          <bgColor theme="0"/>
        </patternFill>
      </fill>
      <alignment horizontal="center" vertical="bottom"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numFmt numFmtId="0" formatCode="General"/>
      <fill>
        <patternFill patternType="none">
          <fgColor indexed="64"/>
          <bgColor indexed="65"/>
        </patternFill>
      </fill>
      <alignment horizontal="center" vertical="bottom" textRotation="0" wrapText="1" relativeIndent="0" justifyLastLine="0" shrinkToFit="0" readingOrder="0"/>
      <protection locked="1" hidden="0"/>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protection locked="1" hidden="0"/>
    </dxf>
    <dxf>
      <font>
        <strike val="0"/>
        <outline val="0"/>
        <shadow val="0"/>
        <u val="none"/>
        <vertAlign val="baseline"/>
        <sz val="10"/>
        <name val="Arial Narrow"/>
        <scheme val="none"/>
      </font>
      <fill>
        <patternFill>
          <fgColor indexed="64"/>
        </patternFill>
      </fill>
      <alignment textRotation="0" indent="0" justifyLastLine="0" shrinkToFit="0" readingOrder="0"/>
      <border diagonalUp="0" diagonalDown="0" outline="0"/>
      <protection hidden="0"/>
    </dxf>
    <dxf>
      <border outline="0">
        <left style="medium">
          <color rgb="FF000000"/>
        </left>
        <top style="medium">
          <color rgb="FF000000"/>
        </top>
      </border>
    </dxf>
    <dxf>
      <font>
        <b val="0"/>
        <i val="0"/>
        <strike val="0"/>
        <condense val="0"/>
        <extend val="0"/>
        <outline val="0"/>
        <shadow val="0"/>
        <u val="none"/>
        <vertAlign val="baseline"/>
        <sz val="10"/>
        <color rgb="FF000000"/>
        <name val="Arial Narrow"/>
        <scheme val="none"/>
      </font>
      <fill>
        <patternFill patternType="none">
          <fgColor indexed="64"/>
          <bgColor indexed="65"/>
        </patternFill>
      </fill>
      <alignment horizontal="center" vertical="bottom" textRotation="0" wrapText="1" relativeIndent="0" justifyLastLine="0" shrinkToFit="0" readingOrder="0"/>
      <border diagonalUp="0" diagonalDown="0" outline="0">
        <left style="medium">
          <color rgb="FF000000"/>
        </left>
        <right style="medium">
          <color rgb="FF000000"/>
        </right>
        <top/>
        <bottom/>
      </border>
      <protection locked="1" hidden="0"/>
    </dxf>
    <dxf>
      <border>
        <bottom style="medium">
          <color rgb="FF000000"/>
        </bottom>
        <vertical/>
        <horizontal/>
      </border>
    </dxf>
    <dxf>
      <font>
        <b/>
        <i val="0"/>
        <strike val="0"/>
        <condense val="0"/>
        <extend val="0"/>
        <outline val="0"/>
        <shadow val="0"/>
        <u val="none"/>
        <vertAlign val="baseline"/>
        <sz val="10"/>
        <color theme="0"/>
        <name val="Arial Narrow"/>
        <scheme val="none"/>
      </font>
      <fill>
        <patternFill patternType="solid">
          <fgColor indexed="64"/>
          <bgColor theme="3" tint="-0.249977111117893"/>
        </patternFill>
      </fill>
      <alignment horizontal="center"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alignment horizontal="left" vertical="bottom" textRotation="0" wrapText="0" indent="0" justifyLastLine="0" shrinkToFit="0" readingOrder="0"/>
    </dxf>
    <dxf>
      <font>
        <strike val="0"/>
        <outline val="0"/>
        <shadow val="0"/>
        <u val="none"/>
        <vertAlign val="baseline"/>
        <sz val="10"/>
        <color theme="1"/>
        <name val="Arial Narrow"/>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solid">
          <fgColor indexed="64"/>
          <bgColor rgb="FFFF0000"/>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2" formatCode="&quot;$&quot;#,##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172" formatCode="&quot;$&quot;#,##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68" formatCode="0.0"/>
      <fill>
        <patternFill patternType="solid">
          <fgColor indexed="64"/>
          <bgColor rgb="FFFF0000"/>
        </patternFill>
      </fill>
      <alignment horizontal="left" vertical="bottom" textRotation="0" wrapText="0" indent="0" justifyLastLine="0" shrinkToFit="0" readingOrder="0"/>
      <border diagonalUp="0" diagonalDown="0" outline="0">
        <left/>
        <right/>
        <top/>
        <bottom/>
      </border>
      <protection locked="1" hidden="0"/>
    </dxf>
    <dxf>
      <numFmt numFmtId="168"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9" formatCode="m/d/yyyy"/>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178" formatCode="m/d/yy"/>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10"/>
        <color theme="1"/>
        <name val="Arial Narrow"/>
        <scheme val="none"/>
      </font>
      <numFmt numFmtId="169" formatCode="&quot;$&quot;#,##0.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69" formatCode="&quot;$&quot;#,##0.00"/>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169" formatCode="&quot;$&quot;#,##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2" formatCode="0.00"/>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numFmt numFmtId="2" formatCode="0.00"/>
      <alignment horizontal="left" vertical="bottom" textRotation="0" wrapText="0" relativeIndent="0" justifyLastLine="0" shrinkToFit="0" readingOrder="0"/>
    </dxf>
    <dxf>
      <font>
        <b val="0"/>
        <i val="0"/>
        <strike val="0"/>
        <condense val="0"/>
        <extend val="0"/>
        <outline val="0"/>
        <shadow val="0"/>
        <u val="none"/>
        <vertAlign val="baseline"/>
        <sz val="10"/>
        <color theme="1"/>
        <name val="Arial Narrow"/>
        <scheme val="none"/>
      </font>
      <numFmt numFmtId="17" formatCode="#\ ?/?"/>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 formatCode="#\ ?/?"/>
      <alignment horizontal="left"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 formatCode="#\ ?/?"/>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 formatCode="#\ ?/?"/>
      <alignment horizontal="center"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17" formatCode="#\ ?/?"/>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numFmt numFmtId="17" formatCode="#\ ?/?"/>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rgb="FF0000FF"/>
        <name val="Arial Narrow"/>
        <scheme val="none"/>
      </font>
      <fill>
        <patternFill patternType="solid">
          <fgColor indexed="64"/>
          <bgColor theme="0"/>
        </patternFill>
      </fill>
      <alignment horizontal="center" vertical="bottom" textRotation="0" wrapText="0" relative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alignment horizontal="left" vertical="bottom" textRotation="0" wrapText="0" indent="0" justifyLastLine="0" shrinkToFit="0" readingOrder="0"/>
      <border outline="0">
        <right style="thin">
          <color indexed="64"/>
        </right>
      </border>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strike val="0"/>
        <outline val="0"/>
        <shadow val="0"/>
        <u val="none"/>
        <vertAlign val="baseline"/>
        <sz val="10"/>
        <color theme="1"/>
        <name val="Arial Narrow"/>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alignment horizontal="left" vertical="bottom" textRotation="0" wrapText="0" relativeIndent="0" justifyLastLine="0" shrinkToFit="0" readingOrder="0"/>
    </dxf>
    <dxf>
      <font>
        <b val="0"/>
        <i val="0"/>
        <strike val="0"/>
        <condense val="0"/>
        <extend val="0"/>
        <outline val="0"/>
        <shadow val="0"/>
        <u val="none"/>
        <vertAlign val="baseline"/>
        <sz val="10"/>
        <color theme="1"/>
        <name val="Arial Narrow"/>
        <scheme val="none"/>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1"/>
        <name val="Arial Narrow"/>
        <scheme val="none"/>
      </font>
      <fill>
        <patternFill patternType="none">
          <fgColor indexed="64"/>
          <bgColor indexed="65"/>
        </patternFill>
      </fill>
      <alignment horizontal="left" vertical="bottom" textRotation="0" wrapText="0" relativeIndent="0" justifyLastLine="0" shrinkToFit="0" readingOrder="0"/>
    </dxf>
    <dxf>
      <font>
        <strike val="0"/>
        <outline val="0"/>
        <shadow val="0"/>
        <u val="none"/>
        <vertAlign val="baseline"/>
        <sz val="10"/>
        <color rgb="FF000000"/>
        <name val="Arial Narrow"/>
        <scheme val="none"/>
      </font>
      <numFmt numFmtId="179" formatCode="\$#,##0.00"/>
      <alignment horizontal="left" vertical="bottom" textRotation="0" wrapText="0" indent="0" justifyLastLine="0" shrinkToFit="0" readingOrder="0"/>
    </dxf>
    <dxf>
      <font>
        <strike val="0"/>
        <outline val="0"/>
        <shadow val="0"/>
        <u val="none"/>
        <vertAlign val="baseline"/>
        <sz val="10"/>
        <color rgb="FF000000"/>
        <name val="Arial Narrow"/>
        <scheme val="none"/>
      </font>
      <numFmt numFmtId="179" formatCode="\$#,##0.00"/>
      <alignment horizontal="left" vertical="bottom" textRotation="0" indent="0" justifyLastLine="0" shrinkToFit="0" readingOrder="0"/>
    </dxf>
    <dxf>
      <font>
        <b/>
        <i val="0"/>
        <strike val="0"/>
        <condense val="0"/>
        <extend val="0"/>
        <outline val="0"/>
        <shadow val="0"/>
        <u val="none"/>
        <vertAlign val="baseline"/>
        <sz val="10"/>
        <color theme="1"/>
        <name val="Arial Narrow"/>
        <scheme val="none"/>
      </font>
      <numFmt numFmtId="169" formatCode="&quot;$&quot;#,##0.00"/>
      <alignment horizontal="center" vertical="top" textRotation="0" wrapText="0" indent="0" justifyLastLine="0" shrinkToFit="0" readingOrder="0"/>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ont>
        <b/>
        <i val="0"/>
        <color theme="0"/>
      </font>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29</xdr:col>
      <xdr:colOff>254454</xdr:colOff>
      <xdr:row>2</xdr:row>
      <xdr:rowOff>10885</xdr:rowOff>
    </xdr:from>
    <xdr:to>
      <xdr:col>33</xdr:col>
      <xdr:colOff>407307</xdr:colOff>
      <xdr:row>5</xdr:row>
      <xdr:rowOff>10885</xdr:rowOff>
    </xdr:to>
    <xdr:pic>
      <xdr:nvPicPr>
        <xdr:cNvPr id="2" name="Picture 1" descr="new logo - large, blu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srcRect/>
        <a:stretch>
          <a:fillRect/>
        </a:stretch>
      </xdr:blipFill>
      <xdr:spPr bwMode="auto">
        <a:xfrm>
          <a:off x="13380811" y="264885"/>
          <a:ext cx="1332140" cy="426357"/>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69</xdr:row>
      <xdr:rowOff>0</xdr:rowOff>
    </xdr:from>
    <xdr:to>
      <xdr:col>5</xdr:col>
      <xdr:colOff>409575</xdr:colOff>
      <xdr:row>71</xdr:row>
      <xdr:rowOff>57150</xdr:rowOff>
    </xdr:to>
    <xdr:pic>
      <xdr:nvPicPr>
        <xdr:cNvPr id="2050" name="Picture 6">
          <a:extLst>
            <a:ext uri="{FF2B5EF4-FFF2-40B4-BE49-F238E27FC236}">
              <a16:creationId xmlns:a16="http://schemas.microsoft.com/office/drawing/2014/main" id="{00000000-0008-0000-07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19200" y="9906000"/>
          <a:ext cx="1628775" cy="438150"/>
        </a:xfrm>
        <a:prstGeom prst="rect">
          <a:avLst/>
        </a:prstGeom>
        <a:noFill/>
      </xdr:spPr>
    </xdr:pic>
    <xdr:clientData/>
  </xdr:twoCellAnchor>
  <xdr:twoCellAnchor>
    <xdr:from>
      <xdr:col>2</xdr:col>
      <xdr:colOff>0</xdr:colOff>
      <xdr:row>6</xdr:row>
      <xdr:rowOff>133350</xdr:rowOff>
    </xdr:from>
    <xdr:to>
      <xdr:col>2</xdr:col>
      <xdr:colOff>0</xdr:colOff>
      <xdr:row>57</xdr:row>
      <xdr:rowOff>47625</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1019175" y="1104900"/>
          <a:ext cx="0" cy="8172450"/>
        </a:xfrm>
        <a:prstGeom prst="line">
          <a:avLst/>
        </a:prstGeom>
        <a:ln w="15875">
          <a:solidFill>
            <a:schemeClr val="tx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247650</xdr:colOff>
      <xdr:row>0</xdr:row>
      <xdr:rowOff>0</xdr:rowOff>
    </xdr:from>
    <xdr:to>
      <xdr:col>4</xdr:col>
      <xdr:colOff>484817</xdr:colOff>
      <xdr:row>3</xdr:row>
      <xdr:rowOff>120650</xdr:rowOff>
    </xdr:to>
    <xdr:pic>
      <xdr:nvPicPr>
        <xdr:cNvPr id="6" name="Picture 5" descr="new logo - large, blu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2" cstate="print"/>
        <a:srcRect/>
        <a:stretch>
          <a:fillRect/>
        </a:stretch>
      </xdr:blipFill>
      <xdr:spPr bwMode="auto">
        <a:xfrm>
          <a:off x="247650" y="0"/>
          <a:ext cx="1729417" cy="609600"/>
        </a:xfrm>
        <a:prstGeom prst="rect">
          <a:avLst/>
        </a:prstGeom>
        <a:noFill/>
        <a:ln w="9525">
          <a:noFill/>
          <a:miter lim="800000"/>
          <a:headEnd/>
          <a:tailEnd/>
        </a:ln>
      </xdr:spPr>
    </xdr:pic>
    <xdr:clientData/>
  </xdr:twoCellAnchor>
  <xdr:twoCellAnchor editAs="oneCell">
    <xdr:from>
      <xdr:col>0</xdr:col>
      <xdr:colOff>0</xdr:colOff>
      <xdr:row>3</xdr:row>
      <xdr:rowOff>19050</xdr:rowOff>
    </xdr:from>
    <xdr:to>
      <xdr:col>5</xdr:col>
      <xdr:colOff>63500</xdr:colOff>
      <xdr:row>5</xdr:row>
      <xdr:rowOff>38100</xdr:rowOff>
    </xdr:to>
    <xdr:pic>
      <xdr:nvPicPr>
        <xdr:cNvPr id="2051" name="Picture 3">
          <a:extLst>
            <a:ext uri="{FF2B5EF4-FFF2-40B4-BE49-F238E27FC236}">
              <a16:creationId xmlns:a16="http://schemas.microsoft.com/office/drawing/2014/main" id="{00000000-0008-0000-0700-00000308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504825"/>
          <a:ext cx="2152650" cy="342900"/>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68</xdr:row>
      <xdr:rowOff>0</xdr:rowOff>
    </xdr:from>
    <xdr:to>
      <xdr:col>5</xdr:col>
      <xdr:colOff>409575</xdr:colOff>
      <xdr:row>70</xdr:row>
      <xdr:rowOff>57150</xdr:rowOff>
    </xdr:to>
    <xdr:pic>
      <xdr:nvPicPr>
        <xdr:cNvPr id="2" name="Picture 6">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81100" y="11010900"/>
          <a:ext cx="1304925" cy="381000"/>
        </a:xfrm>
        <a:prstGeom prst="rect">
          <a:avLst/>
        </a:prstGeom>
        <a:noFill/>
      </xdr:spPr>
    </xdr:pic>
    <xdr:clientData/>
  </xdr:twoCellAnchor>
  <xdr:twoCellAnchor>
    <xdr:from>
      <xdr:col>2</xdr:col>
      <xdr:colOff>0</xdr:colOff>
      <xdr:row>6</xdr:row>
      <xdr:rowOff>133350</xdr:rowOff>
    </xdr:from>
    <xdr:to>
      <xdr:col>2</xdr:col>
      <xdr:colOff>0</xdr:colOff>
      <xdr:row>57</xdr:row>
      <xdr:rowOff>76200</xdr:rowOff>
    </xdr:to>
    <xdr:cxnSp macro="">
      <xdr:nvCxnSpPr>
        <xdr:cNvPr id="3" name="Straight Connector 2">
          <a:extLst>
            <a:ext uri="{FF2B5EF4-FFF2-40B4-BE49-F238E27FC236}">
              <a16:creationId xmlns:a16="http://schemas.microsoft.com/office/drawing/2014/main" id="{00000000-0008-0000-0800-000003000000}"/>
            </a:ext>
          </a:extLst>
        </xdr:cNvPr>
        <xdr:cNvCxnSpPr/>
      </xdr:nvCxnSpPr>
      <xdr:spPr>
        <a:xfrm>
          <a:off x="1019175" y="1104900"/>
          <a:ext cx="0" cy="8201025"/>
        </a:xfrm>
        <a:prstGeom prst="line">
          <a:avLst/>
        </a:prstGeom>
        <a:ln w="15875">
          <a:solidFill>
            <a:schemeClr val="tx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304800</xdr:colOff>
      <xdr:row>0</xdr:row>
      <xdr:rowOff>0</xdr:rowOff>
    </xdr:from>
    <xdr:to>
      <xdr:col>4</xdr:col>
      <xdr:colOff>595942</xdr:colOff>
      <xdr:row>3</xdr:row>
      <xdr:rowOff>123825</xdr:rowOff>
    </xdr:to>
    <xdr:pic>
      <xdr:nvPicPr>
        <xdr:cNvPr id="4" name="Picture 3" descr="new logo - large, blu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2" cstate="print"/>
        <a:srcRect/>
        <a:stretch>
          <a:fillRect/>
        </a:stretch>
      </xdr:blipFill>
      <xdr:spPr bwMode="auto">
        <a:xfrm>
          <a:off x="304800" y="0"/>
          <a:ext cx="1757992" cy="609600"/>
        </a:xfrm>
        <a:prstGeom prst="rect">
          <a:avLst/>
        </a:prstGeom>
        <a:noFill/>
        <a:ln w="9525">
          <a:noFill/>
          <a:miter lim="800000"/>
          <a:headEnd/>
          <a:tailEnd/>
        </a:ln>
      </xdr:spPr>
    </xdr:pic>
    <xdr:clientData/>
  </xdr:twoCellAnchor>
  <xdr:twoCellAnchor editAs="oneCell">
    <xdr:from>
      <xdr:col>0</xdr:col>
      <xdr:colOff>114300</xdr:colOff>
      <xdr:row>3</xdr:row>
      <xdr:rowOff>19050</xdr:rowOff>
    </xdr:from>
    <xdr:to>
      <xdr:col>5</xdr:col>
      <xdr:colOff>228600</xdr:colOff>
      <xdr:row>5</xdr:row>
      <xdr:rowOff>38100</xdr:rowOff>
    </xdr:to>
    <xdr:pic>
      <xdr:nvPicPr>
        <xdr:cNvPr id="5" name="Picture 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4300" y="504825"/>
          <a:ext cx="2190750" cy="342900"/>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238125</xdr:colOff>
      <xdr:row>9</xdr:row>
      <xdr:rowOff>93785</xdr:rowOff>
    </xdr:from>
    <xdr:to>
      <xdr:col>19</xdr:col>
      <xdr:colOff>504825</xdr:colOff>
      <xdr:row>31</xdr:row>
      <xdr:rowOff>76200</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14925" y="1674935"/>
          <a:ext cx="6972300" cy="3754315"/>
        </a:xfrm>
        <a:prstGeom prst="rect">
          <a:avLst/>
        </a:prstGeom>
        <a:noFill/>
        <a:ln w="1">
          <a:noFill/>
          <a:miter lim="800000"/>
          <a:headEnd/>
          <a:tailEnd type="none" w="med" len="med"/>
        </a:ln>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33" displayName="Table33" ref="A5:U872" totalsRowCount="1" headerRowDxfId="77" dataDxfId="76" totalsRowDxfId="75">
  <autoFilter ref="A5:U871" xr:uid="{00000000-0009-0000-0100-000002000000}"/>
  <sortState xmlns:xlrd2="http://schemas.microsoft.com/office/spreadsheetml/2017/richdata2" ref="A295:U309">
    <sortCondition ref="F5:F838"/>
  </sortState>
  <tableColumns count="21">
    <tableColumn id="21" xr3:uid="{00000000-0010-0000-0000-000015000000}" name="Joint" dataDxfId="74" totalsRowDxfId="73" dataCellStyle="Normal 2"/>
    <tableColumn id="20" xr3:uid="{00000000-0010-0000-0000-000014000000}" name="SPEC" dataDxfId="72" totalsRowDxfId="71" dataCellStyle="Normal 2"/>
    <tableColumn id="2" xr3:uid="{00000000-0010-0000-0000-000002000000}" name="TYPE" dataDxfId="70" totalsRowDxfId="69"/>
    <tableColumn id="3" xr3:uid="{00000000-0010-0000-0000-000003000000}" name="Desc. " dataDxfId="68" totalsRowDxfId="67"/>
    <tableColumn id="1" xr3:uid="{00000000-0010-0000-0000-000001000000}" name="QTY" dataDxfId="66" totalsRowDxfId="65" dataCellStyle="Normal 2"/>
    <tableColumn id="4" xr3:uid="{00000000-0010-0000-0000-000004000000}" name="Size1" dataDxfId="64" totalsRowDxfId="63"/>
    <tableColumn id="15" xr3:uid="{00000000-0010-0000-0000-00000F000000}" name="x" dataDxfId="62" totalsRowDxfId="61"/>
    <tableColumn id="16" xr3:uid="{00000000-0010-0000-0000-000010000000}" name="Size2" dataDxfId="60" totalsRowDxfId="59"/>
    <tableColumn id="17" xr3:uid="{00000000-0010-0000-0000-000011000000}" name="gal/100ft" dataDxfId="58" totalsRowDxfId="57" dataCellStyle="Normal 2"/>
    <tableColumn id="7" xr3:uid="{00000000-0010-0000-0000-000007000000}" name="Orig. Labor" dataDxfId="56" totalsRowDxfId="55" dataCellStyle="Normal 2"/>
    <tableColumn id="5" xr3:uid="{00000000-0010-0000-0000-000005000000}" name="Labor Ea" dataDxfId="54" totalsRowDxfId="53"/>
    <tableColumn id="19" xr3:uid="{00000000-0010-0000-0000-000013000000}" name="Price" dataDxfId="52" totalsRowDxfId="51" dataCellStyle="Currency"/>
    <tableColumn id="6" xr3:uid="{00000000-0010-0000-0000-000006000000}" name="Quoted (Yellow)" dataDxfId="50" totalsRowDxfId="49" dataCellStyle="Currency"/>
    <tableColumn id="24" xr3:uid="{00000000-0010-0000-0000-000018000000}" name="Price Date" dataDxfId="48" totalsRowDxfId="47" dataCellStyle="Normal 2"/>
    <tableColumn id="8" xr3:uid="{00000000-0010-0000-0000-000008000000}" name="Hours" totalsRowFunction="custom" dataDxfId="46" totalsRowDxfId="45">
      <calculatedColumnFormula>K6*E6</calculatedColumnFormula>
      <totalsRowFormula>SUBTOTAL(109,O6:O871)</totalsRowFormula>
    </tableColumn>
    <tableColumn id="14" xr3:uid="{00000000-0010-0000-0000-00000E000000}" name="Act. Hours" totalsRowFunction="custom" dataDxfId="44" totalsRowDxfId="43">
      <calculatedColumnFormula>(1+$R$1)*Table33[[#This Row],[Hours]]</calculatedColumnFormula>
      <totalsRowFormula>SUBTOTAL(109,P6:P871)</totalsRowFormula>
    </tableColumn>
    <tableColumn id="9" xr3:uid="{00000000-0010-0000-0000-000009000000}" name="Labor Cost" totalsRowFunction="custom" dataDxfId="42" totalsRowDxfId="41" dataCellStyle="Currency">
      <calculatedColumnFormula>P6*$O$1</calculatedColumnFormula>
      <totalsRowFormula>SUBTOTAL(109,Q6:Q871)</totalsRowFormula>
    </tableColumn>
    <tableColumn id="10" xr3:uid="{00000000-0010-0000-0000-00000A000000}" name="Material" totalsRowFunction="custom" dataDxfId="40" totalsRowDxfId="39">
      <calculatedColumnFormula>M6*E6</calculatedColumnFormula>
      <totalsRowFormula>SUBTOTAL(109,R6:R871)</totalsRowFormula>
    </tableColumn>
    <tableColumn id="11" xr3:uid="{00000000-0010-0000-0000-00000B000000}" name="Total" totalsRowFunction="custom" dataDxfId="38" totalsRowDxfId="37">
      <calculatedColumnFormula>R6+Q6</calculatedColumnFormula>
      <totalsRowFormula>SUBTOTAL(109,S6:S871)</totalsRowFormula>
    </tableColumn>
    <tableColumn id="12" xr3:uid="{00000000-0010-0000-0000-00000C000000}" name="Cost/Unit" dataDxfId="36" totalsRowDxfId="35">
      <calculatedColumnFormula>IF(E6="","",S6/E6)</calculatedColumnFormula>
    </tableColumn>
    <tableColumn id="18" xr3:uid="{00000000-0010-0000-0000-000012000000}" name="Total Vol. " totalsRowFunction="sum" dataDxfId="34" totalsRowDxfId="33">
      <calculatedColumnFormula>Table33[[#This Row],[gal/100ft]]*Table33[[#This Row],[QTY]]/100</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1:N513" totalsRowCount="1" headerRowDxfId="32" dataDxfId="30" totalsRowDxfId="28" headerRowBorderDxfId="31" tableBorderDxfId="29">
  <autoFilter ref="A1:N512" xr:uid="{00000000-0009-0000-0100-000004000000}"/>
  <tableColumns count="14">
    <tableColumn id="1" xr3:uid="{00000000-0010-0000-0100-000001000000}" name="Size NPS" dataDxfId="27" totalsRowDxfId="26"/>
    <tableColumn id="2" xr3:uid="{00000000-0010-0000-0100-000002000000}" name="Pipe O.D." dataDxfId="25" totalsRowDxfId="24"/>
    <tableColumn id="3" xr3:uid="{00000000-0010-0000-0100-000003000000}" name="Wall Thickness" dataDxfId="23" totalsRowDxfId="22"/>
    <tableColumn id="4" xr3:uid="{00000000-0010-0000-0100-000004000000}" name="Pipe I.D." dataDxfId="21" totalsRowDxfId="20"/>
    <tableColumn id="5" xr3:uid="{00000000-0010-0000-0100-000005000000}" name="Weight per Foot" dataDxfId="19" totalsRowDxfId="18"/>
    <tableColumn id="6" xr3:uid="{00000000-0010-0000-0100-000006000000}" name="Standard to XXHY" dataDxfId="17" totalsRowDxfId="16"/>
    <tableColumn id="7" xr3:uid="{00000000-0010-0000-0100-000007000000}" name="Schedule " dataDxfId="15" totalsRowDxfId="14"/>
    <tableColumn id="8" xr3:uid="{00000000-0010-0000-0100-000008000000}" name="Section Modulus" dataDxfId="13" totalsRowDxfId="12"/>
    <tableColumn id="9" xr3:uid="{00000000-0010-0000-0100-000009000000}" name="Gallon Capacity Per Linear Foot" dataDxfId="11" totalsRowDxfId="10"/>
    <tableColumn id="10" xr3:uid="{00000000-0010-0000-0100-00000A000000}" name="Qty" dataDxfId="9" totalsRowDxfId="8"/>
    <tableColumn id="11" xr3:uid="{00000000-0010-0000-0100-00000B000000}" name="Gallons" totalsRowFunction="custom" dataDxfId="7" totalsRowDxfId="6">
      <calculatedColumnFormula>Table4[[#This Row],[Qty]]*Table4[[#This Row],[Gallon Capacity Per Linear Foot]]</calculatedColumnFormula>
      <totalsRowFormula>SUBTOTAL(109,K2:K512)</totalsRowFormula>
    </tableColumn>
    <tableColumn id="12" xr3:uid="{00000000-0010-0000-0100-00000C000000}" name="Fluid Wt. " totalsRowFunction="custom" dataDxfId="5" totalsRowDxfId="4">
      <calculatedColumnFormula>Table4[[#This Row],[Gallons]]*7.48</calculatedColumnFormula>
      <totalsRowFormula>SUBTOTAL(109,L2:L512)</totalsRowFormula>
    </tableColumn>
    <tableColumn id="13" xr3:uid="{00000000-0010-0000-0100-00000D000000}" name="Pipe Wt. " totalsRowFunction="custom" dataDxfId="3" totalsRowDxfId="2">
      <calculatedColumnFormula>Table4[[#This Row],[Qty]]*Table4[[#This Row],[Weight per Foot]]</calculatedColumnFormula>
      <totalsRowFormula>SUBTOTAL(109,M2:M512)</totalsRowFormula>
    </tableColumn>
    <tableColumn id="14" xr3:uid="{00000000-0010-0000-0100-00000E000000}" name="total Wt. " totalsRowFunction="custom" dataDxfId="1" totalsRowDxfId="0">
      <calculatedColumnFormula>Table4[[#This Row],[Pipe Wt. ]]+Table4[[#This Row],[Fluid Wt. ]]</calculatedColumnFormula>
      <totalsRowFormula>SUBTOTAL(109,N2:N512)</totalsRow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pageSetUpPr fitToPage="1"/>
  </sheetPr>
  <dimension ref="A1:AL66"/>
  <sheetViews>
    <sheetView showGridLines="0" zoomScale="115" zoomScaleNormal="115" zoomScaleSheetLayoutView="100" zoomScalePageLayoutView="115" workbookViewId="0">
      <selection activeCell="E11" sqref="E11"/>
    </sheetView>
  </sheetViews>
  <sheetFormatPr defaultColWidth="8.85546875" defaultRowHeight="16.5" x14ac:dyDescent="0.3"/>
  <cols>
    <col min="1" max="1" width="1.42578125" style="179" customWidth="1"/>
    <col min="2" max="3" width="5.28515625" style="36" customWidth="1"/>
    <col min="4" max="4" width="5.28515625" style="53" customWidth="1"/>
    <col min="5" max="5" width="5.42578125" style="51" customWidth="1"/>
    <col min="6" max="6" width="5.42578125" style="256" customWidth="1"/>
    <col min="7" max="7" width="6.85546875" style="166" customWidth="1"/>
    <col min="8" max="8" width="7.42578125" style="166" customWidth="1"/>
    <col min="9" max="9" width="1.28515625" style="36" customWidth="1"/>
    <col min="10" max="11" width="5.42578125" style="36" customWidth="1"/>
    <col min="12" max="12" width="5.42578125" style="53" customWidth="1"/>
    <col min="13" max="13" width="5.85546875" style="51" customWidth="1"/>
    <col min="14" max="14" width="5.42578125" style="256" customWidth="1"/>
    <col min="15" max="15" width="6.85546875" style="166" customWidth="1"/>
    <col min="16" max="16" width="7.42578125" style="166" customWidth="1"/>
    <col min="17" max="17" width="1.28515625" style="36" customWidth="1"/>
    <col min="18" max="19" width="5.28515625" style="36" customWidth="1"/>
    <col min="20" max="20" width="5.28515625" style="53" customWidth="1"/>
    <col min="21" max="21" width="6.140625" style="51" customWidth="1"/>
    <col min="22" max="22" width="5.42578125" style="256" customWidth="1"/>
    <col min="23" max="23" width="6.85546875" style="166" customWidth="1"/>
    <col min="24" max="24" width="7.42578125" style="166" customWidth="1"/>
    <col min="25" max="25" width="1.140625" style="179" customWidth="1"/>
    <col min="26" max="26" width="7.140625" customWidth="1"/>
    <col min="27" max="27" width="4.28515625" customWidth="1"/>
    <col min="28" max="28" width="5.28515625" customWidth="1"/>
    <col min="29" max="29" width="7.85546875" customWidth="1"/>
    <col min="30" max="30" width="1" customWidth="1"/>
    <col min="31" max="32" width="7.140625" customWidth="1"/>
    <col min="37" max="16384" width="8.85546875" style="179"/>
  </cols>
  <sheetData>
    <row r="1" spans="1:38" s="36" customFormat="1" x14ac:dyDescent="0.3">
      <c r="A1" s="833" t="s">
        <v>102</v>
      </c>
      <c r="B1" s="833"/>
      <c r="C1" s="833"/>
      <c r="D1" s="833"/>
      <c r="E1" s="833"/>
      <c r="F1" s="833"/>
      <c r="G1" s="833"/>
      <c r="H1" s="833"/>
      <c r="I1" s="833"/>
      <c r="J1" s="833"/>
      <c r="K1" s="833"/>
      <c r="L1" s="833"/>
      <c r="M1" s="833"/>
      <c r="N1" s="833"/>
      <c r="O1" s="833"/>
      <c r="P1" s="833"/>
      <c r="Q1" s="833"/>
      <c r="R1" s="833"/>
      <c r="S1" s="833"/>
      <c r="T1" s="833"/>
      <c r="U1" s="833"/>
      <c r="V1" s="833"/>
      <c r="W1" s="833"/>
      <c r="X1" s="833"/>
      <c r="Y1" s="833"/>
      <c r="Z1" s="833"/>
      <c r="AA1" s="833"/>
      <c r="AB1" s="833"/>
      <c r="AC1" s="833"/>
      <c r="AK1" s="179"/>
      <c r="AL1" s="179"/>
    </row>
    <row r="2" spans="1:38" ht="3" customHeight="1" x14ac:dyDescent="0.3"/>
    <row r="3" spans="1:38" x14ac:dyDescent="0.3">
      <c r="B3" s="255" t="s">
        <v>6</v>
      </c>
      <c r="J3" s="255" t="s">
        <v>6</v>
      </c>
      <c r="S3" s="840" t="s">
        <v>1011</v>
      </c>
      <c r="T3" s="840"/>
      <c r="U3" s="841"/>
      <c r="V3" s="834" t="s">
        <v>1013</v>
      </c>
      <c r="W3" s="835"/>
      <c r="X3" s="836"/>
      <c r="Z3" s="837" t="s">
        <v>1012</v>
      </c>
      <c r="AA3" s="838"/>
      <c r="AB3" s="838"/>
      <c r="AC3" s="839"/>
    </row>
    <row r="4" spans="1:38" ht="4.5" customHeight="1" thickBot="1" x14ac:dyDescent="0.35"/>
    <row r="5" spans="1:38" ht="17.25" thickBot="1" x14ac:dyDescent="0.35">
      <c r="B5" s="830" t="s">
        <v>998</v>
      </c>
      <c r="C5" s="831"/>
      <c r="D5" s="831"/>
      <c r="E5" s="831"/>
      <c r="F5" s="831"/>
      <c r="G5" s="831"/>
      <c r="H5" s="832"/>
      <c r="J5" s="830" t="s">
        <v>999</v>
      </c>
      <c r="K5" s="831"/>
      <c r="L5" s="831"/>
      <c r="M5" s="831"/>
      <c r="N5" s="831"/>
      <c r="O5" s="831"/>
      <c r="P5" s="832"/>
      <c r="R5" s="830" t="s">
        <v>1000</v>
      </c>
      <c r="S5" s="831"/>
      <c r="T5" s="831"/>
      <c r="U5" s="831"/>
      <c r="V5" s="831"/>
      <c r="W5" s="831"/>
      <c r="X5" s="832"/>
      <c r="Z5" s="830" t="s">
        <v>831</v>
      </c>
      <c r="AA5" s="831"/>
      <c r="AB5" s="831"/>
      <c r="AC5" s="832"/>
      <c r="AH5" s="179"/>
      <c r="AI5" s="179"/>
      <c r="AJ5" s="179"/>
    </row>
    <row r="6" spans="1:38" ht="17.25" thickBot="1" x14ac:dyDescent="0.35">
      <c r="B6" s="255" t="s">
        <v>806</v>
      </c>
      <c r="C6" s="255"/>
      <c r="D6" s="257"/>
      <c r="E6" s="186" t="s">
        <v>795</v>
      </c>
      <c r="F6" s="258" t="s">
        <v>11</v>
      </c>
      <c r="G6" s="259" t="s">
        <v>35</v>
      </c>
      <c r="H6" s="260"/>
      <c r="J6" s="255"/>
      <c r="K6" s="255"/>
      <c r="L6" s="257"/>
      <c r="M6" s="186" t="s">
        <v>795</v>
      </c>
      <c r="N6" s="258" t="s">
        <v>11</v>
      </c>
      <c r="O6" s="259" t="s">
        <v>35</v>
      </c>
      <c r="P6" s="260"/>
      <c r="R6" s="255"/>
      <c r="S6" s="255"/>
      <c r="T6" s="257"/>
      <c r="U6" s="186" t="s">
        <v>795</v>
      </c>
      <c r="V6" s="258" t="s">
        <v>11</v>
      </c>
      <c r="W6" s="259" t="s">
        <v>35</v>
      </c>
      <c r="X6" s="260"/>
      <c r="Z6" s="255"/>
      <c r="AA6" s="255"/>
      <c r="AB6" s="257"/>
      <c r="AC6" s="259" t="s">
        <v>35</v>
      </c>
      <c r="AD6" s="260"/>
      <c r="AI6" s="179"/>
      <c r="AJ6" s="179"/>
    </row>
    <row r="7" spans="1:38" x14ac:dyDescent="0.3">
      <c r="B7" s="464"/>
      <c r="C7" s="261"/>
      <c r="D7" s="466" t="s">
        <v>844</v>
      </c>
      <c r="E7" s="470" t="s">
        <v>845</v>
      </c>
      <c r="F7" s="180"/>
      <c r="G7" s="817">
        <v>115</v>
      </c>
      <c r="H7" s="9">
        <f t="shared" ref="H7:H17" si="0">G7*F7</f>
        <v>0</v>
      </c>
      <c r="I7" s="465"/>
      <c r="J7" s="464"/>
      <c r="K7" s="261"/>
      <c r="L7" s="466" t="s">
        <v>844</v>
      </c>
      <c r="M7" s="470" t="s">
        <v>845</v>
      </c>
      <c r="N7" s="180"/>
      <c r="O7" s="817">
        <f t="shared" ref="O7:O17" si="1">G7</f>
        <v>115</v>
      </c>
      <c r="P7" s="9">
        <f t="shared" ref="P7:P17" si="2">O7*N7</f>
        <v>0</v>
      </c>
      <c r="Q7" s="465"/>
      <c r="R7" s="464"/>
      <c r="S7" s="261"/>
      <c r="T7" s="466" t="s">
        <v>844</v>
      </c>
      <c r="U7" s="470" t="s">
        <v>845</v>
      </c>
      <c r="V7" s="180"/>
      <c r="W7" s="817">
        <v>115</v>
      </c>
      <c r="X7" s="9">
        <f t="shared" ref="X7:X17" si="3">W7*V7</f>
        <v>0</v>
      </c>
      <c r="Z7" s="464"/>
      <c r="AA7" s="261"/>
      <c r="AB7" s="466" t="s">
        <v>553</v>
      </c>
      <c r="AC7" s="819">
        <v>88</v>
      </c>
      <c r="AH7" s="179"/>
      <c r="AI7" s="179"/>
      <c r="AJ7" s="179"/>
    </row>
    <row r="8" spans="1:38" x14ac:dyDescent="0.3">
      <c r="B8" s="262"/>
      <c r="D8" s="53" t="s">
        <v>19</v>
      </c>
      <c r="E8" s="472" t="s">
        <v>810</v>
      </c>
      <c r="F8" s="181"/>
      <c r="G8" s="821">
        <v>99.96</v>
      </c>
      <c r="H8" s="10">
        <f t="shared" ref="H8" si="4">G8*F8</f>
        <v>0</v>
      </c>
      <c r="I8" s="255"/>
      <c r="J8" s="262"/>
      <c r="L8" s="53" t="str">
        <f>D8</f>
        <v>Superintendent</v>
      </c>
      <c r="M8" s="472" t="str">
        <f>E8</f>
        <v>S</v>
      </c>
      <c r="N8" s="181"/>
      <c r="O8" s="821">
        <f t="shared" ref="O8" si="5">G8</f>
        <v>99.96</v>
      </c>
      <c r="P8" s="10">
        <f t="shared" ref="P8" si="6">O8*N8</f>
        <v>0</v>
      </c>
      <c r="Q8" s="255"/>
      <c r="R8" s="262"/>
      <c r="T8" s="53" t="s">
        <v>19</v>
      </c>
      <c r="U8" s="472" t="s">
        <v>810</v>
      </c>
      <c r="V8" s="181"/>
      <c r="W8" s="821">
        <v>99.71</v>
      </c>
      <c r="X8" s="10">
        <f t="shared" ref="X8" si="7">W8*V8</f>
        <v>0</v>
      </c>
      <c r="Z8" s="262"/>
      <c r="AA8" s="36"/>
      <c r="AB8" s="53" t="s">
        <v>554</v>
      </c>
      <c r="AC8" s="820">
        <v>94</v>
      </c>
      <c r="AH8" s="179"/>
      <c r="AI8" s="179"/>
      <c r="AJ8" s="179"/>
    </row>
    <row r="9" spans="1:38" x14ac:dyDescent="0.3">
      <c r="B9" s="262"/>
      <c r="D9" s="53" t="s">
        <v>20</v>
      </c>
      <c r="E9" s="472" t="s">
        <v>811</v>
      </c>
      <c r="F9" s="181"/>
      <c r="G9" s="821">
        <v>98.2</v>
      </c>
      <c r="H9" s="10">
        <f t="shared" si="0"/>
        <v>0</v>
      </c>
      <c r="I9" s="255"/>
      <c r="J9" s="262"/>
      <c r="L9" s="53" t="s">
        <v>20</v>
      </c>
      <c r="M9" s="472" t="s">
        <v>811</v>
      </c>
      <c r="N9" s="181"/>
      <c r="O9" s="821">
        <f t="shared" si="1"/>
        <v>98.2</v>
      </c>
      <c r="P9" s="10">
        <f t="shared" si="2"/>
        <v>0</v>
      </c>
      <c r="Q9" s="255"/>
      <c r="R9" s="262"/>
      <c r="T9" s="53" t="s">
        <v>20</v>
      </c>
      <c r="U9" s="472" t="s">
        <v>811</v>
      </c>
      <c r="V9" s="181"/>
      <c r="W9" s="821">
        <v>96.64</v>
      </c>
      <c r="X9" s="10">
        <f t="shared" si="3"/>
        <v>0</v>
      </c>
      <c r="Z9" s="262"/>
      <c r="AA9" s="36"/>
      <c r="AB9" s="53" t="s">
        <v>555</v>
      </c>
      <c r="AC9" s="820">
        <v>65</v>
      </c>
      <c r="AH9" s="179"/>
      <c r="AI9" s="179"/>
      <c r="AJ9" s="179"/>
    </row>
    <row r="10" spans="1:38" x14ac:dyDescent="0.3">
      <c r="B10" s="262"/>
      <c r="D10" s="53" t="s">
        <v>21</v>
      </c>
      <c r="E10" s="472" t="s">
        <v>812</v>
      </c>
      <c r="F10" s="181">
        <v>1</v>
      </c>
      <c r="G10" s="821">
        <v>97.03</v>
      </c>
      <c r="H10" s="10">
        <f t="shared" si="0"/>
        <v>97.03</v>
      </c>
      <c r="J10" s="262"/>
      <c r="L10" s="53" t="s">
        <v>21</v>
      </c>
      <c r="M10" s="472" t="s">
        <v>812</v>
      </c>
      <c r="N10" s="181">
        <v>1</v>
      </c>
      <c r="O10" s="821">
        <f t="shared" si="1"/>
        <v>97.03</v>
      </c>
      <c r="P10" s="10">
        <f t="shared" si="2"/>
        <v>97.03</v>
      </c>
      <c r="R10" s="262"/>
      <c r="T10" s="53" t="s">
        <v>21</v>
      </c>
      <c r="U10" s="472" t="s">
        <v>812</v>
      </c>
      <c r="V10" s="181">
        <v>1</v>
      </c>
      <c r="W10" s="821">
        <v>93.56</v>
      </c>
      <c r="X10" s="10">
        <f t="shared" si="3"/>
        <v>93.56</v>
      </c>
      <c r="Z10" s="262"/>
      <c r="AA10" s="36"/>
      <c r="AB10" s="53" t="s">
        <v>548</v>
      </c>
      <c r="AC10" s="820">
        <v>105</v>
      </c>
      <c r="AH10" s="179"/>
      <c r="AI10" s="179"/>
      <c r="AJ10" s="179"/>
    </row>
    <row r="11" spans="1:38" x14ac:dyDescent="0.3">
      <c r="B11" s="262"/>
      <c r="D11" s="53" t="s">
        <v>22</v>
      </c>
      <c r="E11" s="472" t="s">
        <v>813</v>
      </c>
      <c r="F11" s="181">
        <v>4</v>
      </c>
      <c r="G11" s="821">
        <v>92.93</v>
      </c>
      <c r="H11" s="10">
        <f t="shared" si="0"/>
        <v>371.72</v>
      </c>
      <c r="J11" s="262"/>
      <c r="L11" s="53" t="s">
        <v>22</v>
      </c>
      <c r="M11" s="472" t="s">
        <v>813</v>
      </c>
      <c r="N11" s="181">
        <v>4</v>
      </c>
      <c r="O11" s="821">
        <f t="shared" si="1"/>
        <v>92.93</v>
      </c>
      <c r="P11" s="10">
        <f t="shared" si="2"/>
        <v>371.72</v>
      </c>
      <c r="R11" s="262"/>
      <c r="T11" s="53" t="s">
        <v>22</v>
      </c>
      <c r="U11" s="472" t="s">
        <v>813</v>
      </c>
      <c r="V11" s="181">
        <v>4</v>
      </c>
      <c r="W11" s="821">
        <v>87.41</v>
      </c>
      <c r="X11" s="10">
        <f t="shared" si="3"/>
        <v>349.64</v>
      </c>
      <c r="Z11" s="262"/>
      <c r="AA11" s="36"/>
      <c r="AB11" s="53" t="s">
        <v>504</v>
      </c>
      <c r="AC11" s="820">
        <v>100</v>
      </c>
      <c r="AH11" s="179"/>
      <c r="AI11" s="179"/>
      <c r="AJ11" s="179"/>
    </row>
    <row r="12" spans="1:38" x14ac:dyDescent="0.3">
      <c r="B12" s="262"/>
      <c r="D12" s="53" t="s">
        <v>23</v>
      </c>
      <c r="E12" s="472" t="s">
        <v>814</v>
      </c>
      <c r="F12" s="181"/>
      <c r="G12" s="821">
        <v>79</v>
      </c>
      <c r="H12" s="10">
        <f t="shared" si="0"/>
        <v>0</v>
      </c>
      <c r="J12" s="262"/>
      <c r="L12" s="53" t="s">
        <v>23</v>
      </c>
      <c r="M12" s="472" t="s">
        <v>814</v>
      </c>
      <c r="N12" s="181"/>
      <c r="O12" s="821">
        <f t="shared" si="1"/>
        <v>79</v>
      </c>
      <c r="P12" s="10">
        <f t="shared" si="2"/>
        <v>0</v>
      </c>
      <c r="R12" s="262"/>
      <c r="T12" s="53" t="s">
        <v>23</v>
      </c>
      <c r="U12" s="472" t="s">
        <v>814</v>
      </c>
      <c r="V12" s="181"/>
      <c r="W12" s="821">
        <v>68.38</v>
      </c>
      <c r="X12" s="10">
        <f t="shared" si="3"/>
        <v>0</v>
      </c>
      <c r="Z12" s="262"/>
      <c r="AA12" s="36"/>
      <c r="AB12" s="53" t="s">
        <v>556</v>
      </c>
      <c r="AC12" s="820">
        <v>100</v>
      </c>
      <c r="AH12" s="179"/>
      <c r="AI12" s="179"/>
      <c r="AJ12" s="179"/>
    </row>
    <row r="13" spans="1:38" x14ac:dyDescent="0.3">
      <c r="B13" s="262"/>
      <c r="D13" s="53" t="s">
        <v>24</v>
      </c>
      <c r="E13" s="472" t="s">
        <v>815</v>
      </c>
      <c r="F13" s="181"/>
      <c r="G13" s="821">
        <v>78</v>
      </c>
      <c r="H13" s="10">
        <f t="shared" si="0"/>
        <v>0</v>
      </c>
      <c r="J13" s="262"/>
      <c r="L13" s="53" t="s">
        <v>24</v>
      </c>
      <c r="M13" s="472" t="s">
        <v>815</v>
      </c>
      <c r="N13" s="181"/>
      <c r="O13" s="821">
        <f t="shared" si="1"/>
        <v>78</v>
      </c>
      <c r="P13" s="10">
        <f t="shared" si="2"/>
        <v>0</v>
      </c>
      <c r="R13" s="262"/>
      <c r="T13" s="53" t="s">
        <v>24</v>
      </c>
      <c r="U13" s="472" t="s">
        <v>815</v>
      </c>
      <c r="V13" s="181"/>
      <c r="W13" s="821">
        <v>68.2</v>
      </c>
      <c r="X13" s="10">
        <f t="shared" si="3"/>
        <v>0</v>
      </c>
      <c r="Z13" s="262"/>
      <c r="AA13" s="36"/>
      <c r="AB13" s="53" t="s">
        <v>558</v>
      </c>
      <c r="AC13" s="820">
        <v>95</v>
      </c>
      <c r="AH13" s="179"/>
      <c r="AI13" s="179"/>
      <c r="AJ13" s="179"/>
    </row>
    <row r="14" spans="1:38" x14ac:dyDescent="0.3">
      <c r="B14" s="262"/>
      <c r="D14" s="53" t="s">
        <v>25</v>
      </c>
      <c r="E14" s="472" t="s">
        <v>816</v>
      </c>
      <c r="F14" s="181"/>
      <c r="G14" s="821">
        <v>72</v>
      </c>
      <c r="H14" s="10">
        <f t="shared" si="0"/>
        <v>0</v>
      </c>
      <c r="J14" s="262"/>
      <c r="L14" s="53" t="s">
        <v>25</v>
      </c>
      <c r="M14" s="472" t="s">
        <v>816</v>
      </c>
      <c r="N14" s="181"/>
      <c r="O14" s="821">
        <f t="shared" si="1"/>
        <v>72</v>
      </c>
      <c r="P14" s="10">
        <f t="shared" si="2"/>
        <v>0</v>
      </c>
      <c r="R14" s="262"/>
      <c r="T14" s="53" t="s">
        <v>25</v>
      </c>
      <c r="U14" s="472" t="s">
        <v>816</v>
      </c>
      <c r="V14" s="181"/>
      <c r="W14" s="821">
        <v>62.74</v>
      </c>
      <c r="X14" s="10">
        <f t="shared" si="3"/>
        <v>0</v>
      </c>
      <c r="Z14" s="262"/>
      <c r="AA14" s="36"/>
      <c r="AB14" s="53" t="s">
        <v>557</v>
      </c>
      <c r="AC14" s="820">
        <v>115</v>
      </c>
      <c r="AH14" s="179"/>
      <c r="AI14" s="179"/>
      <c r="AJ14" s="179"/>
    </row>
    <row r="15" spans="1:38" x14ac:dyDescent="0.3">
      <c r="B15" s="262"/>
      <c r="D15" s="53" t="s">
        <v>26</v>
      </c>
      <c r="E15" s="472" t="s">
        <v>817</v>
      </c>
      <c r="F15" s="181"/>
      <c r="G15" s="821">
        <v>60.25</v>
      </c>
      <c r="H15" s="10">
        <f t="shared" si="0"/>
        <v>0</v>
      </c>
      <c r="J15" s="262"/>
      <c r="L15" s="53" t="s">
        <v>26</v>
      </c>
      <c r="M15" s="472" t="s">
        <v>817</v>
      </c>
      <c r="N15" s="181"/>
      <c r="O15" s="821">
        <f t="shared" si="1"/>
        <v>60.25</v>
      </c>
      <c r="P15" s="10">
        <f t="shared" si="2"/>
        <v>0</v>
      </c>
      <c r="R15" s="262"/>
      <c r="T15" s="53" t="s">
        <v>26</v>
      </c>
      <c r="U15" s="472" t="s">
        <v>817</v>
      </c>
      <c r="V15" s="181"/>
      <c r="W15" s="821">
        <v>59.27</v>
      </c>
      <c r="X15" s="10">
        <f t="shared" si="3"/>
        <v>0</v>
      </c>
      <c r="Z15" s="262"/>
      <c r="AA15" s="36"/>
      <c r="AB15" s="53" t="s">
        <v>29</v>
      </c>
      <c r="AC15" s="820">
        <v>65</v>
      </c>
      <c r="AH15" s="179"/>
      <c r="AI15" s="179"/>
      <c r="AJ15" s="179"/>
    </row>
    <row r="16" spans="1:38" ht="16.5" customHeight="1" x14ac:dyDescent="0.3">
      <c r="B16" s="262"/>
      <c r="D16" s="53" t="s">
        <v>27</v>
      </c>
      <c r="E16" s="472" t="s">
        <v>818</v>
      </c>
      <c r="F16" s="181"/>
      <c r="G16" s="821">
        <v>57.3</v>
      </c>
      <c r="H16" s="10">
        <f t="shared" si="0"/>
        <v>0</v>
      </c>
      <c r="J16" s="262"/>
      <c r="L16" s="53" t="s">
        <v>27</v>
      </c>
      <c r="M16" s="472" t="s">
        <v>818</v>
      </c>
      <c r="N16" s="181"/>
      <c r="O16" s="821">
        <f t="shared" si="1"/>
        <v>57.3</v>
      </c>
      <c r="P16" s="10">
        <f t="shared" si="2"/>
        <v>0</v>
      </c>
      <c r="R16" s="262"/>
      <c r="T16" s="53" t="s">
        <v>27</v>
      </c>
      <c r="U16" s="472" t="s">
        <v>818</v>
      </c>
      <c r="V16" s="181"/>
      <c r="W16" s="821">
        <v>53.12</v>
      </c>
      <c r="X16" s="10">
        <f t="shared" si="3"/>
        <v>0</v>
      </c>
      <c r="Z16" s="262"/>
      <c r="AA16" s="36"/>
      <c r="AB16" s="53"/>
      <c r="AC16" s="520"/>
      <c r="AH16" s="179"/>
      <c r="AI16" s="179"/>
      <c r="AJ16" s="179"/>
    </row>
    <row r="17" spans="2:36" ht="17.25" thickBot="1" x14ac:dyDescent="0.35">
      <c r="B17" s="262"/>
      <c r="D17" s="53" t="s">
        <v>28</v>
      </c>
      <c r="E17" s="472" t="s">
        <v>819</v>
      </c>
      <c r="F17" s="181"/>
      <c r="G17" s="818">
        <v>46.59</v>
      </c>
      <c r="H17" s="10">
        <f t="shared" si="0"/>
        <v>0</v>
      </c>
      <c r="J17" s="262"/>
      <c r="L17" s="53" t="s">
        <v>28</v>
      </c>
      <c r="M17" s="472" t="s">
        <v>819</v>
      </c>
      <c r="N17" s="181"/>
      <c r="O17" s="818">
        <f t="shared" si="1"/>
        <v>46.59</v>
      </c>
      <c r="P17" s="10">
        <f t="shared" si="2"/>
        <v>0</v>
      </c>
      <c r="R17" s="262"/>
      <c r="T17" s="53" t="s">
        <v>28</v>
      </c>
      <c r="U17" s="472" t="s">
        <v>819</v>
      </c>
      <c r="V17" s="181"/>
      <c r="W17" s="818">
        <v>43</v>
      </c>
      <c r="X17" s="10">
        <f t="shared" si="3"/>
        <v>0</v>
      </c>
      <c r="Z17" s="263"/>
      <c r="AA17" s="264"/>
      <c r="AB17" s="467"/>
      <c r="AC17" s="521"/>
      <c r="AH17" s="179"/>
      <c r="AI17" s="179"/>
      <c r="AJ17" s="179"/>
    </row>
    <row r="18" spans="2:36" ht="17.25" thickBot="1" x14ac:dyDescent="0.35">
      <c r="B18" s="263"/>
      <c r="C18" s="264"/>
      <c r="D18" s="467" t="s">
        <v>30</v>
      </c>
      <c r="E18" s="471"/>
      <c r="F18" s="265">
        <f>SUM(F7:F17)</f>
        <v>5</v>
      </c>
      <c r="G18" s="266"/>
      <c r="H18" s="267">
        <f>SUM(H7:H17)</f>
        <v>468.75</v>
      </c>
      <c r="I18" s="264"/>
      <c r="J18" s="263"/>
      <c r="K18" s="264"/>
      <c r="L18" s="467" t="s">
        <v>30</v>
      </c>
      <c r="M18" s="471"/>
      <c r="N18" s="265">
        <f>SUM(N7:N17)</f>
        <v>5</v>
      </c>
      <c r="O18" s="266"/>
      <c r="P18" s="267">
        <f>SUM(P7:P17)</f>
        <v>468.75</v>
      </c>
      <c r="Q18" s="264"/>
      <c r="R18" s="263"/>
      <c r="S18" s="264"/>
      <c r="T18" s="467" t="s">
        <v>30</v>
      </c>
      <c r="U18" s="471"/>
      <c r="V18" s="265">
        <f>SUM(V7:V17)</f>
        <v>5</v>
      </c>
      <c r="W18" s="266"/>
      <c r="X18" s="267">
        <f>SUM(X7:X17)</f>
        <v>443.2</v>
      </c>
      <c r="AI18" s="179"/>
      <c r="AJ18" s="179"/>
    </row>
    <row r="19" spans="2:36" ht="17.25" thickBot="1" x14ac:dyDescent="0.35">
      <c r="G19" s="53" t="s">
        <v>31</v>
      </c>
      <c r="H19" s="268">
        <f>IF(H18=0,0,H18/F18)</f>
        <v>93.75</v>
      </c>
      <c r="O19" s="53" t="s">
        <v>31</v>
      </c>
      <c r="P19" s="268">
        <f>IF(P18=0,0,P18/N18)</f>
        <v>93.75</v>
      </c>
      <c r="W19" s="53" t="s">
        <v>31</v>
      </c>
      <c r="X19" s="268">
        <f>IF(X18=0,0,X18/V18)</f>
        <v>88.64</v>
      </c>
      <c r="AJ19" s="179"/>
    </row>
    <row r="20" spans="2:36" x14ac:dyDescent="0.3">
      <c r="B20" s="464"/>
      <c r="C20" s="465"/>
      <c r="D20" s="493" t="s">
        <v>797</v>
      </c>
      <c r="E20" s="491" t="s">
        <v>820</v>
      </c>
      <c r="F20" s="489"/>
      <c r="G20" s="473"/>
      <c r="H20" s="468">
        <f>H37</f>
        <v>125.50399999999999</v>
      </c>
      <c r="J20" s="464"/>
      <c r="K20" s="465"/>
      <c r="L20" s="493" t="s">
        <v>797</v>
      </c>
      <c r="M20" s="491" t="s">
        <v>820</v>
      </c>
      <c r="N20" s="489"/>
      <c r="O20" s="473"/>
      <c r="P20" s="468">
        <f>P37</f>
        <v>125.50399999999999</v>
      </c>
      <c r="R20" s="464"/>
      <c r="S20" s="465"/>
      <c r="T20" s="493" t="s">
        <v>797</v>
      </c>
      <c r="U20" s="491" t="s">
        <v>820</v>
      </c>
      <c r="V20" s="489"/>
      <c r="W20" s="473"/>
      <c r="X20" s="468">
        <f>X37</f>
        <v>118.81199999999998</v>
      </c>
    </row>
    <row r="21" spans="2:36" x14ac:dyDescent="0.3">
      <c r="B21" s="262"/>
      <c r="D21" s="173" t="s">
        <v>798</v>
      </c>
      <c r="E21" s="513" t="s">
        <v>796</v>
      </c>
      <c r="F21" s="510"/>
      <c r="G21" s="511"/>
      <c r="H21" s="514">
        <f>H51</f>
        <v>152.46800000000002</v>
      </c>
      <c r="J21" s="262"/>
      <c r="L21" s="173" t="s">
        <v>798</v>
      </c>
      <c r="M21" s="513" t="s">
        <v>796</v>
      </c>
      <c r="N21" s="510"/>
      <c r="O21" s="511"/>
      <c r="P21" s="514">
        <f>P51</f>
        <v>152.46800000000002</v>
      </c>
      <c r="R21" s="262"/>
      <c r="T21" s="173" t="s">
        <v>798</v>
      </c>
      <c r="U21" s="513" t="s">
        <v>796</v>
      </c>
      <c r="V21" s="510"/>
      <c r="W21" s="511"/>
      <c r="X21" s="514">
        <f>X51</f>
        <v>148.99200000000002</v>
      </c>
    </row>
    <row r="22" spans="2:36" ht="17.25" thickBot="1" x14ac:dyDescent="0.35">
      <c r="B22" s="263"/>
      <c r="C22" s="264"/>
      <c r="D22" s="494" t="s">
        <v>809</v>
      </c>
      <c r="E22" s="492" t="s">
        <v>821</v>
      </c>
      <c r="F22" s="490"/>
      <c r="G22" s="474"/>
      <c r="H22" s="469">
        <f>H66</f>
        <v>102.184</v>
      </c>
      <c r="J22" s="263"/>
      <c r="K22" s="264"/>
      <c r="L22" s="494" t="str">
        <f>D22</f>
        <v>Composite Night Shift</v>
      </c>
      <c r="M22" s="492" t="s">
        <v>821</v>
      </c>
      <c r="N22" s="490"/>
      <c r="O22" s="474"/>
      <c r="P22" s="469">
        <f>P66</f>
        <v>102.184</v>
      </c>
      <c r="R22" s="263"/>
      <c r="S22" s="264"/>
      <c r="T22" s="494" t="str">
        <f>D22</f>
        <v>Composite Night Shift</v>
      </c>
      <c r="U22" s="492" t="s">
        <v>821</v>
      </c>
      <c r="V22" s="490"/>
      <c r="W22" s="474"/>
      <c r="X22" s="469">
        <f>X66</f>
        <v>99.278000000000006</v>
      </c>
    </row>
    <row r="23" spans="2:36" x14ac:dyDescent="0.3">
      <c r="F23" s="510"/>
      <c r="G23" s="511"/>
      <c r="H23" s="511"/>
      <c r="N23" s="510"/>
      <c r="O23" s="511"/>
      <c r="P23" s="511"/>
      <c r="V23" s="510"/>
      <c r="W23" s="511"/>
      <c r="X23" s="511"/>
    </row>
    <row r="24" spans="2:36" ht="17.25" thickBot="1" x14ac:dyDescent="0.35">
      <c r="B24" s="255" t="s">
        <v>805</v>
      </c>
    </row>
    <row r="25" spans="2:36" x14ac:dyDescent="0.3">
      <c r="B25" s="464"/>
      <c r="C25" s="261"/>
      <c r="D25" s="524" t="s">
        <v>844</v>
      </c>
      <c r="E25" s="470" t="s">
        <v>845</v>
      </c>
      <c r="F25" s="515">
        <f>F7</f>
        <v>0</v>
      </c>
      <c r="G25" s="817">
        <v>150</v>
      </c>
      <c r="H25" s="9">
        <f t="shared" ref="H25" si="8">G25*F25</f>
        <v>0</v>
      </c>
      <c r="I25" s="526"/>
      <c r="J25" s="464"/>
      <c r="K25" s="261"/>
      <c r="L25" s="466" t="s">
        <v>844</v>
      </c>
      <c r="M25" s="470" t="s">
        <v>845</v>
      </c>
      <c r="N25" s="515">
        <f>N7</f>
        <v>0</v>
      </c>
      <c r="O25" s="817">
        <f>G25</f>
        <v>150</v>
      </c>
      <c r="P25" s="9">
        <f t="shared" ref="P25" si="9">O25*N25</f>
        <v>0</v>
      </c>
      <c r="Q25" s="526"/>
      <c r="R25" s="464"/>
      <c r="S25" s="261"/>
      <c r="T25" s="466" t="s">
        <v>844</v>
      </c>
      <c r="U25" s="470" t="s">
        <v>845</v>
      </c>
      <c r="V25" s="515">
        <f>V7</f>
        <v>0</v>
      </c>
      <c r="W25" s="817">
        <v>150</v>
      </c>
      <c r="X25" s="9">
        <f t="shared" ref="X25" si="10">W25*V25</f>
        <v>0</v>
      </c>
      <c r="AB25" s="529"/>
      <c r="AC25" s="529"/>
    </row>
    <row r="26" spans="2:36" x14ac:dyDescent="0.3">
      <c r="B26" s="262"/>
      <c r="C26" s="186"/>
      <c r="D26" s="53" t="s">
        <v>19</v>
      </c>
      <c r="E26" s="472" t="s">
        <v>810</v>
      </c>
      <c r="F26" s="527">
        <f>F8</f>
        <v>0</v>
      </c>
      <c r="G26" s="822">
        <v>134.63</v>
      </c>
      <c r="H26" s="523">
        <f t="shared" ref="H26:H35" si="11">G26*F26</f>
        <v>0</v>
      </c>
      <c r="J26" s="262"/>
      <c r="K26" s="186"/>
      <c r="L26" s="525" t="s">
        <v>19</v>
      </c>
      <c r="M26" s="472" t="s">
        <v>810</v>
      </c>
      <c r="N26" s="527">
        <f>N8</f>
        <v>0</v>
      </c>
      <c r="O26" s="822">
        <f t="shared" ref="O26:O35" si="12">G26</f>
        <v>134.63</v>
      </c>
      <c r="P26" s="523">
        <f t="shared" ref="P26:P35" si="13">O26*N26</f>
        <v>0</v>
      </c>
      <c r="R26" s="262"/>
      <c r="S26" s="186"/>
      <c r="T26" s="525" t="s">
        <v>19</v>
      </c>
      <c r="U26" s="472" t="s">
        <v>810</v>
      </c>
      <c r="V26" s="527">
        <f>V8</f>
        <v>0</v>
      </c>
      <c r="W26" s="822">
        <v>135.21</v>
      </c>
      <c r="X26" s="523">
        <f t="shared" ref="X26:X35" si="14">W26*V26</f>
        <v>0</v>
      </c>
    </row>
    <row r="27" spans="2:36" x14ac:dyDescent="0.3">
      <c r="B27" s="262"/>
      <c r="D27" s="53" t="s">
        <v>20</v>
      </c>
      <c r="E27" s="472" t="s">
        <v>811</v>
      </c>
      <c r="F27" s="516">
        <f t="shared" ref="F27:F35" si="15">F9</f>
        <v>0</v>
      </c>
      <c r="G27" s="821">
        <v>132.05000000000001</v>
      </c>
      <c r="H27" s="10">
        <f t="shared" si="11"/>
        <v>0</v>
      </c>
      <c r="I27" s="255"/>
      <c r="J27" s="262"/>
      <c r="L27" s="53" t="s">
        <v>20</v>
      </c>
      <c r="M27" s="472" t="s">
        <v>811</v>
      </c>
      <c r="N27" s="516">
        <f t="shared" ref="N27:N35" si="16">N9</f>
        <v>0</v>
      </c>
      <c r="O27" s="821">
        <f t="shared" si="12"/>
        <v>132.05000000000001</v>
      </c>
      <c r="P27" s="10">
        <f t="shared" si="13"/>
        <v>0</v>
      </c>
      <c r="Q27" s="255"/>
      <c r="R27" s="262"/>
      <c r="T27" s="53" t="s">
        <v>20</v>
      </c>
      <c r="U27" s="472" t="s">
        <v>811</v>
      </c>
      <c r="V27" s="516">
        <f t="shared" ref="V27:V35" si="17">V9</f>
        <v>0</v>
      </c>
      <c r="W27" s="821">
        <v>130.66</v>
      </c>
      <c r="X27" s="10">
        <f t="shared" si="14"/>
        <v>0</v>
      </c>
    </row>
    <row r="28" spans="2:36" x14ac:dyDescent="0.3">
      <c r="B28" s="262"/>
      <c r="D28" s="53" t="s">
        <v>21</v>
      </c>
      <c r="E28" s="472" t="s">
        <v>812</v>
      </c>
      <c r="F28" s="516">
        <f t="shared" si="15"/>
        <v>1</v>
      </c>
      <c r="G28" s="821">
        <v>130.32</v>
      </c>
      <c r="H28" s="10">
        <f t="shared" si="11"/>
        <v>130.32</v>
      </c>
      <c r="J28" s="262"/>
      <c r="L28" s="53" t="s">
        <v>21</v>
      </c>
      <c r="M28" s="472" t="s">
        <v>812</v>
      </c>
      <c r="N28" s="516">
        <f t="shared" si="16"/>
        <v>1</v>
      </c>
      <c r="O28" s="821">
        <f t="shared" si="12"/>
        <v>130.32</v>
      </c>
      <c r="P28" s="10">
        <f t="shared" si="13"/>
        <v>130.32</v>
      </c>
      <c r="R28" s="262"/>
      <c r="T28" s="53" t="s">
        <v>21</v>
      </c>
      <c r="U28" s="472" t="s">
        <v>812</v>
      </c>
      <c r="V28" s="516">
        <f t="shared" si="17"/>
        <v>1</v>
      </c>
      <c r="W28" s="821">
        <v>126.1</v>
      </c>
      <c r="X28" s="10">
        <f t="shared" si="14"/>
        <v>126.1</v>
      </c>
    </row>
    <row r="29" spans="2:36" x14ac:dyDescent="0.3">
      <c r="B29" s="262"/>
      <c r="D29" s="53" t="s">
        <v>22</v>
      </c>
      <c r="E29" s="472" t="s">
        <v>813</v>
      </c>
      <c r="F29" s="516">
        <f t="shared" si="15"/>
        <v>4</v>
      </c>
      <c r="G29" s="821">
        <v>124.3</v>
      </c>
      <c r="H29" s="10">
        <f t="shared" si="11"/>
        <v>497.2</v>
      </c>
      <c r="J29" s="262"/>
      <c r="L29" s="53" t="s">
        <v>22</v>
      </c>
      <c r="M29" s="472" t="s">
        <v>813</v>
      </c>
      <c r="N29" s="516">
        <f t="shared" si="16"/>
        <v>4</v>
      </c>
      <c r="O29" s="821">
        <f t="shared" si="12"/>
        <v>124.3</v>
      </c>
      <c r="P29" s="10">
        <f t="shared" si="13"/>
        <v>497.2</v>
      </c>
      <c r="R29" s="262"/>
      <c r="T29" s="53" t="s">
        <v>22</v>
      </c>
      <c r="U29" s="472" t="s">
        <v>813</v>
      </c>
      <c r="V29" s="516">
        <f t="shared" si="17"/>
        <v>4</v>
      </c>
      <c r="W29" s="821">
        <v>116.99</v>
      </c>
      <c r="X29" s="10">
        <f t="shared" si="14"/>
        <v>467.96</v>
      </c>
    </row>
    <row r="30" spans="2:36" x14ac:dyDescent="0.3">
      <c r="B30" s="262"/>
      <c r="D30" s="53" t="s">
        <v>23</v>
      </c>
      <c r="E30" s="472" t="s">
        <v>814</v>
      </c>
      <c r="F30" s="516">
        <f t="shared" si="15"/>
        <v>0</v>
      </c>
      <c r="G30" s="821">
        <v>103.66</v>
      </c>
      <c r="H30" s="10">
        <f t="shared" si="11"/>
        <v>0</v>
      </c>
      <c r="J30" s="262"/>
      <c r="L30" s="53" t="s">
        <v>23</v>
      </c>
      <c r="M30" s="472" t="s">
        <v>814</v>
      </c>
      <c r="N30" s="516">
        <f t="shared" si="16"/>
        <v>0</v>
      </c>
      <c r="O30" s="821">
        <f t="shared" si="12"/>
        <v>103.66</v>
      </c>
      <c r="P30" s="10">
        <f t="shared" si="13"/>
        <v>0</v>
      </c>
      <c r="R30" s="262"/>
      <c r="T30" s="53" t="s">
        <v>23</v>
      </c>
      <c r="U30" s="472" t="s">
        <v>814</v>
      </c>
      <c r="V30" s="516">
        <f t="shared" si="17"/>
        <v>0</v>
      </c>
      <c r="W30" s="821">
        <v>90.03</v>
      </c>
      <c r="X30" s="10">
        <f t="shared" si="14"/>
        <v>0</v>
      </c>
    </row>
    <row r="31" spans="2:36" x14ac:dyDescent="0.3">
      <c r="B31" s="262"/>
      <c r="D31" s="53" t="s">
        <v>24</v>
      </c>
      <c r="E31" s="472" t="s">
        <v>815</v>
      </c>
      <c r="F31" s="516">
        <f t="shared" si="15"/>
        <v>0</v>
      </c>
      <c r="G31" s="821">
        <v>100.29</v>
      </c>
      <c r="H31" s="10">
        <f t="shared" si="11"/>
        <v>0</v>
      </c>
      <c r="J31" s="262"/>
      <c r="L31" s="53" t="s">
        <v>24</v>
      </c>
      <c r="M31" s="472" t="s">
        <v>815</v>
      </c>
      <c r="N31" s="516">
        <f t="shared" si="16"/>
        <v>0</v>
      </c>
      <c r="O31" s="821">
        <f t="shared" si="12"/>
        <v>100.29</v>
      </c>
      <c r="P31" s="10">
        <f t="shared" si="13"/>
        <v>0</v>
      </c>
      <c r="R31" s="262"/>
      <c r="T31" s="53" t="s">
        <v>24</v>
      </c>
      <c r="U31" s="472" t="s">
        <v>815</v>
      </c>
      <c r="V31" s="516">
        <f t="shared" si="17"/>
        <v>0</v>
      </c>
      <c r="W31" s="821">
        <v>87.93</v>
      </c>
      <c r="X31" s="10">
        <f t="shared" si="14"/>
        <v>0</v>
      </c>
    </row>
    <row r="32" spans="2:36" x14ac:dyDescent="0.3">
      <c r="B32" s="262"/>
      <c r="D32" s="53" t="s">
        <v>25</v>
      </c>
      <c r="E32" s="472" t="s">
        <v>816</v>
      </c>
      <c r="F32" s="516">
        <f t="shared" si="15"/>
        <v>0</v>
      </c>
      <c r="G32" s="821">
        <v>91.8</v>
      </c>
      <c r="H32" s="10">
        <f t="shared" si="11"/>
        <v>0</v>
      </c>
      <c r="J32" s="262"/>
      <c r="L32" s="53" t="s">
        <v>25</v>
      </c>
      <c r="M32" s="472" t="s">
        <v>816</v>
      </c>
      <c r="N32" s="516">
        <f t="shared" si="16"/>
        <v>0</v>
      </c>
      <c r="O32" s="821">
        <f t="shared" si="12"/>
        <v>91.8</v>
      </c>
      <c r="P32" s="10">
        <f t="shared" si="13"/>
        <v>0</v>
      </c>
      <c r="R32" s="262"/>
      <c r="T32" s="53" t="s">
        <v>25</v>
      </c>
      <c r="U32" s="472" t="s">
        <v>816</v>
      </c>
      <c r="V32" s="516">
        <f t="shared" si="17"/>
        <v>0</v>
      </c>
      <c r="W32" s="821">
        <v>80.28</v>
      </c>
      <c r="X32" s="10">
        <f t="shared" si="14"/>
        <v>0</v>
      </c>
    </row>
    <row r="33" spans="2:29" x14ac:dyDescent="0.3">
      <c r="B33" s="262"/>
      <c r="D33" s="53" t="s">
        <v>26</v>
      </c>
      <c r="E33" s="472" t="s">
        <v>817</v>
      </c>
      <c r="F33" s="516">
        <f t="shared" si="15"/>
        <v>0</v>
      </c>
      <c r="G33" s="821">
        <v>77.260000000000005</v>
      </c>
      <c r="H33" s="10">
        <f t="shared" si="11"/>
        <v>0</v>
      </c>
      <c r="J33" s="262"/>
      <c r="L33" s="53" t="s">
        <v>26</v>
      </c>
      <c r="M33" s="472" t="s">
        <v>817</v>
      </c>
      <c r="N33" s="516">
        <f t="shared" si="16"/>
        <v>0</v>
      </c>
      <c r="O33" s="821">
        <f t="shared" si="12"/>
        <v>77.260000000000005</v>
      </c>
      <c r="P33" s="10">
        <f t="shared" si="13"/>
        <v>0</v>
      </c>
      <c r="R33" s="262"/>
      <c r="T33" s="53" t="s">
        <v>26</v>
      </c>
      <c r="U33" s="472" t="s">
        <v>817</v>
      </c>
      <c r="V33" s="516">
        <f t="shared" si="17"/>
        <v>0</v>
      </c>
      <c r="W33" s="821">
        <v>75.44</v>
      </c>
      <c r="X33" s="10">
        <f t="shared" si="14"/>
        <v>0</v>
      </c>
    </row>
    <row r="34" spans="2:29" x14ac:dyDescent="0.3">
      <c r="B34" s="262"/>
      <c r="D34" s="53" t="s">
        <v>27</v>
      </c>
      <c r="E34" s="472" t="s">
        <v>818</v>
      </c>
      <c r="F34" s="516">
        <f t="shared" si="15"/>
        <v>0</v>
      </c>
      <c r="G34" s="821">
        <v>73</v>
      </c>
      <c r="H34" s="10">
        <f t="shared" si="11"/>
        <v>0</v>
      </c>
      <c r="J34" s="262"/>
      <c r="L34" s="53" t="s">
        <v>27</v>
      </c>
      <c r="M34" s="472" t="s">
        <v>818</v>
      </c>
      <c r="N34" s="516">
        <f t="shared" si="16"/>
        <v>0</v>
      </c>
      <c r="O34" s="821">
        <f t="shared" si="12"/>
        <v>73</v>
      </c>
      <c r="P34" s="10">
        <f t="shared" si="13"/>
        <v>0</v>
      </c>
      <c r="R34" s="262"/>
      <c r="T34" s="53" t="s">
        <v>27</v>
      </c>
      <c r="U34" s="472" t="s">
        <v>818</v>
      </c>
      <c r="V34" s="516">
        <f t="shared" si="17"/>
        <v>0</v>
      </c>
      <c r="W34" s="821">
        <v>68.2</v>
      </c>
      <c r="X34" s="10">
        <f t="shared" si="14"/>
        <v>0</v>
      </c>
    </row>
    <row r="35" spans="2:29" x14ac:dyDescent="0.3">
      <c r="B35" s="262"/>
      <c r="D35" s="53" t="s">
        <v>28</v>
      </c>
      <c r="E35" s="472" t="s">
        <v>819</v>
      </c>
      <c r="F35" s="516">
        <f t="shared" si="15"/>
        <v>0</v>
      </c>
      <c r="G35" s="818">
        <v>61.59</v>
      </c>
      <c r="H35" s="10">
        <f t="shared" si="11"/>
        <v>0</v>
      </c>
      <c r="J35" s="262"/>
      <c r="L35" s="53" t="s">
        <v>28</v>
      </c>
      <c r="M35" s="472" t="s">
        <v>819</v>
      </c>
      <c r="N35" s="516">
        <f t="shared" si="16"/>
        <v>0</v>
      </c>
      <c r="O35" s="818">
        <f t="shared" si="12"/>
        <v>61.59</v>
      </c>
      <c r="P35" s="10">
        <f t="shared" si="13"/>
        <v>0</v>
      </c>
      <c r="R35" s="262"/>
      <c r="T35" s="53" t="s">
        <v>28</v>
      </c>
      <c r="U35" s="472" t="s">
        <v>819</v>
      </c>
      <c r="V35" s="516">
        <f t="shared" si="17"/>
        <v>0</v>
      </c>
      <c r="W35" s="818">
        <v>58</v>
      </c>
      <c r="X35" s="10">
        <f t="shared" si="14"/>
        <v>0</v>
      </c>
    </row>
    <row r="36" spans="2:29" ht="17.25" thickBot="1" x14ac:dyDescent="0.35">
      <c r="B36" s="263"/>
      <c r="C36" s="264"/>
      <c r="D36" s="467" t="s">
        <v>30</v>
      </c>
      <c r="E36" s="471"/>
      <c r="F36" s="265">
        <f>SUM(F25:F35)</f>
        <v>5</v>
      </c>
      <c r="G36" s="266"/>
      <c r="H36" s="267">
        <f>SUM(H25:H35)</f>
        <v>627.52</v>
      </c>
      <c r="I36" s="264"/>
      <c r="J36" s="263"/>
      <c r="K36" s="264"/>
      <c r="L36" s="467" t="s">
        <v>30</v>
      </c>
      <c r="M36" s="471"/>
      <c r="N36" s="265">
        <f>SUM(N25:N35)</f>
        <v>5</v>
      </c>
      <c r="O36" s="266"/>
      <c r="P36" s="267">
        <f>SUM(P25:P35)</f>
        <v>627.52</v>
      </c>
      <c r="Q36" s="264"/>
      <c r="R36" s="263"/>
      <c r="S36" s="264"/>
      <c r="T36" s="467" t="s">
        <v>30</v>
      </c>
      <c r="U36" s="471"/>
      <c r="V36" s="265">
        <f>SUM(V25:V35)</f>
        <v>5</v>
      </c>
      <c r="W36" s="266"/>
      <c r="X36" s="267">
        <f>SUM(X25:X35)</f>
        <v>594.05999999999995</v>
      </c>
    </row>
    <row r="37" spans="2:29" x14ac:dyDescent="0.3">
      <c r="G37" s="53" t="s">
        <v>31</v>
      </c>
      <c r="H37" s="268">
        <f>IF(H36=0,0,H36/F36)</f>
        <v>125.50399999999999</v>
      </c>
      <c r="O37" s="53" t="s">
        <v>31</v>
      </c>
      <c r="P37" s="268">
        <f>IF(P36=0,0,P36/N36)</f>
        <v>125.50399999999999</v>
      </c>
      <c r="W37" s="53" t="s">
        <v>31</v>
      </c>
      <c r="X37" s="268">
        <f>IF(X36=0,0,X36/V36)</f>
        <v>118.81199999999998</v>
      </c>
    </row>
    <row r="38" spans="2:29" ht="17.25" thickBot="1" x14ac:dyDescent="0.35">
      <c r="B38" s="255" t="s">
        <v>807</v>
      </c>
    </row>
    <row r="39" spans="2:29" x14ac:dyDescent="0.3">
      <c r="B39" s="464"/>
      <c r="C39" s="261"/>
      <c r="D39" s="524" t="s">
        <v>844</v>
      </c>
      <c r="E39" s="470" t="s">
        <v>810</v>
      </c>
      <c r="F39" s="515">
        <f>F7</f>
        <v>0</v>
      </c>
      <c r="G39" s="817">
        <v>200</v>
      </c>
      <c r="H39" s="9">
        <f t="shared" ref="H39:H49" si="18">G39*F39</f>
        <v>0</v>
      </c>
      <c r="I39" s="465"/>
      <c r="J39" s="464"/>
      <c r="K39" s="261"/>
      <c r="L39" s="466" t="s">
        <v>844</v>
      </c>
      <c r="M39" s="470" t="s">
        <v>845</v>
      </c>
      <c r="N39" s="515">
        <f>N7</f>
        <v>0</v>
      </c>
      <c r="O39" s="817">
        <f>G39</f>
        <v>200</v>
      </c>
      <c r="P39" s="9">
        <f t="shared" ref="P39:P49" si="19">O39*N39</f>
        <v>0</v>
      </c>
      <c r="Q39" s="464"/>
      <c r="R39" s="464"/>
      <c r="S39" s="261"/>
      <c r="T39" s="524" t="s">
        <v>844</v>
      </c>
      <c r="U39" s="470" t="s">
        <v>845</v>
      </c>
      <c r="V39" s="515">
        <f>V7</f>
        <v>0</v>
      </c>
      <c r="W39" s="817">
        <v>200</v>
      </c>
      <c r="X39" s="9">
        <f t="shared" ref="X39:X49" si="20">W39*V39</f>
        <v>0</v>
      </c>
      <c r="AB39" s="529"/>
      <c r="AC39" s="529"/>
    </row>
    <row r="40" spans="2:29" x14ac:dyDescent="0.3">
      <c r="B40" s="262"/>
      <c r="C40" s="186"/>
      <c r="D40" s="53" t="s">
        <v>19</v>
      </c>
      <c r="E40" s="472" t="s">
        <v>810</v>
      </c>
      <c r="F40" s="527">
        <f>F8</f>
        <v>0</v>
      </c>
      <c r="G40" s="822">
        <v>169.3</v>
      </c>
      <c r="H40" s="523">
        <f t="shared" ref="H40" si="21">G40*F40</f>
        <v>0</v>
      </c>
      <c r="I40" s="528"/>
      <c r="J40" s="262"/>
      <c r="K40" s="186"/>
      <c r="L40" s="53" t="s">
        <v>19</v>
      </c>
      <c r="M40" s="472" t="s">
        <v>810</v>
      </c>
      <c r="N40" s="527">
        <f>N8</f>
        <v>0</v>
      </c>
      <c r="O40" s="822">
        <f t="shared" ref="O40:O49" si="22">G40</f>
        <v>169.3</v>
      </c>
      <c r="P40" s="523">
        <f t="shared" ref="P40" si="23">O40*N40</f>
        <v>0</v>
      </c>
      <c r="R40" s="262"/>
      <c r="S40" s="186"/>
      <c r="T40" s="53" t="s">
        <v>19</v>
      </c>
      <c r="U40" s="472" t="s">
        <v>810</v>
      </c>
      <c r="V40" s="527">
        <f>V8</f>
        <v>0</v>
      </c>
      <c r="W40" s="822">
        <v>170.71</v>
      </c>
      <c r="X40" s="523">
        <f t="shared" ref="X40" si="24">W40*V40</f>
        <v>0</v>
      </c>
    </row>
    <row r="41" spans="2:29" x14ac:dyDescent="0.3">
      <c r="B41" s="262"/>
      <c r="D41" s="53" t="s">
        <v>20</v>
      </c>
      <c r="E41" s="472" t="s">
        <v>811</v>
      </c>
      <c r="F41" s="516">
        <f t="shared" ref="F41:F49" si="25">F9</f>
        <v>0</v>
      </c>
      <c r="G41" s="821">
        <v>165.89</v>
      </c>
      <c r="H41" s="10">
        <f t="shared" si="18"/>
        <v>0</v>
      </c>
      <c r="I41" s="255"/>
      <c r="J41" s="262"/>
      <c r="L41" s="53" t="s">
        <v>20</v>
      </c>
      <c r="M41" s="472" t="s">
        <v>811</v>
      </c>
      <c r="N41" s="516">
        <f t="shared" ref="N41:N49" si="26">N9</f>
        <v>0</v>
      </c>
      <c r="O41" s="821">
        <f t="shared" si="22"/>
        <v>165.89</v>
      </c>
      <c r="P41" s="10">
        <f t="shared" si="19"/>
        <v>0</v>
      </c>
      <c r="Q41" s="255"/>
      <c r="R41" s="262"/>
      <c r="T41" s="53" t="s">
        <v>20</v>
      </c>
      <c r="U41" s="472" t="s">
        <v>811</v>
      </c>
      <c r="V41" s="516">
        <f t="shared" ref="V41:V49" si="27">V9</f>
        <v>0</v>
      </c>
      <c r="W41" s="821">
        <v>164.68</v>
      </c>
      <c r="X41" s="10">
        <f t="shared" si="20"/>
        <v>0</v>
      </c>
    </row>
    <row r="42" spans="2:29" x14ac:dyDescent="0.3">
      <c r="B42" s="262"/>
      <c r="D42" s="53" t="s">
        <v>21</v>
      </c>
      <c r="E42" s="472" t="s">
        <v>812</v>
      </c>
      <c r="F42" s="516">
        <f t="shared" si="25"/>
        <v>1</v>
      </c>
      <c r="G42" s="821">
        <v>163.62</v>
      </c>
      <c r="H42" s="10">
        <f t="shared" si="18"/>
        <v>163.62</v>
      </c>
      <c r="J42" s="262"/>
      <c r="L42" s="53" t="s">
        <v>21</v>
      </c>
      <c r="M42" s="472" t="s">
        <v>812</v>
      </c>
      <c r="N42" s="516">
        <f t="shared" si="26"/>
        <v>1</v>
      </c>
      <c r="O42" s="821">
        <f t="shared" si="22"/>
        <v>163.62</v>
      </c>
      <c r="P42" s="10">
        <f t="shared" si="19"/>
        <v>163.62</v>
      </c>
      <c r="R42" s="262"/>
      <c r="T42" s="53" t="s">
        <v>21</v>
      </c>
      <c r="U42" s="472" t="s">
        <v>812</v>
      </c>
      <c r="V42" s="516">
        <f t="shared" si="27"/>
        <v>1</v>
      </c>
      <c r="W42" s="821">
        <v>158.63999999999999</v>
      </c>
      <c r="X42" s="10">
        <f t="shared" si="20"/>
        <v>158.63999999999999</v>
      </c>
    </row>
    <row r="43" spans="2:29" x14ac:dyDescent="0.3">
      <c r="B43" s="262"/>
      <c r="D43" s="53" t="s">
        <v>22</v>
      </c>
      <c r="E43" s="472" t="s">
        <v>813</v>
      </c>
      <c r="F43" s="516">
        <f t="shared" si="25"/>
        <v>4</v>
      </c>
      <c r="G43" s="821">
        <v>149.68</v>
      </c>
      <c r="H43" s="10">
        <f t="shared" si="18"/>
        <v>598.72</v>
      </c>
      <c r="J43" s="262"/>
      <c r="L43" s="53" t="s">
        <v>22</v>
      </c>
      <c r="M43" s="472" t="s">
        <v>813</v>
      </c>
      <c r="N43" s="516">
        <f t="shared" si="26"/>
        <v>4</v>
      </c>
      <c r="O43" s="821">
        <f t="shared" si="22"/>
        <v>149.68</v>
      </c>
      <c r="P43" s="10">
        <f t="shared" si="19"/>
        <v>598.72</v>
      </c>
      <c r="R43" s="262"/>
      <c r="T43" s="53" t="s">
        <v>22</v>
      </c>
      <c r="U43" s="472" t="s">
        <v>813</v>
      </c>
      <c r="V43" s="516">
        <f t="shared" si="27"/>
        <v>4</v>
      </c>
      <c r="W43" s="821">
        <v>146.58000000000001</v>
      </c>
      <c r="X43" s="10">
        <f t="shared" si="20"/>
        <v>586.32000000000005</v>
      </c>
    </row>
    <row r="44" spans="2:29" x14ac:dyDescent="0.3">
      <c r="B44" s="262"/>
      <c r="D44" s="53" t="s">
        <v>23</v>
      </c>
      <c r="E44" s="472" t="s">
        <v>814</v>
      </c>
      <c r="F44" s="516">
        <f t="shared" si="25"/>
        <v>0</v>
      </c>
      <c r="G44" s="821">
        <v>128.47999999999999</v>
      </c>
      <c r="H44" s="10">
        <f t="shared" si="18"/>
        <v>0</v>
      </c>
      <c r="J44" s="262"/>
      <c r="L44" s="53" t="s">
        <v>23</v>
      </c>
      <c r="M44" s="472" t="s">
        <v>814</v>
      </c>
      <c r="N44" s="516">
        <f t="shared" si="26"/>
        <v>0</v>
      </c>
      <c r="O44" s="821">
        <f t="shared" si="22"/>
        <v>128.47999999999999</v>
      </c>
      <c r="P44" s="10">
        <f t="shared" si="19"/>
        <v>0</v>
      </c>
      <c r="R44" s="262"/>
      <c r="T44" s="53" t="s">
        <v>23</v>
      </c>
      <c r="U44" s="472" t="s">
        <v>814</v>
      </c>
      <c r="V44" s="516">
        <f t="shared" si="27"/>
        <v>0</v>
      </c>
      <c r="W44" s="821">
        <v>111.68</v>
      </c>
      <c r="X44" s="10">
        <f t="shared" si="20"/>
        <v>0</v>
      </c>
    </row>
    <row r="45" spans="2:29" x14ac:dyDescent="0.3">
      <c r="B45" s="262"/>
      <c r="D45" s="53" t="s">
        <v>24</v>
      </c>
      <c r="E45" s="472" t="s">
        <v>815</v>
      </c>
      <c r="F45" s="516">
        <f t="shared" si="25"/>
        <v>0</v>
      </c>
      <c r="G45" s="821">
        <v>122.5</v>
      </c>
      <c r="H45" s="10">
        <f t="shared" si="18"/>
        <v>0</v>
      </c>
      <c r="J45" s="262"/>
      <c r="L45" s="53" t="s">
        <v>24</v>
      </c>
      <c r="M45" s="472" t="s">
        <v>815</v>
      </c>
      <c r="N45" s="516">
        <f t="shared" si="26"/>
        <v>0</v>
      </c>
      <c r="O45" s="821">
        <f t="shared" si="22"/>
        <v>122.5</v>
      </c>
      <c r="P45" s="10">
        <f t="shared" si="19"/>
        <v>0</v>
      </c>
      <c r="R45" s="262"/>
      <c r="T45" s="53" t="s">
        <v>24</v>
      </c>
      <c r="U45" s="472" t="s">
        <v>815</v>
      </c>
      <c r="V45" s="516">
        <f t="shared" si="27"/>
        <v>0</v>
      </c>
      <c r="W45" s="821">
        <v>107.66</v>
      </c>
      <c r="X45" s="10">
        <f t="shared" si="20"/>
        <v>0</v>
      </c>
    </row>
    <row r="46" spans="2:29" x14ac:dyDescent="0.3">
      <c r="B46" s="262"/>
      <c r="D46" s="53" t="s">
        <v>25</v>
      </c>
      <c r="E46" s="472" t="s">
        <v>816</v>
      </c>
      <c r="F46" s="516">
        <f t="shared" si="25"/>
        <v>0</v>
      </c>
      <c r="G46" s="821">
        <v>111.42</v>
      </c>
      <c r="H46" s="10">
        <f t="shared" si="18"/>
        <v>0</v>
      </c>
      <c r="J46" s="262"/>
      <c r="L46" s="53" t="s">
        <v>25</v>
      </c>
      <c r="M46" s="472" t="s">
        <v>816</v>
      </c>
      <c r="N46" s="516">
        <f t="shared" si="26"/>
        <v>0</v>
      </c>
      <c r="O46" s="821">
        <f t="shared" si="22"/>
        <v>111.42</v>
      </c>
      <c r="P46" s="10">
        <f t="shared" si="19"/>
        <v>0</v>
      </c>
      <c r="R46" s="262"/>
      <c r="T46" s="53" t="s">
        <v>25</v>
      </c>
      <c r="U46" s="472" t="s">
        <v>816</v>
      </c>
      <c r="V46" s="516">
        <f t="shared" si="27"/>
        <v>0</v>
      </c>
      <c r="W46" s="821">
        <v>97.82</v>
      </c>
      <c r="X46" s="10">
        <f t="shared" si="20"/>
        <v>0</v>
      </c>
    </row>
    <row r="47" spans="2:29" x14ac:dyDescent="0.3">
      <c r="B47" s="262"/>
      <c r="D47" s="53" t="s">
        <v>26</v>
      </c>
      <c r="E47" s="472" t="s">
        <v>817</v>
      </c>
      <c r="F47" s="516">
        <f t="shared" si="25"/>
        <v>0</v>
      </c>
      <c r="G47" s="821">
        <v>94.26</v>
      </c>
      <c r="H47" s="10">
        <f t="shared" si="18"/>
        <v>0</v>
      </c>
      <c r="J47" s="262"/>
      <c r="L47" s="53" t="s">
        <v>26</v>
      </c>
      <c r="M47" s="472" t="s">
        <v>817</v>
      </c>
      <c r="N47" s="516">
        <f t="shared" si="26"/>
        <v>0</v>
      </c>
      <c r="O47" s="821">
        <f t="shared" si="22"/>
        <v>94.26</v>
      </c>
      <c r="P47" s="10">
        <f t="shared" si="19"/>
        <v>0</v>
      </c>
      <c r="R47" s="262"/>
      <c r="T47" s="53" t="s">
        <v>26</v>
      </c>
      <c r="U47" s="472" t="s">
        <v>817</v>
      </c>
      <c r="V47" s="516">
        <f t="shared" si="27"/>
        <v>0</v>
      </c>
      <c r="W47" s="821">
        <v>91.62</v>
      </c>
      <c r="X47" s="10">
        <f t="shared" si="20"/>
        <v>0</v>
      </c>
    </row>
    <row r="48" spans="2:29" x14ac:dyDescent="0.3">
      <c r="B48" s="262"/>
      <c r="D48" s="53" t="s">
        <v>27</v>
      </c>
      <c r="E48" s="472" t="s">
        <v>818</v>
      </c>
      <c r="F48" s="516">
        <f t="shared" si="25"/>
        <v>0</v>
      </c>
      <c r="G48" s="821">
        <v>88.72</v>
      </c>
      <c r="H48" s="10">
        <f t="shared" si="18"/>
        <v>0</v>
      </c>
      <c r="J48" s="262"/>
      <c r="L48" s="53" t="s">
        <v>27</v>
      </c>
      <c r="M48" s="472" t="s">
        <v>818</v>
      </c>
      <c r="N48" s="516">
        <f t="shared" si="26"/>
        <v>0</v>
      </c>
      <c r="O48" s="821">
        <f t="shared" si="22"/>
        <v>88.72</v>
      </c>
      <c r="P48" s="10">
        <f t="shared" si="19"/>
        <v>0</v>
      </c>
      <c r="R48" s="262"/>
      <c r="T48" s="53" t="s">
        <v>27</v>
      </c>
      <c r="U48" s="472" t="s">
        <v>818</v>
      </c>
      <c r="V48" s="516">
        <f t="shared" si="27"/>
        <v>0</v>
      </c>
      <c r="W48" s="821">
        <v>83.27</v>
      </c>
      <c r="X48" s="10">
        <f t="shared" si="20"/>
        <v>0</v>
      </c>
    </row>
    <row r="49" spans="2:31" x14ac:dyDescent="0.3">
      <c r="B49" s="262"/>
      <c r="D49" s="53" t="s">
        <v>28</v>
      </c>
      <c r="E49" s="472" t="s">
        <v>819</v>
      </c>
      <c r="F49" s="516">
        <f t="shared" si="25"/>
        <v>0</v>
      </c>
      <c r="G49" s="818">
        <v>76.569999999999993</v>
      </c>
      <c r="H49" s="10">
        <f t="shared" si="18"/>
        <v>0</v>
      </c>
      <c r="J49" s="262"/>
      <c r="L49" s="53" t="s">
        <v>28</v>
      </c>
      <c r="M49" s="472" t="s">
        <v>819</v>
      </c>
      <c r="N49" s="516">
        <f t="shared" si="26"/>
        <v>0</v>
      </c>
      <c r="O49" s="818">
        <f t="shared" si="22"/>
        <v>76.569999999999993</v>
      </c>
      <c r="P49" s="10">
        <f t="shared" si="19"/>
        <v>0</v>
      </c>
      <c r="R49" s="262"/>
      <c r="T49" s="53" t="s">
        <v>28</v>
      </c>
      <c r="U49" s="472" t="s">
        <v>819</v>
      </c>
      <c r="V49" s="516">
        <f t="shared" si="27"/>
        <v>0</v>
      </c>
      <c r="W49" s="818">
        <v>71</v>
      </c>
      <c r="X49" s="10">
        <f t="shared" si="20"/>
        <v>0</v>
      </c>
    </row>
    <row r="50" spans="2:31" ht="17.25" thickBot="1" x14ac:dyDescent="0.35">
      <c r="B50" s="263"/>
      <c r="C50" s="264"/>
      <c r="D50" s="467" t="s">
        <v>30</v>
      </c>
      <c r="E50" s="471"/>
      <c r="F50" s="265">
        <f>SUM(F39:F49)</f>
        <v>5</v>
      </c>
      <c r="G50" s="266"/>
      <c r="H50" s="267">
        <f>SUM(H39:H49)</f>
        <v>762.34</v>
      </c>
      <c r="I50" s="264"/>
      <c r="J50" s="263"/>
      <c r="K50" s="264"/>
      <c r="L50" s="467" t="s">
        <v>30</v>
      </c>
      <c r="M50" s="471"/>
      <c r="N50" s="265">
        <f>SUM(N39:N49)</f>
        <v>5</v>
      </c>
      <c r="O50" s="266"/>
      <c r="P50" s="267">
        <f>SUM(P39:P49)</f>
        <v>762.34</v>
      </c>
      <c r="Q50" s="264"/>
      <c r="R50" s="263"/>
      <c r="S50" s="264"/>
      <c r="T50" s="467" t="s">
        <v>30</v>
      </c>
      <c r="U50" s="471"/>
      <c r="V50" s="265">
        <f>SUM(V39:V49)</f>
        <v>5</v>
      </c>
      <c r="W50" s="266"/>
      <c r="X50" s="267">
        <f>SUM(X39:X49)</f>
        <v>744.96</v>
      </c>
    </row>
    <row r="51" spans="2:31" ht="17.25" thickBot="1" x14ac:dyDescent="0.35">
      <c r="G51" s="53" t="s">
        <v>31</v>
      </c>
      <c r="H51" s="268">
        <f>IF(H50=0,0,H50/F50)</f>
        <v>152.46800000000002</v>
      </c>
      <c r="O51" s="53" t="s">
        <v>31</v>
      </c>
      <c r="P51" s="268">
        <f>IF(P50=0,0,P50/N50)</f>
        <v>152.46800000000002</v>
      </c>
      <c r="W51" s="53" t="s">
        <v>31</v>
      </c>
      <c r="X51" s="268">
        <f>IF(X50=0,0,X50/V50)</f>
        <v>148.99200000000002</v>
      </c>
    </row>
    <row r="52" spans="2:31" ht="17.25" thickBot="1" x14ac:dyDescent="0.35">
      <c r="AE52" s="517"/>
    </row>
    <row r="53" spans="2:31" ht="17.25" thickBot="1" x14ac:dyDescent="0.35">
      <c r="B53" s="255" t="s">
        <v>808</v>
      </c>
    </row>
    <row r="54" spans="2:31" x14ac:dyDescent="0.3">
      <c r="B54" s="464"/>
      <c r="C54" s="261"/>
      <c r="D54" s="466" t="s">
        <v>844</v>
      </c>
      <c r="E54" s="470" t="s">
        <v>845</v>
      </c>
      <c r="F54" s="515">
        <f>F7</f>
        <v>0</v>
      </c>
      <c r="G54" s="817">
        <v>125</v>
      </c>
      <c r="H54" s="9">
        <f t="shared" ref="H54:H64" si="28">G54*F54</f>
        <v>0</v>
      </c>
      <c r="I54" s="464"/>
      <c r="J54" s="464"/>
      <c r="K54" s="261"/>
      <c r="L54" s="466" t="s">
        <v>844</v>
      </c>
      <c r="M54" s="470" t="s">
        <v>845</v>
      </c>
      <c r="N54" s="515">
        <f>N7</f>
        <v>0</v>
      </c>
      <c r="O54" s="817">
        <f>G54</f>
        <v>125</v>
      </c>
      <c r="P54" s="9">
        <f t="shared" ref="P54:P64" si="29">O54*N54</f>
        <v>0</v>
      </c>
      <c r="Q54" s="464"/>
      <c r="R54" s="464"/>
      <c r="S54" s="261"/>
      <c r="T54" s="466" t="s">
        <v>844</v>
      </c>
      <c r="U54" s="470" t="s">
        <v>845</v>
      </c>
      <c r="V54" s="515">
        <f>V7</f>
        <v>0</v>
      </c>
      <c r="W54" s="817">
        <v>125</v>
      </c>
      <c r="X54" s="9">
        <f t="shared" ref="X54:X64" si="30">W54*V54</f>
        <v>0</v>
      </c>
      <c r="AB54" s="529"/>
      <c r="AC54" s="529"/>
    </row>
    <row r="55" spans="2:31" x14ac:dyDescent="0.3">
      <c r="B55" s="262"/>
      <c r="C55" s="186"/>
      <c r="D55" s="53" t="s">
        <v>19</v>
      </c>
      <c r="E55" s="472" t="s">
        <v>810</v>
      </c>
      <c r="F55" s="527">
        <f>F8</f>
        <v>0</v>
      </c>
      <c r="G55" s="822">
        <v>108.96</v>
      </c>
      <c r="H55" s="523">
        <f t="shared" ref="H55" si="31">G55*F55</f>
        <v>0</v>
      </c>
      <c r="J55" s="262"/>
      <c r="K55" s="186"/>
      <c r="L55" s="53" t="s">
        <v>19</v>
      </c>
      <c r="M55" s="472" t="s">
        <v>810</v>
      </c>
      <c r="N55" s="527">
        <f>N8</f>
        <v>0</v>
      </c>
      <c r="O55" s="822">
        <f t="shared" ref="O55:O64" si="32">G55</f>
        <v>108.96</v>
      </c>
      <c r="P55" s="523">
        <f t="shared" ref="P55" si="33">O55*N55</f>
        <v>0</v>
      </c>
      <c r="R55" s="262"/>
      <c r="S55" s="186"/>
      <c r="T55" s="53" t="s">
        <v>19</v>
      </c>
      <c r="U55" s="472" t="s">
        <v>810</v>
      </c>
      <c r="V55" s="527">
        <f>V8</f>
        <v>0</v>
      </c>
      <c r="W55" s="822">
        <v>111.68</v>
      </c>
      <c r="X55" s="523">
        <f t="shared" ref="X55" si="34">W55*V55</f>
        <v>0</v>
      </c>
    </row>
    <row r="56" spans="2:31" x14ac:dyDescent="0.3">
      <c r="B56" s="262"/>
      <c r="D56" s="53" t="s">
        <v>20</v>
      </c>
      <c r="E56" s="472" t="s">
        <v>811</v>
      </c>
      <c r="F56" s="516">
        <f t="shared" ref="F56:F64" si="35">F9</f>
        <v>0</v>
      </c>
      <c r="G56" s="821">
        <v>107.04</v>
      </c>
      <c r="H56" s="10">
        <f t="shared" si="28"/>
        <v>0</v>
      </c>
      <c r="I56" s="255"/>
      <c r="J56" s="262"/>
      <c r="L56" s="53" t="s">
        <v>20</v>
      </c>
      <c r="M56" s="472" t="s">
        <v>811</v>
      </c>
      <c r="N56" s="516">
        <f t="shared" ref="N56:N64" si="36">N9</f>
        <v>0</v>
      </c>
      <c r="O56" s="821">
        <f t="shared" si="32"/>
        <v>107.04</v>
      </c>
      <c r="P56" s="10">
        <f t="shared" si="29"/>
        <v>0</v>
      </c>
      <c r="Q56" s="255"/>
      <c r="R56" s="262"/>
      <c r="T56" s="53" t="s">
        <v>20</v>
      </c>
      <c r="U56" s="472" t="s">
        <v>811</v>
      </c>
      <c r="V56" s="516">
        <f t="shared" ref="V56:V64" si="37">V9</f>
        <v>0</v>
      </c>
      <c r="W56" s="821">
        <v>108.24</v>
      </c>
      <c r="X56" s="10">
        <f t="shared" si="30"/>
        <v>0</v>
      </c>
    </row>
    <row r="57" spans="2:31" x14ac:dyDescent="0.3">
      <c r="B57" s="262"/>
      <c r="D57" s="53" t="s">
        <v>21</v>
      </c>
      <c r="E57" s="472" t="s">
        <v>812</v>
      </c>
      <c r="F57" s="516">
        <f t="shared" si="35"/>
        <v>1</v>
      </c>
      <c r="G57" s="821">
        <v>105.76</v>
      </c>
      <c r="H57" s="10">
        <f t="shared" si="28"/>
        <v>105.76</v>
      </c>
      <c r="J57" s="262"/>
      <c r="L57" s="53" t="s">
        <v>21</v>
      </c>
      <c r="M57" s="472" t="s">
        <v>812</v>
      </c>
      <c r="N57" s="516">
        <f t="shared" si="36"/>
        <v>1</v>
      </c>
      <c r="O57" s="821">
        <f t="shared" si="32"/>
        <v>105.76</v>
      </c>
      <c r="P57" s="10">
        <f t="shared" si="29"/>
        <v>105.76</v>
      </c>
      <c r="R57" s="262"/>
      <c r="T57" s="53" t="s">
        <v>21</v>
      </c>
      <c r="U57" s="472" t="s">
        <v>812</v>
      </c>
      <c r="V57" s="516">
        <f t="shared" si="37"/>
        <v>1</v>
      </c>
      <c r="W57" s="821">
        <v>104.79</v>
      </c>
      <c r="X57" s="10">
        <f t="shared" si="30"/>
        <v>104.79</v>
      </c>
    </row>
    <row r="58" spans="2:31" x14ac:dyDescent="0.3">
      <c r="B58" s="262"/>
      <c r="D58" s="53" t="s">
        <v>22</v>
      </c>
      <c r="E58" s="472" t="s">
        <v>813</v>
      </c>
      <c r="F58" s="516">
        <f t="shared" si="35"/>
        <v>4</v>
      </c>
      <c r="G58" s="821">
        <v>101.29</v>
      </c>
      <c r="H58" s="10">
        <f t="shared" si="28"/>
        <v>405.16</v>
      </c>
      <c r="J58" s="262"/>
      <c r="L58" s="53" t="s">
        <v>22</v>
      </c>
      <c r="M58" s="472" t="s">
        <v>813</v>
      </c>
      <c r="N58" s="516">
        <f t="shared" si="36"/>
        <v>4</v>
      </c>
      <c r="O58" s="821">
        <f t="shared" si="32"/>
        <v>101.29</v>
      </c>
      <c r="P58" s="10">
        <f t="shared" si="29"/>
        <v>405.16</v>
      </c>
      <c r="R58" s="262"/>
      <c r="T58" s="53" t="s">
        <v>22</v>
      </c>
      <c r="U58" s="472" t="s">
        <v>813</v>
      </c>
      <c r="V58" s="516">
        <f t="shared" si="37"/>
        <v>4</v>
      </c>
      <c r="W58" s="821">
        <v>97.9</v>
      </c>
      <c r="X58" s="10">
        <f t="shared" si="30"/>
        <v>391.6</v>
      </c>
    </row>
    <row r="59" spans="2:31" x14ac:dyDescent="0.3">
      <c r="B59" s="262"/>
      <c r="D59" s="53" t="s">
        <v>23</v>
      </c>
      <c r="E59" s="472" t="s">
        <v>814</v>
      </c>
      <c r="F59" s="516">
        <f t="shared" si="35"/>
        <v>0</v>
      </c>
      <c r="G59" s="821">
        <v>86.11</v>
      </c>
      <c r="H59" s="10">
        <f t="shared" si="28"/>
        <v>0</v>
      </c>
      <c r="J59" s="262"/>
      <c r="L59" s="53" t="s">
        <v>23</v>
      </c>
      <c r="M59" s="472" t="s">
        <v>814</v>
      </c>
      <c r="N59" s="516">
        <f t="shared" si="36"/>
        <v>0</v>
      </c>
      <c r="O59" s="821">
        <f t="shared" si="32"/>
        <v>86.11</v>
      </c>
      <c r="P59" s="10">
        <f t="shared" si="29"/>
        <v>0</v>
      </c>
      <c r="R59" s="262"/>
      <c r="T59" s="53" t="s">
        <v>23</v>
      </c>
      <c r="U59" s="472" t="s">
        <v>814</v>
      </c>
      <c r="V59" s="516">
        <f t="shared" si="37"/>
        <v>0</v>
      </c>
      <c r="W59" s="821">
        <v>76.59</v>
      </c>
      <c r="X59" s="10">
        <f t="shared" si="30"/>
        <v>0</v>
      </c>
    </row>
    <row r="60" spans="2:31" x14ac:dyDescent="0.3">
      <c r="B60" s="262"/>
      <c r="D60" s="53" t="s">
        <v>24</v>
      </c>
      <c r="E60" s="472" t="s">
        <v>815</v>
      </c>
      <c r="F60" s="516">
        <f t="shared" si="35"/>
        <v>0</v>
      </c>
      <c r="G60" s="821">
        <v>85.02</v>
      </c>
      <c r="H60" s="10">
        <f t="shared" si="28"/>
        <v>0</v>
      </c>
      <c r="J60" s="262"/>
      <c r="L60" s="53" t="s">
        <v>24</v>
      </c>
      <c r="M60" s="472" t="s">
        <v>815</v>
      </c>
      <c r="N60" s="516">
        <f t="shared" si="36"/>
        <v>0</v>
      </c>
      <c r="O60" s="821">
        <f t="shared" si="32"/>
        <v>85.02</v>
      </c>
      <c r="P60" s="10">
        <f t="shared" si="29"/>
        <v>0</v>
      </c>
      <c r="R60" s="262"/>
      <c r="T60" s="53" t="s">
        <v>24</v>
      </c>
      <c r="U60" s="472" t="s">
        <v>815</v>
      </c>
      <c r="V60" s="516">
        <f t="shared" si="37"/>
        <v>0</v>
      </c>
      <c r="W60" s="821">
        <v>76.38</v>
      </c>
      <c r="X60" s="10">
        <f t="shared" si="30"/>
        <v>0</v>
      </c>
    </row>
    <row r="61" spans="2:31" x14ac:dyDescent="0.3">
      <c r="B61" s="262"/>
      <c r="D61" s="53" t="s">
        <v>25</v>
      </c>
      <c r="E61" s="472" t="s">
        <v>816</v>
      </c>
      <c r="F61" s="516">
        <f t="shared" si="35"/>
        <v>0</v>
      </c>
      <c r="G61" s="821">
        <v>78.48</v>
      </c>
      <c r="H61" s="10">
        <f t="shared" si="28"/>
        <v>0</v>
      </c>
      <c r="J61" s="262"/>
      <c r="L61" s="53" t="s">
        <v>25</v>
      </c>
      <c r="M61" s="472" t="s">
        <v>816</v>
      </c>
      <c r="N61" s="516">
        <f t="shared" si="36"/>
        <v>0</v>
      </c>
      <c r="O61" s="821">
        <f t="shared" si="32"/>
        <v>78.48</v>
      </c>
      <c r="P61" s="10">
        <f t="shared" si="29"/>
        <v>0</v>
      </c>
      <c r="R61" s="262"/>
      <c r="T61" s="53" t="s">
        <v>25</v>
      </c>
      <c r="U61" s="472" t="s">
        <v>816</v>
      </c>
      <c r="V61" s="516">
        <f t="shared" si="37"/>
        <v>0</v>
      </c>
      <c r="W61" s="821">
        <v>70.27</v>
      </c>
      <c r="X61" s="10">
        <f t="shared" si="30"/>
        <v>0</v>
      </c>
    </row>
    <row r="62" spans="2:31" x14ac:dyDescent="0.3">
      <c r="B62" s="262"/>
      <c r="D62" s="53" t="s">
        <v>26</v>
      </c>
      <c r="E62" s="472" t="s">
        <v>817</v>
      </c>
      <c r="F62" s="516">
        <f t="shared" si="35"/>
        <v>0</v>
      </c>
      <c r="G62" s="821">
        <v>65.67</v>
      </c>
      <c r="H62" s="10">
        <f t="shared" si="28"/>
        <v>0</v>
      </c>
      <c r="J62" s="262"/>
      <c r="L62" s="53" t="s">
        <v>26</v>
      </c>
      <c r="M62" s="472" t="s">
        <v>817</v>
      </c>
      <c r="N62" s="516">
        <f t="shared" si="36"/>
        <v>0</v>
      </c>
      <c r="O62" s="821">
        <f t="shared" si="32"/>
        <v>65.67</v>
      </c>
      <c r="P62" s="10">
        <f t="shared" si="29"/>
        <v>0</v>
      </c>
      <c r="R62" s="262"/>
      <c r="T62" s="53" t="s">
        <v>26</v>
      </c>
      <c r="U62" s="472" t="s">
        <v>817</v>
      </c>
      <c r="V62" s="516">
        <f t="shared" si="37"/>
        <v>0</v>
      </c>
      <c r="W62" s="821">
        <v>66.38</v>
      </c>
      <c r="X62" s="10">
        <f t="shared" si="30"/>
        <v>0</v>
      </c>
    </row>
    <row r="63" spans="2:31" x14ac:dyDescent="0.3">
      <c r="B63" s="262"/>
      <c r="D63" s="53" t="s">
        <v>27</v>
      </c>
      <c r="E63" s="472" t="s">
        <v>818</v>
      </c>
      <c r="F63" s="516">
        <f t="shared" si="35"/>
        <v>0</v>
      </c>
      <c r="G63" s="821">
        <v>62.46</v>
      </c>
      <c r="H63" s="10">
        <f t="shared" si="28"/>
        <v>0</v>
      </c>
      <c r="J63" s="262"/>
      <c r="L63" s="53" t="s">
        <v>27</v>
      </c>
      <c r="M63" s="472" t="s">
        <v>818</v>
      </c>
      <c r="N63" s="516">
        <f t="shared" si="36"/>
        <v>0</v>
      </c>
      <c r="O63" s="821">
        <f t="shared" si="32"/>
        <v>62.46</v>
      </c>
      <c r="P63" s="10">
        <f t="shared" si="29"/>
        <v>0</v>
      </c>
      <c r="R63" s="262"/>
      <c r="T63" s="53" t="s">
        <v>27</v>
      </c>
      <c r="U63" s="472" t="s">
        <v>818</v>
      </c>
      <c r="V63" s="516">
        <f t="shared" si="37"/>
        <v>0</v>
      </c>
      <c r="W63" s="821">
        <v>59.49</v>
      </c>
      <c r="X63" s="10">
        <f t="shared" si="30"/>
        <v>0</v>
      </c>
    </row>
    <row r="64" spans="2:31" x14ac:dyDescent="0.3">
      <c r="B64" s="262"/>
      <c r="D64" s="53" t="s">
        <v>28</v>
      </c>
      <c r="E64" s="472" t="s">
        <v>819</v>
      </c>
      <c r="F64" s="516">
        <f t="shared" si="35"/>
        <v>0</v>
      </c>
      <c r="G64" s="818">
        <v>50.78</v>
      </c>
      <c r="H64" s="10">
        <f t="shared" si="28"/>
        <v>0</v>
      </c>
      <c r="J64" s="262"/>
      <c r="L64" s="53" t="s">
        <v>28</v>
      </c>
      <c r="M64" s="472" t="s">
        <v>819</v>
      </c>
      <c r="N64" s="516">
        <f t="shared" si="36"/>
        <v>0</v>
      </c>
      <c r="O64" s="818">
        <f t="shared" si="32"/>
        <v>50.78</v>
      </c>
      <c r="P64" s="10">
        <f t="shared" si="29"/>
        <v>0</v>
      </c>
      <c r="R64" s="262"/>
      <c r="T64" s="53" t="s">
        <v>28</v>
      </c>
      <c r="U64" s="472" t="s">
        <v>819</v>
      </c>
      <c r="V64" s="516">
        <f t="shared" si="37"/>
        <v>0</v>
      </c>
      <c r="W64" s="818">
        <v>48.16</v>
      </c>
      <c r="X64" s="10">
        <f t="shared" si="30"/>
        <v>0</v>
      </c>
    </row>
    <row r="65" spans="2:24" ht="17.25" thickBot="1" x14ac:dyDescent="0.35">
      <c r="B65" s="263"/>
      <c r="C65" s="264"/>
      <c r="D65" s="467" t="s">
        <v>30</v>
      </c>
      <c r="E65" s="471"/>
      <c r="F65" s="265">
        <f>SUM(F54:F64)</f>
        <v>5</v>
      </c>
      <c r="G65" s="266"/>
      <c r="H65" s="267">
        <f>SUM(H54:H64)</f>
        <v>510.92</v>
      </c>
      <c r="I65" s="264"/>
      <c r="J65" s="263"/>
      <c r="K65" s="264"/>
      <c r="L65" s="467" t="s">
        <v>30</v>
      </c>
      <c r="M65" s="471"/>
      <c r="N65" s="265">
        <f>SUM(N54:N64)</f>
        <v>5</v>
      </c>
      <c r="O65" s="266"/>
      <c r="P65" s="267">
        <f>SUM(P54:P64)</f>
        <v>510.92</v>
      </c>
      <c r="Q65" s="264"/>
      <c r="R65" s="263"/>
      <c r="S65" s="264"/>
      <c r="T65" s="467" t="s">
        <v>30</v>
      </c>
      <c r="U65" s="471"/>
      <c r="V65" s="265">
        <f>SUM(V54:V64)</f>
        <v>5</v>
      </c>
      <c r="W65" s="266"/>
      <c r="X65" s="267">
        <f>SUM(X54:X64)</f>
        <v>496.39000000000004</v>
      </c>
    </row>
    <row r="66" spans="2:24" x14ac:dyDescent="0.3">
      <c r="G66" s="53" t="s">
        <v>31</v>
      </c>
      <c r="H66" s="268">
        <f>IF(H65=0,0,H65/F65)</f>
        <v>102.184</v>
      </c>
      <c r="O66" s="53" t="s">
        <v>31</v>
      </c>
      <c r="P66" s="268">
        <f>IF(P65=0,0,P65/N65)</f>
        <v>102.184</v>
      </c>
      <c r="W66" s="53" t="s">
        <v>31</v>
      </c>
      <c r="X66" s="268">
        <f>IF(X65=0,0,X65/V65)</f>
        <v>99.278000000000006</v>
      </c>
    </row>
  </sheetData>
  <sheetProtection sheet="1" objects="1" scenarios="1"/>
  <mergeCells count="8">
    <mergeCell ref="Z5:AC5"/>
    <mergeCell ref="B5:H5"/>
    <mergeCell ref="R5:X5"/>
    <mergeCell ref="J5:P5"/>
    <mergeCell ref="A1:AC1"/>
    <mergeCell ref="V3:X3"/>
    <mergeCell ref="Z3:AC3"/>
    <mergeCell ref="S3:U3"/>
  </mergeCells>
  <printOptions horizontalCentered="1"/>
  <pageMargins left="0.25" right="0.25" top="0.75" bottom="0.75" header="0.3" footer="0.3"/>
  <pageSetup scale="86" orientation="landscape" r:id="rId1"/>
  <headerFooter>
    <oddHeader>&amp;L&amp;"Arial Narrow,Regular"&amp;9&amp;F&amp;R&amp;"Arial Narrow,Regular"&amp;9&amp;A</oddHeader>
    <oddFooter>&amp;L&amp;"Arial Narrow,Regular"&amp;9&amp;D&amp;T&amp;C&amp;"Arial Narrow,Regular"&amp;9Page &amp;P of &amp;N&amp;R&amp;"Arial Narrow,Regular"&amp;9&amp;Z&amp;F</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AU327"/>
  <sheetViews>
    <sheetView showGridLines="0" tabSelected="1" topLeftCell="A75" zoomScale="115" zoomScaleNormal="115" workbookViewId="0">
      <selection activeCell="Z202" sqref="Z202"/>
    </sheetView>
  </sheetViews>
  <sheetFormatPr defaultColWidth="8.85546875" defaultRowHeight="16.5" x14ac:dyDescent="0.3"/>
  <cols>
    <col min="1" max="1" width="18" style="36" customWidth="1"/>
    <col min="2" max="2" width="7.7109375" style="36" customWidth="1"/>
    <col min="3" max="3" width="19.28515625" style="36" customWidth="1"/>
    <col min="4" max="4" width="15.42578125" style="36" customWidth="1"/>
    <col min="5" max="6" width="3.42578125" style="36" customWidth="1"/>
    <col min="7" max="7" width="8.42578125" style="36" customWidth="1"/>
    <col min="8" max="9" width="0.85546875" style="693" hidden="1" customWidth="1"/>
    <col min="10" max="10" width="5.140625" style="694" customWidth="1"/>
    <col min="11" max="11" width="4.85546875" style="51" customWidth="1"/>
    <col min="12" max="12" width="0.85546875" style="36" customWidth="1"/>
    <col min="13" max="13" width="7.28515625" style="51" customWidth="1"/>
    <col min="14" max="14" width="7.140625" style="51" customWidth="1"/>
    <col min="15" max="15" width="6.7109375" style="51" customWidth="1"/>
    <col min="16" max="16" width="7" style="51" customWidth="1"/>
    <col min="17" max="17" width="7.42578125" style="51" customWidth="1"/>
    <col min="18" max="18" width="7.140625" style="51" customWidth="1"/>
    <col min="19" max="19" width="1" style="51" customWidth="1"/>
    <col min="20" max="20" width="8" style="36" customWidth="1"/>
    <col min="21" max="21" width="7.85546875" style="36" customWidth="1"/>
    <col min="22" max="23" width="7.42578125" style="36" customWidth="1"/>
    <col min="24" max="24" width="8.140625" style="36" customWidth="1"/>
    <col min="25" max="25" width="1" style="36" customWidth="1"/>
    <col min="26" max="26" width="8" style="36" customWidth="1"/>
    <col min="27" max="27" width="7.140625" style="36" customWidth="1"/>
    <col min="28" max="28" width="7.7109375" style="5" customWidth="1"/>
    <col min="29" max="29" width="1" style="36" customWidth="1"/>
    <col min="30" max="30" width="7.85546875" style="5" customWidth="1"/>
    <col min="31" max="31" width="1" style="36" customWidth="1"/>
    <col min="32" max="32" width="7.85546875" style="5" customWidth="1"/>
    <col min="33" max="33" width="1" style="36" customWidth="1"/>
    <col min="34" max="34" width="8.42578125" style="36" customWidth="1"/>
    <col min="35" max="35" width="0.85546875" style="166" customWidth="1"/>
    <col min="36" max="36" width="1.7109375" style="179" customWidth="1"/>
    <col min="37" max="37" width="6.85546875" style="5" customWidth="1"/>
    <col min="38" max="38" width="8.85546875" style="179"/>
    <col min="39" max="39" width="9.42578125" style="179" bestFit="1" customWidth="1"/>
    <col min="40" max="47" width="8.85546875" style="179"/>
    <col min="48" max="16384" width="8.85546875" style="36"/>
  </cols>
  <sheetData>
    <row r="1" spans="1:39" x14ac:dyDescent="0.3">
      <c r="A1" s="689" t="s">
        <v>34</v>
      </c>
      <c r="B1" s="171"/>
      <c r="C1" s="171"/>
      <c r="D1" s="689"/>
      <c r="E1" s="689"/>
      <c r="F1" s="689"/>
      <c r="G1" s="689"/>
      <c r="H1" s="664"/>
      <c r="I1" s="664"/>
      <c r="J1" s="689"/>
      <c r="K1" s="689"/>
      <c r="L1" s="689"/>
      <c r="M1" s="689"/>
      <c r="N1" s="689"/>
      <c r="O1" s="874" t="s">
        <v>692</v>
      </c>
      <c r="P1" s="874"/>
      <c r="Q1" s="874"/>
      <c r="R1" s="874"/>
      <c r="S1" s="874"/>
      <c r="T1" s="874"/>
      <c r="U1" s="689"/>
      <c r="V1" s="689"/>
      <c r="W1" s="689"/>
      <c r="X1" s="689"/>
      <c r="Y1" s="689"/>
      <c r="Z1" s="689" t="s">
        <v>552</v>
      </c>
      <c r="AA1" s="689"/>
      <c r="AB1" s="689"/>
      <c r="AC1" s="689"/>
      <c r="AD1" s="689"/>
      <c r="AE1" s="689"/>
      <c r="AF1" s="689"/>
      <c r="AG1" s="689"/>
      <c r="AH1" s="172" t="s">
        <v>1014</v>
      </c>
      <c r="AL1" s="875"/>
      <c r="AM1" s="875"/>
    </row>
    <row r="2" spans="1:39" ht="3.75" customHeight="1" x14ac:dyDescent="0.3">
      <c r="AL2" s="695"/>
      <c r="AM2" s="695"/>
    </row>
    <row r="3" spans="1:39" ht="15" customHeight="1" x14ac:dyDescent="0.3">
      <c r="A3" s="44" t="s">
        <v>0</v>
      </c>
      <c r="B3" s="44"/>
      <c r="C3" s="119" t="s">
        <v>1017</v>
      </c>
      <c r="D3" s="2"/>
      <c r="G3" s="146" t="s">
        <v>560</v>
      </c>
      <c r="H3" s="696"/>
      <c r="I3" s="696"/>
      <c r="J3" s="887">
        <v>46049</v>
      </c>
      <c r="K3" s="887"/>
      <c r="N3" s="53" t="s">
        <v>36</v>
      </c>
      <c r="O3" s="254">
        <f>'Rate Inputs'!X19</f>
        <v>88.64</v>
      </c>
      <c r="P3" s="449">
        <f>O3*(1+V3)</f>
        <v>106.36799999999999</v>
      </c>
      <c r="Q3" s="53" t="s">
        <v>701</v>
      </c>
      <c r="R3" s="281">
        <f>'Rate Inputs'!H19</f>
        <v>93.75</v>
      </c>
      <c r="S3" s="36"/>
      <c r="T3" s="450">
        <f>R3*(1+V3)</f>
        <v>112.5</v>
      </c>
      <c r="U3" s="173" t="s">
        <v>2</v>
      </c>
      <c r="V3" s="121">
        <v>0.2</v>
      </c>
      <c r="W3" s="53" t="s">
        <v>3</v>
      </c>
      <c r="X3" s="121">
        <v>0.2</v>
      </c>
      <c r="Z3" s="92">
        <f>IF(OR(AF211=0, AD211=0),"",1-(AD211/AH211))</f>
        <v>0.16666666666666685</v>
      </c>
      <c r="AA3" s="36" t="s">
        <v>137</v>
      </c>
      <c r="AL3" s="695"/>
      <c r="AM3" s="695"/>
    </row>
    <row r="4" spans="1:39" ht="15" customHeight="1" x14ac:dyDescent="0.3">
      <c r="A4" s="44" t="s">
        <v>4</v>
      </c>
      <c r="B4" s="44"/>
      <c r="C4" s="396">
        <f ca="1">TODAY()</f>
        <v>46048</v>
      </c>
      <c r="D4" s="2"/>
      <c r="G4" s="495" t="s">
        <v>561</v>
      </c>
      <c r="H4" s="697"/>
      <c r="I4" s="697"/>
      <c r="J4" s="888">
        <v>0.64583333333333337</v>
      </c>
      <c r="K4" s="888"/>
      <c r="M4" s="36"/>
      <c r="N4" s="53" t="s">
        <v>49</v>
      </c>
      <c r="O4" s="122">
        <v>8</v>
      </c>
      <c r="Q4" s="53" t="s">
        <v>702</v>
      </c>
      <c r="R4" s="281">
        <f>'Rate Inputs'!P19</f>
        <v>93.75</v>
      </c>
      <c r="S4" s="36"/>
      <c r="T4" s="450">
        <f>R4*(1+V3)</f>
        <v>112.5</v>
      </c>
      <c r="U4" s="53" t="s">
        <v>5</v>
      </c>
      <c r="V4" s="123">
        <v>0.2</v>
      </c>
      <c r="W4" s="53" t="s">
        <v>1</v>
      </c>
      <c r="X4" s="124">
        <v>8.5999999999999993E-2</v>
      </c>
    </row>
    <row r="5" spans="1:39" ht="3.75" customHeight="1" x14ac:dyDescent="0.3"/>
    <row r="6" spans="1:39" s="255" customFormat="1" ht="15" customHeight="1" x14ac:dyDescent="0.25">
      <c r="A6" s="698"/>
      <c r="B6" s="699"/>
      <c r="C6" s="700"/>
      <c r="D6" s="699"/>
      <c r="E6" s="699"/>
      <c r="F6" s="699"/>
      <c r="G6" s="699"/>
      <c r="H6" s="701"/>
      <c r="I6" s="701"/>
      <c r="J6" s="884"/>
      <c r="K6" s="884"/>
      <c r="M6" s="851" t="s">
        <v>2</v>
      </c>
      <c r="N6" s="851"/>
      <c r="O6" s="851"/>
      <c r="P6" s="851"/>
      <c r="Q6" s="851"/>
      <c r="R6" s="851"/>
      <c r="S6" s="186"/>
      <c r="T6" s="186"/>
      <c r="U6" s="851" t="s">
        <v>3</v>
      </c>
      <c r="V6" s="851"/>
      <c r="W6" s="851"/>
      <c r="X6" s="186"/>
      <c r="Y6" s="186"/>
      <c r="Z6" s="851" t="s">
        <v>8</v>
      </c>
      <c r="AA6" s="851"/>
      <c r="AB6" s="851"/>
      <c r="AD6" s="702" t="s">
        <v>16</v>
      </c>
      <c r="AF6" s="702" t="s">
        <v>9</v>
      </c>
      <c r="AG6" s="186"/>
      <c r="AH6" s="702" t="s">
        <v>10</v>
      </c>
      <c r="AI6" s="703"/>
      <c r="AK6" s="174" t="s">
        <v>138</v>
      </c>
    </row>
    <row r="7" spans="1:39" s="720" customFormat="1" ht="13.5" customHeight="1" thickBot="1" x14ac:dyDescent="0.3">
      <c r="A7" s="704" t="s">
        <v>520</v>
      </c>
      <c r="B7" s="705"/>
      <c r="C7" s="705"/>
      <c r="D7" s="706" t="s">
        <v>141</v>
      </c>
      <c r="E7" s="707"/>
      <c r="F7" s="708"/>
      <c r="G7" s="709" t="s">
        <v>519</v>
      </c>
      <c r="H7" s="665"/>
      <c r="I7" s="666"/>
      <c r="J7" s="885" t="s">
        <v>35</v>
      </c>
      <c r="K7" s="886"/>
      <c r="L7" s="447"/>
      <c r="M7" s="710"/>
      <c r="N7" s="711" t="s">
        <v>522</v>
      </c>
      <c r="O7" s="712" t="s">
        <v>15</v>
      </c>
      <c r="P7" s="712" t="s">
        <v>16</v>
      </c>
      <c r="Q7" s="712" t="s">
        <v>9</v>
      </c>
      <c r="R7" s="713" t="s">
        <v>10</v>
      </c>
      <c r="S7" s="714"/>
      <c r="T7" s="715"/>
      <c r="U7" s="716"/>
      <c r="V7" s="716"/>
      <c r="W7" s="716"/>
      <c r="X7" s="717"/>
      <c r="Y7" s="718"/>
      <c r="Z7" s="715"/>
      <c r="AA7" s="716"/>
      <c r="AB7" s="717"/>
      <c r="AC7" s="134"/>
      <c r="AD7" s="133"/>
      <c r="AE7" s="134"/>
      <c r="AF7" s="133"/>
      <c r="AG7" s="134"/>
      <c r="AH7" s="135"/>
      <c r="AI7" s="719"/>
      <c r="AK7" s="175"/>
    </row>
    <row r="8" spans="1:39" s="192" customFormat="1" ht="13.5" customHeight="1" thickTop="1" x14ac:dyDescent="0.25">
      <c r="A8" s="167">
        <v>1</v>
      </c>
      <c r="B8" s="845"/>
      <c r="C8" s="846"/>
      <c r="D8" s="502" t="s">
        <v>555</v>
      </c>
      <c r="E8" s="721"/>
      <c r="F8" s="722"/>
      <c r="G8" s="104" t="str">
        <f t="shared" ref="G8:G17" si="0">IF(D8="","",VLOOKUP(D8,$A$265:$B$273,2))</f>
        <v xml:space="preserve"> 70-105-   -</v>
      </c>
      <c r="H8" s="667"/>
      <c r="I8" s="668"/>
      <c r="J8" s="882">
        <f>'Rate Inputs'!AC9</f>
        <v>65</v>
      </c>
      <c r="K8" s="883"/>
      <c r="L8" s="57"/>
      <c r="M8" s="436">
        <v>0.01</v>
      </c>
      <c r="N8" s="496">
        <f>SUM(M20:M69,M72:M122,M124:M173)*M8</f>
        <v>8.7200000000000006</v>
      </c>
      <c r="O8" s="55">
        <f>N8</f>
        <v>8.7200000000000006</v>
      </c>
      <c r="P8" s="284">
        <f>O8*J8</f>
        <v>566.80000000000007</v>
      </c>
      <c r="Q8" s="284">
        <f>P8*$V$3</f>
        <v>113.36000000000001</v>
      </c>
      <c r="R8" s="285">
        <f>Q8+P8</f>
        <v>680.16000000000008</v>
      </c>
      <c r="S8" s="723"/>
      <c r="T8" s="113"/>
      <c r="U8" s="99"/>
      <c r="V8" s="724"/>
      <c r="W8" s="724"/>
      <c r="X8" s="100"/>
      <c r="Y8" s="102"/>
      <c r="Z8" s="113"/>
      <c r="AA8" s="99"/>
      <c r="AB8" s="100"/>
      <c r="AC8" s="692"/>
      <c r="AD8" s="56">
        <f>Z8+V8+P8</f>
        <v>566.80000000000007</v>
      </c>
      <c r="AE8" s="57"/>
      <c r="AF8" s="56">
        <f>W8+AA8+Q8</f>
        <v>113.36000000000001</v>
      </c>
      <c r="AG8" s="57"/>
      <c r="AH8" s="58">
        <f t="shared" ref="AH8:AH17" si="1">AF8+Z8+V8+P8</f>
        <v>680.16000000000008</v>
      </c>
      <c r="AI8" s="725"/>
      <c r="AK8" s="148"/>
    </row>
    <row r="9" spans="1:39" s="192" customFormat="1" ht="15" customHeight="1" x14ac:dyDescent="0.25">
      <c r="A9" s="167">
        <v>2</v>
      </c>
      <c r="B9" s="847"/>
      <c r="C9" s="848"/>
      <c r="D9" s="448" t="s">
        <v>29</v>
      </c>
      <c r="E9" s="726"/>
      <c r="F9" s="722"/>
      <c r="G9" s="105" t="str">
        <f t="shared" si="0"/>
        <v xml:space="preserve"> 70-106-   -</v>
      </c>
      <c r="H9" s="667"/>
      <c r="I9" s="668"/>
      <c r="J9" s="880">
        <f>'Rate Inputs'!AC15</f>
        <v>65</v>
      </c>
      <c r="K9" s="881"/>
      <c r="L9" s="57"/>
      <c r="M9" s="437">
        <v>0.01</v>
      </c>
      <c r="N9" s="497">
        <f>SUM(M20:M69,M72:M122,M124:M173)*M9</f>
        <v>8.7200000000000006</v>
      </c>
      <c r="O9" s="93">
        <f t="shared" ref="O9:O14" si="2">N9</f>
        <v>8.7200000000000006</v>
      </c>
      <c r="P9" s="94">
        <f t="shared" ref="P9:P14" si="3">O9*J9</f>
        <v>566.80000000000007</v>
      </c>
      <c r="Q9" s="94">
        <f t="shared" ref="Q9:Q14" si="4">P9*$V$3</f>
        <v>113.36000000000001</v>
      </c>
      <c r="R9" s="95">
        <f t="shared" ref="R9:R14" si="5">Q9+P9</f>
        <v>680.16000000000008</v>
      </c>
      <c r="S9" s="723"/>
      <c r="T9" s="113"/>
      <c r="U9" s="99"/>
      <c r="V9" s="724"/>
      <c r="W9" s="724"/>
      <c r="X9" s="100"/>
      <c r="Y9" s="102"/>
      <c r="Z9" s="113"/>
      <c r="AA9" s="99"/>
      <c r="AB9" s="100"/>
      <c r="AC9" s="102"/>
      <c r="AD9" s="101">
        <f t="shared" ref="AD9:AD14" si="6">Z9+V9+P9</f>
        <v>566.80000000000007</v>
      </c>
      <c r="AE9" s="102"/>
      <c r="AF9" s="101">
        <f t="shared" ref="AF9:AF14" si="7">W9+AA9+Q9</f>
        <v>113.36000000000001</v>
      </c>
      <c r="AG9" s="102"/>
      <c r="AH9" s="103">
        <f t="shared" si="1"/>
        <v>680.16000000000008</v>
      </c>
      <c r="AI9" s="725"/>
      <c r="AK9" s="148"/>
    </row>
    <row r="10" spans="1:39" s="192" customFormat="1" ht="15" customHeight="1" x14ac:dyDescent="0.25">
      <c r="A10" s="167">
        <v>3</v>
      </c>
      <c r="B10" s="847" t="s">
        <v>1022</v>
      </c>
      <c r="C10" s="848"/>
      <c r="D10" s="451" t="s">
        <v>556</v>
      </c>
      <c r="E10" s="499"/>
      <c r="F10" s="722"/>
      <c r="G10" s="105" t="str">
        <f t="shared" si="0"/>
        <v xml:space="preserve"> 70-115-   -</v>
      </c>
      <c r="H10" s="667"/>
      <c r="I10" s="668"/>
      <c r="J10" s="878">
        <v>100</v>
      </c>
      <c r="K10" s="879"/>
      <c r="L10" s="57"/>
      <c r="M10" s="727"/>
      <c r="N10" s="435">
        <v>8</v>
      </c>
      <c r="O10" s="93">
        <f t="shared" ref="O10:O12" si="8">N10</f>
        <v>8</v>
      </c>
      <c r="P10" s="94">
        <f t="shared" ref="P10:P12" si="9">O10*J10</f>
        <v>800</v>
      </c>
      <c r="Q10" s="94">
        <f t="shared" ref="Q10:Q12" si="10">P10*$V$3</f>
        <v>160</v>
      </c>
      <c r="R10" s="95">
        <f t="shared" ref="R10:R12" si="11">Q10+P10</f>
        <v>960</v>
      </c>
      <c r="S10" s="723"/>
      <c r="T10" s="113"/>
      <c r="U10" s="99"/>
      <c r="V10" s="724"/>
      <c r="W10" s="724"/>
      <c r="X10" s="100"/>
      <c r="Y10" s="102"/>
      <c r="Z10" s="113"/>
      <c r="AA10" s="99"/>
      <c r="AB10" s="100"/>
      <c r="AC10" s="102"/>
      <c r="AD10" s="101">
        <f t="shared" ref="AD10:AD12" si="12">Z10+V10+P10</f>
        <v>800</v>
      </c>
      <c r="AE10" s="102"/>
      <c r="AF10" s="101">
        <f t="shared" ref="AF10:AF12" si="13">W10+AA10+Q10</f>
        <v>160</v>
      </c>
      <c r="AG10" s="102"/>
      <c r="AH10" s="103">
        <f t="shared" si="1"/>
        <v>960</v>
      </c>
      <c r="AI10" s="725"/>
      <c r="AK10" s="148"/>
    </row>
    <row r="11" spans="1:39" s="192" customFormat="1" ht="13.5" customHeight="1" x14ac:dyDescent="0.25">
      <c r="A11" s="167">
        <v>4</v>
      </c>
      <c r="B11" s="847"/>
      <c r="C11" s="848"/>
      <c r="D11" s="451" t="s">
        <v>504</v>
      </c>
      <c r="E11" s="499"/>
      <c r="F11" s="722"/>
      <c r="G11" s="105" t="str">
        <f t="shared" si="0"/>
        <v xml:space="preserve"> 70-124-   -</v>
      </c>
      <c r="H11" s="667"/>
      <c r="I11" s="668"/>
      <c r="J11" s="878"/>
      <c r="K11" s="879"/>
      <c r="L11" s="57"/>
      <c r="M11" s="727"/>
      <c r="N11" s="435"/>
      <c r="O11" s="93">
        <f t="shared" si="8"/>
        <v>0</v>
      </c>
      <c r="P11" s="94">
        <f t="shared" si="9"/>
        <v>0</v>
      </c>
      <c r="Q11" s="94">
        <f t="shared" si="10"/>
        <v>0</v>
      </c>
      <c r="R11" s="95">
        <f t="shared" si="11"/>
        <v>0</v>
      </c>
      <c r="S11" s="723"/>
      <c r="T11" s="113"/>
      <c r="U11" s="99"/>
      <c r="V11" s="724"/>
      <c r="W11" s="724"/>
      <c r="X11" s="100"/>
      <c r="Y11" s="102"/>
      <c r="Z11" s="113"/>
      <c r="AA11" s="99"/>
      <c r="AB11" s="100"/>
      <c r="AC11" s="102"/>
      <c r="AD11" s="101">
        <f t="shared" si="12"/>
        <v>0</v>
      </c>
      <c r="AE11" s="102"/>
      <c r="AF11" s="101">
        <f t="shared" si="13"/>
        <v>0</v>
      </c>
      <c r="AG11" s="102"/>
      <c r="AH11" s="103">
        <f t="shared" si="1"/>
        <v>0</v>
      </c>
      <c r="AI11" s="725"/>
      <c r="AK11" s="148"/>
    </row>
    <row r="12" spans="1:39" s="192" customFormat="1" ht="15" customHeight="1" x14ac:dyDescent="0.25">
      <c r="A12" s="167">
        <v>5</v>
      </c>
      <c r="B12" s="847"/>
      <c r="C12" s="848"/>
      <c r="D12" s="451"/>
      <c r="E12" s="499"/>
      <c r="F12" s="722"/>
      <c r="G12" s="105" t="str">
        <f t="shared" si="0"/>
        <v/>
      </c>
      <c r="H12" s="667"/>
      <c r="I12" s="668"/>
      <c r="J12" s="878"/>
      <c r="K12" s="879"/>
      <c r="L12" s="57"/>
      <c r="M12" s="727"/>
      <c r="N12" s="435"/>
      <c r="O12" s="93">
        <f t="shared" si="8"/>
        <v>0</v>
      </c>
      <c r="P12" s="94">
        <f t="shared" si="9"/>
        <v>0</v>
      </c>
      <c r="Q12" s="94">
        <f t="shared" si="10"/>
        <v>0</v>
      </c>
      <c r="R12" s="95">
        <f t="shared" si="11"/>
        <v>0</v>
      </c>
      <c r="S12" s="723"/>
      <c r="T12" s="113"/>
      <c r="U12" s="99"/>
      <c r="V12" s="724"/>
      <c r="W12" s="724"/>
      <c r="X12" s="100"/>
      <c r="Y12" s="102"/>
      <c r="Z12" s="113"/>
      <c r="AA12" s="99"/>
      <c r="AB12" s="100"/>
      <c r="AC12" s="102"/>
      <c r="AD12" s="101">
        <f t="shared" si="12"/>
        <v>0</v>
      </c>
      <c r="AE12" s="102"/>
      <c r="AF12" s="101">
        <f t="shared" si="13"/>
        <v>0</v>
      </c>
      <c r="AG12" s="102"/>
      <c r="AH12" s="103">
        <f t="shared" si="1"/>
        <v>0</v>
      </c>
      <c r="AI12" s="725"/>
      <c r="AK12" s="148"/>
    </row>
    <row r="13" spans="1:39" s="192" customFormat="1" ht="15" customHeight="1" x14ac:dyDescent="0.25">
      <c r="A13" s="167">
        <v>6</v>
      </c>
      <c r="B13" s="847"/>
      <c r="C13" s="848"/>
      <c r="D13" s="451"/>
      <c r="E13" s="499"/>
      <c r="F13" s="722"/>
      <c r="G13" s="105" t="str">
        <f t="shared" si="0"/>
        <v/>
      </c>
      <c r="H13" s="667"/>
      <c r="I13" s="668"/>
      <c r="J13" s="878"/>
      <c r="K13" s="879"/>
      <c r="L13" s="57"/>
      <c r="M13" s="727"/>
      <c r="N13" s="435"/>
      <c r="O13" s="93">
        <f t="shared" si="2"/>
        <v>0</v>
      </c>
      <c r="P13" s="94">
        <f t="shared" si="3"/>
        <v>0</v>
      </c>
      <c r="Q13" s="94">
        <f t="shared" si="4"/>
        <v>0</v>
      </c>
      <c r="R13" s="95">
        <f t="shared" si="5"/>
        <v>0</v>
      </c>
      <c r="S13" s="723"/>
      <c r="T13" s="113"/>
      <c r="U13" s="99"/>
      <c r="V13" s="724"/>
      <c r="W13" s="724"/>
      <c r="X13" s="100"/>
      <c r="Y13" s="102"/>
      <c r="Z13" s="113"/>
      <c r="AA13" s="99"/>
      <c r="AB13" s="100"/>
      <c r="AC13" s="102"/>
      <c r="AD13" s="101">
        <f t="shared" si="6"/>
        <v>0</v>
      </c>
      <c r="AE13" s="102"/>
      <c r="AF13" s="101">
        <f t="shared" si="7"/>
        <v>0</v>
      </c>
      <c r="AG13" s="102"/>
      <c r="AH13" s="103">
        <f t="shared" si="1"/>
        <v>0</v>
      </c>
      <c r="AI13" s="725"/>
      <c r="AK13" s="148"/>
    </row>
    <row r="14" spans="1:39" s="192" customFormat="1" ht="13.5" customHeight="1" x14ac:dyDescent="0.25">
      <c r="A14" s="167">
        <v>7</v>
      </c>
      <c r="B14" s="847" t="s">
        <v>1024</v>
      </c>
      <c r="C14" s="848"/>
      <c r="D14" s="451" t="s">
        <v>556</v>
      </c>
      <c r="E14" s="499"/>
      <c r="F14" s="722"/>
      <c r="G14" s="105" t="str">
        <f t="shared" si="0"/>
        <v xml:space="preserve"> 70-115-   -</v>
      </c>
      <c r="H14" s="667"/>
      <c r="I14" s="668"/>
      <c r="J14" s="878">
        <v>100</v>
      </c>
      <c r="K14" s="879"/>
      <c r="L14" s="57"/>
      <c r="M14" s="727"/>
      <c r="N14" s="435">
        <v>16</v>
      </c>
      <c r="O14" s="93">
        <f t="shared" si="2"/>
        <v>16</v>
      </c>
      <c r="P14" s="94">
        <f t="shared" si="3"/>
        <v>1600</v>
      </c>
      <c r="Q14" s="94">
        <f t="shared" si="4"/>
        <v>320</v>
      </c>
      <c r="R14" s="95">
        <f t="shared" si="5"/>
        <v>1920</v>
      </c>
      <c r="S14" s="723"/>
      <c r="T14" s="113"/>
      <c r="U14" s="99"/>
      <c r="V14" s="724"/>
      <c r="W14" s="724"/>
      <c r="X14" s="100"/>
      <c r="Y14" s="102"/>
      <c r="Z14" s="113"/>
      <c r="AA14" s="99"/>
      <c r="AB14" s="100"/>
      <c r="AC14" s="102"/>
      <c r="AD14" s="101">
        <f t="shared" si="6"/>
        <v>1600</v>
      </c>
      <c r="AE14" s="102"/>
      <c r="AF14" s="101">
        <f t="shared" si="7"/>
        <v>320</v>
      </c>
      <c r="AG14" s="102"/>
      <c r="AH14" s="103">
        <f t="shared" si="1"/>
        <v>1920</v>
      </c>
      <c r="AI14" s="725"/>
      <c r="AK14" s="148"/>
    </row>
    <row r="15" spans="1:39" s="192" customFormat="1" ht="15" customHeight="1" x14ac:dyDescent="0.25">
      <c r="A15" s="167">
        <v>8</v>
      </c>
      <c r="B15" s="847"/>
      <c r="C15" s="848"/>
      <c r="D15" s="451"/>
      <c r="E15" s="499"/>
      <c r="F15" s="722"/>
      <c r="G15" s="105" t="str">
        <f t="shared" si="0"/>
        <v/>
      </c>
      <c r="H15" s="667"/>
      <c r="I15" s="668"/>
      <c r="J15" s="878"/>
      <c r="K15" s="879"/>
      <c r="L15" s="57"/>
      <c r="M15" s="727"/>
      <c r="N15" s="435"/>
      <c r="O15" s="93">
        <f t="shared" ref="O15:O17" si="14">N15</f>
        <v>0</v>
      </c>
      <c r="P15" s="94">
        <f t="shared" ref="P15:P17" si="15">O15*J15</f>
        <v>0</v>
      </c>
      <c r="Q15" s="94">
        <f>P15*$V$3</f>
        <v>0</v>
      </c>
      <c r="R15" s="95">
        <f t="shared" ref="R15:R17" si="16">Q15+P15</f>
        <v>0</v>
      </c>
      <c r="S15" s="723"/>
      <c r="T15" s="113"/>
      <c r="U15" s="99"/>
      <c r="V15" s="724"/>
      <c r="W15" s="724"/>
      <c r="X15" s="100"/>
      <c r="Y15" s="102"/>
      <c r="Z15" s="113"/>
      <c r="AA15" s="99"/>
      <c r="AB15" s="100"/>
      <c r="AC15" s="102"/>
      <c r="AD15" s="101">
        <f t="shared" ref="AD15:AD17" si="17">Z15+V15+P15</f>
        <v>0</v>
      </c>
      <c r="AE15" s="102"/>
      <c r="AF15" s="101">
        <f t="shared" ref="AF15:AF17" si="18">W15+AA15+Q15</f>
        <v>0</v>
      </c>
      <c r="AG15" s="102"/>
      <c r="AH15" s="103">
        <f t="shared" si="1"/>
        <v>0</v>
      </c>
      <c r="AI15" s="725"/>
      <c r="AK15" s="148"/>
    </row>
    <row r="16" spans="1:39" s="192" customFormat="1" ht="13.5" customHeight="1" x14ac:dyDescent="0.25">
      <c r="A16" s="167">
        <v>9</v>
      </c>
      <c r="B16" s="847"/>
      <c r="C16" s="848"/>
      <c r="D16" s="451"/>
      <c r="E16" s="500"/>
      <c r="F16" s="728"/>
      <c r="G16" s="105" t="str">
        <f t="shared" si="0"/>
        <v/>
      </c>
      <c r="H16" s="667"/>
      <c r="I16" s="668"/>
      <c r="J16" s="878"/>
      <c r="K16" s="879"/>
      <c r="L16" s="57"/>
      <c r="M16" s="727"/>
      <c r="N16" s="435"/>
      <c r="O16" s="93">
        <f t="shared" si="14"/>
        <v>0</v>
      </c>
      <c r="P16" s="94">
        <f t="shared" si="15"/>
        <v>0</v>
      </c>
      <c r="Q16" s="94">
        <f>P16*$V$3</f>
        <v>0</v>
      </c>
      <c r="R16" s="95">
        <f t="shared" si="16"/>
        <v>0</v>
      </c>
      <c r="S16" s="723"/>
      <c r="T16" s="113"/>
      <c r="U16" s="99"/>
      <c r="V16" s="724"/>
      <c r="W16" s="724"/>
      <c r="X16" s="100"/>
      <c r="Y16" s="102"/>
      <c r="Z16" s="113"/>
      <c r="AA16" s="99"/>
      <c r="AB16" s="100"/>
      <c r="AC16" s="102"/>
      <c r="AD16" s="101">
        <f t="shared" si="17"/>
        <v>0</v>
      </c>
      <c r="AE16" s="102"/>
      <c r="AF16" s="101">
        <f t="shared" si="18"/>
        <v>0</v>
      </c>
      <c r="AG16" s="102"/>
      <c r="AH16" s="103">
        <f t="shared" si="1"/>
        <v>0</v>
      </c>
      <c r="AI16" s="725"/>
      <c r="AK16" s="148"/>
    </row>
    <row r="17" spans="1:40" s="192" customFormat="1" ht="13.5" customHeight="1" x14ac:dyDescent="0.25">
      <c r="A17" s="168">
        <v>10</v>
      </c>
      <c r="B17" s="842"/>
      <c r="C17" s="844"/>
      <c r="D17" s="658"/>
      <c r="E17" s="501"/>
      <c r="F17" s="728"/>
      <c r="G17" s="106" t="str">
        <f t="shared" si="0"/>
        <v/>
      </c>
      <c r="H17" s="667"/>
      <c r="I17" s="668"/>
      <c r="J17" s="876"/>
      <c r="K17" s="877"/>
      <c r="L17" s="57"/>
      <c r="M17" s="729"/>
      <c r="N17" s="498"/>
      <c r="O17" s="59">
        <f t="shared" si="14"/>
        <v>0</v>
      </c>
      <c r="P17" s="60">
        <f t="shared" si="15"/>
        <v>0</v>
      </c>
      <c r="Q17" s="60">
        <f>P17*$V$3</f>
        <v>0</v>
      </c>
      <c r="R17" s="61">
        <f t="shared" si="16"/>
        <v>0</v>
      </c>
      <c r="S17" s="57"/>
      <c r="T17" s="90"/>
      <c r="U17" s="65"/>
      <c r="V17" s="730"/>
      <c r="W17" s="730"/>
      <c r="X17" s="66"/>
      <c r="Y17" s="102"/>
      <c r="Z17" s="90"/>
      <c r="AA17" s="65"/>
      <c r="AB17" s="66"/>
      <c r="AC17" s="57"/>
      <c r="AD17" s="67">
        <f t="shared" si="17"/>
        <v>0</v>
      </c>
      <c r="AE17" s="57"/>
      <c r="AF17" s="67">
        <f t="shared" si="18"/>
        <v>0</v>
      </c>
      <c r="AG17" s="57"/>
      <c r="AH17" s="69">
        <f t="shared" si="1"/>
        <v>0</v>
      </c>
      <c r="AI17" s="725"/>
      <c r="AK17" s="125">
        <f>SUM(AH8:AH17)</f>
        <v>4240.32</v>
      </c>
    </row>
    <row r="18" spans="1:40" s="740" customFormat="1" ht="5.25" customHeight="1" x14ac:dyDescent="0.25">
      <c r="A18" s="731"/>
      <c r="B18" s="731"/>
      <c r="C18" s="731"/>
      <c r="D18" s="731"/>
      <c r="E18" s="732"/>
      <c r="F18" s="733"/>
      <c r="G18" s="731"/>
      <c r="H18" s="669"/>
      <c r="I18" s="669"/>
      <c r="J18" s="734"/>
      <c r="K18" s="735"/>
      <c r="L18" s="731"/>
      <c r="M18" s="736"/>
      <c r="N18" s="737"/>
      <c r="O18" s="736"/>
      <c r="P18" s="738"/>
      <c r="Q18" s="738"/>
      <c r="R18" s="738"/>
      <c r="S18" s="736"/>
      <c r="T18" s="738"/>
      <c r="U18" s="738"/>
      <c r="V18" s="738"/>
      <c r="W18" s="738"/>
      <c r="X18" s="738"/>
      <c r="Y18" s="738"/>
      <c r="Z18" s="738"/>
      <c r="AA18" s="738"/>
      <c r="AB18" s="738"/>
      <c r="AC18" s="738"/>
      <c r="AD18" s="738"/>
      <c r="AE18" s="738"/>
      <c r="AF18" s="738"/>
      <c r="AG18" s="738"/>
      <c r="AH18" s="738"/>
      <c r="AI18" s="739"/>
      <c r="AK18" s="176"/>
    </row>
    <row r="19" spans="1:40" s="720" customFormat="1" ht="13.5" customHeight="1" thickBot="1" x14ac:dyDescent="0.3">
      <c r="A19" s="704" t="s">
        <v>526</v>
      </c>
      <c r="B19" s="705"/>
      <c r="C19" s="705"/>
      <c r="D19" s="741"/>
      <c r="E19" s="742" t="s">
        <v>981</v>
      </c>
      <c r="F19" s="743" t="s">
        <v>982</v>
      </c>
      <c r="G19" s="744" t="s">
        <v>519</v>
      </c>
      <c r="H19" s="670" t="s">
        <v>981</v>
      </c>
      <c r="I19" s="671" t="s">
        <v>982</v>
      </c>
      <c r="J19" s="745" t="s">
        <v>7</v>
      </c>
      <c r="K19" s="746" t="s">
        <v>12</v>
      </c>
      <c r="L19" s="132"/>
      <c r="M19" s="747" t="s">
        <v>13</v>
      </c>
      <c r="N19" s="139" t="s">
        <v>14</v>
      </c>
      <c r="O19" s="139" t="s">
        <v>15</v>
      </c>
      <c r="P19" s="139" t="s">
        <v>16</v>
      </c>
      <c r="Q19" s="139" t="s">
        <v>9</v>
      </c>
      <c r="R19" s="140" t="s">
        <v>10</v>
      </c>
      <c r="S19" s="132"/>
      <c r="T19" s="748" t="s">
        <v>3</v>
      </c>
      <c r="U19" s="136" t="s">
        <v>559</v>
      </c>
      <c r="V19" s="136" t="s">
        <v>17</v>
      </c>
      <c r="W19" s="136" t="s">
        <v>9</v>
      </c>
      <c r="X19" s="137" t="s">
        <v>10</v>
      </c>
      <c r="Y19" s="749"/>
      <c r="Z19" s="750" t="s">
        <v>18</v>
      </c>
      <c r="AA19" s="130" t="s">
        <v>9</v>
      </c>
      <c r="AB19" s="131" t="s">
        <v>10</v>
      </c>
      <c r="AC19" s="751"/>
      <c r="AD19" s="133" t="s">
        <v>16</v>
      </c>
      <c r="AE19" s="447"/>
      <c r="AF19" s="133" t="s">
        <v>9</v>
      </c>
      <c r="AG19" s="134"/>
      <c r="AH19" s="135" t="s">
        <v>10</v>
      </c>
      <c r="AI19" s="719"/>
      <c r="AK19" s="175"/>
    </row>
    <row r="20" spans="1:40" s="192" customFormat="1" ht="13.5" customHeight="1" thickTop="1" x14ac:dyDescent="0.25">
      <c r="A20" s="169">
        <v>1</v>
      </c>
      <c r="B20" s="859" t="s">
        <v>1018</v>
      </c>
      <c r="C20" s="860"/>
      <c r="D20" s="861"/>
      <c r="E20" s="454" t="s">
        <v>812</v>
      </c>
      <c r="F20" s="454"/>
      <c r="G20" s="104" t="str">
        <f>IF(B20="","","30-030-101")</f>
        <v>30-030-101</v>
      </c>
      <c r="H20" s="672">
        <f>IF(E20="",$O$3,VLOOKUP(E20,$A$276:$B$289,2,FALSE))</f>
        <v>93.56</v>
      </c>
      <c r="I20" s="673">
        <f>IF(F20="",($O$3+$O$4),(VLOOKUP(F20,$A$276:$B$289,2,FALSE))+$O$4)</f>
        <v>96.64</v>
      </c>
      <c r="J20" s="415"/>
      <c r="K20" s="690"/>
      <c r="L20" s="57"/>
      <c r="M20" s="421">
        <v>240</v>
      </c>
      <c r="N20" s="416"/>
      <c r="O20" s="70">
        <f t="shared" ref="O20:O69" si="19">(N20+M20)</f>
        <v>240</v>
      </c>
      <c r="P20" s="71">
        <f>(M20*H20)+(N20*I20)</f>
        <v>22454.400000000001</v>
      </c>
      <c r="Q20" s="71">
        <f t="shared" ref="Q20:Q69" si="20">P20*$V$3</f>
        <v>4490.88</v>
      </c>
      <c r="R20" s="72">
        <f t="shared" ref="R20:R69" si="21">Q20+P20</f>
        <v>26945.280000000002</v>
      </c>
      <c r="S20" s="57"/>
      <c r="T20" s="307"/>
      <c r="U20" s="114"/>
      <c r="V20" s="73">
        <f t="shared" ref="V20:V69" si="22">(T20+U20)*(1+$X$4)</f>
        <v>0</v>
      </c>
      <c r="W20" s="74">
        <f t="shared" ref="W20:W69" si="23">V20*$X$3</f>
        <v>0</v>
      </c>
      <c r="X20" s="75">
        <f t="shared" ref="X20:X69" si="24">W20+V20</f>
        <v>0</v>
      </c>
      <c r="Y20" s="57"/>
      <c r="Z20" s="187"/>
      <c r="AA20" s="76">
        <f t="shared" ref="AA20:AA69" si="25">Z20*$V$4</f>
        <v>0</v>
      </c>
      <c r="AB20" s="77">
        <f t="shared" ref="AB20:AB69" si="26">AA20+Z20</f>
        <v>0</v>
      </c>
      <c r="AC20" s="57"/>
      <c r="AD20" s="56">
        <f>Z20+V20+P20</f>
        <v>22454.400000000001</v>
      </c>
      <c r="AE20" s="57"/>
      <c r="AF20" s="78">
        <f t="shared" ref="AF20:AF69" si="27">W20+AA20+Q20</f>
        <v>4490.88</v>
      </c>
      <c r="AG20" s="57"/>
      <c r="AH20" s="79">
        <f>AF20+Z20+V20+P20</f>
        <v>26945.280000000002</v>
      </c>
      <c r="AI20" s="725"/>
      <c r="AK20" s="148"/>
      <c r="AM20" s="752"/>
      <c r="AN20" s="752"/>
    </row>
    <row r="21" spans="1:40" s="192" customFormat="1" ht="13.5" customHeight="1" x14ac:dyDescent="0.25">
      <c r="A21" s="167">
        <v>2</v>
      </c>
      <c r="B21" s="852" t="s">
        <v>1019</v>
      </c>
      <c r="C21" s="853"/>
      <c r="D21" s="854"/>
      <c r="E21" s="455" t="s">
        <v>813</v>
      </c>
      <c r="F21" s="455"/>
      <c r="G21" s="105" t="str">
        <f>IF(B21="","","30-030-102")</f>
        <v>30-030-102</v>
      </c>
      <c r="H21" s="672">
        <f t="shared" ref="H21:H69" si="28">IF(E21="",$O$3,VLOOKUP(E21,$A$276:$B$289,2,FALSE))</f>
        <v>87.41</v>
      </c>
      <c r="I21" s="673">
        <f t="shared" ref="I21:I69" si="29">IF(F21="",($O$3+$O$4),(VLOOKUP(F21,$A$276:$B$289,2,FALSE))+$O$4)</f>
        <v>96.64</v>
      </c>
      <c r="J21" s="417"/>
      <c r="K21" s="418"/>
      <c r="L21" s="102"/>
      <c r="M21" s="422">
        <v>240</v>
      </c>
      <c r="N21" s="418"/>
      <c r="O21" s="93">
        <f t="shared" ref="O21:O55" si="30">(N21+M21)</f>
        <v>240</v>
      </c>
      <c r="P21" s="94">
        <f t="shared" ref="P21:P69" si="31">(M21*H21)+(N21*I21)</f>
        <v>20978.399999999998</v>
      </c>
      <c r="Q21" s="94">
        <f t="shared" ref="Q21:Q55" si="32">P21*$V$3</f>
        <v>4195.6799999999994</v>
      </c>
      <c r="R21" s="95">
        <f t="shared" ref="R21:R55" si="33">Q21+P21</f>
        <v>25174.079999999998</v>
      </c>
      <c r="S21" s="102"/>
      <c r="T21" s="308">
        <v>15300</v>
      </c>
      <c r="U21" s="115"/>
      <c r="V21" s="96">
        <f t="shared" ref="V21:V55" si="34">(T21+U21)*(1+$X$4)</f>
        <v>16615.800000000003</v>
      </c>
      <c r="W21" s="97">
        <f t="shared" ref="W21:W55" si="35">V21*$X$3</f>
        <v>3323.1600000000008</v>
      </c>
      <c r="X21" s="98">
        <f t="shared" ref="X21:X55" si="36">W21+V21</f>
        <v>19938.960000000003</v>
      </c>
      <c r="Y21" s="102"/>
      <c r="Z21" s="188">
        <v>25000</v>
      </c>
      <c r="AA21" s="99">
        <f t="shared" ref="AA21:AA55" si="37">Z21*$V$4</f>
        <v>5000</v>
      </c>
      <c r="AB21" s="100">
        <f t="shared" ref="AB21:AB55" si="38">AA21+Z21</f>
        <v>30000</v>
      </c>
      <c r="AC21" s="102"/>
      <c r="AD21" s="101">
        <f t="shared" ref="AD21:AD55" si="39">Z21+V21+P21</f>
        <v>62594.2</v>
      </c>
      <c r="AE21" s="102"/>
      <c r="AF21" s="101">
        <f t="shared" ref="AF21:AF55" si="40">W21+AA21+Q21</f>
        <v>12518.84</v>
      </c>
      <c r="AG21" s="102"/>
      <c r="AH21" s="103">
        <f t="shared" ref="AH21:AH55" si="41">AF21+Z21+V21+P21</f>
        <v>75113.039999999994</v>
      </c>
      <c r="AI21" s="725"/>
      <c r="AK21" s="148"/>
      <c r="AM21" s="752"/>
    </row>
    <row r="22" spans="1:40" s="192" customFormat="1" ht="13.5" customHeight="1" x14ac:dyDescent="0.25">
      <c r="A22" s="167">
        <v>3</v>
      </c>
      <c r="B22" s="852" t="s">
        <v>1023</v>
      </c>
      <c r="C22" s="853"/>
      <c r="D22" s="854"/>
      <c r="E22" s="455" t="s">
        <v>812</v>
      </c>
      <c r="F22" s="455"/>
      <c r="G22" s="105" t="str">
        <f>IF(B22="","","30-030-103")</f>
        <v>30-030-103</v>
      </c>
      <c r="H22" s="672">
        <f t="shared" si="28"/>
        <v>93.56</v>
      </c>
      <c r="I22" s="673">
        <f t="shared" si="29"/>
        <v>96.64</v>
      </c>
      <c r="J22" s="417"/>
      <c r="K22" s="418"/>
      <c r="L22" s="102"/>
      <c r="M22" s="422">
        <v>32</v>
      </c>
      <c r="N22" s="418"/>
      <c r="O22" s="93">
        <f t="shared" ref="O22:O43" si="42">(N22+M22)</f>
        <v>32</v>
      </c>
      <c r="P22" s="94">
        <f t="shared" si="31"/>
        <v>2993.92</v>
      </c>
      <c r="Q22" s="94">
        <f t="shared" ref="Q22:Q43" si="43">P22*$V$3</f>
        <v>598.78399999999999</v>
      </c>
      <c r="R22" s="95">
        <f t="shared" ref="R22:R43" si="44">Q22+P22</f>
        <v>3592.7040000000002</v>
      </c>
      <c r="S22" s="102"/>
      <c r="T22" s="308"/>
      <c r="U22" s="115"/>
      <c r="V22" s="96">
        <f t="shared" ref="V22:V43" si="45">(T22+U22)*(1+$X$4)</f>
        <v>0</v>
      </c>
      <c r="W22" s="97">
        <f t="shared" ref="W22:W43" si="46">V22*$X$3</f>
        <v>0</v>
      </c>
      <c r="X22" s="98">
        <f t="shared" ref="X22:X43" si="47">W22+V22</f>
        <v>0</v>
      </c>
      <c r="Y22" s="102"/>
      <c r="Z22" s="188"/>
      <c r="AA22" s="99">
        <f t="shared" ref="AA22:AA43" si="48">Z22*$V$4</f>
        <v>0</v>
      </c>
      <c r="AB22" s="100">
        <f t="shared" ref="AB22:AB43" si="49">AA22+Z22</f>
        <v>0</v>
      </c>
      <c r="AC22" s="102"/>
      <c r="AD22" s="101">
        <f t="shared" ref="AD22:AD43" si="50">Z22+V22+P22</f>
        <v>2993.92</v>
      </c>
      <c r="AE22" s="102"/>
      <c r="AF22" s="101">
        <f t="shared" ref="AF22:AF43" si="51">W22+AA22+Q22</f>
        <v>598.78399999999999</v>
      </c>
      <c r="AG22" s="102"/>
      <c r="AH22" s="103">
        <f t="shared" ref="AH22:AH43" si="52">AF22+Z22+V22+P22</f>
        <v>3592.7040000000002</v>
      </c>
      <c r="AI22" s="725"/>
      <c r="AK22" s="148"/>
    </row>
    <row r="23" spans="1:40" s="192" customFormat="1" ht="13.5" customHeight="1" x14ac:dyDescent="0.25">
      <c r="A23" s="167">
        <v>4</v>
      </c>
      <c r="B23" s="852"/>
      <c r="C23" s="853"/>
      <c r="D23" s="854"/>
      <c r="E23" s="455"/>
      <c r="F23" s="455"/>
      <c r="G23" s="105" t="str">
        <f>IF(B23="","","30-030-104")</f>
        <v/>
      </c>
      <c r="H23" s="672">
        <f t="shared" si="28"/>
        <v>88.64</v>
      </c>
      <c r="I23" s="673">
        <f t="shared" si="29"/>
        <v>96.64</v>
      </c>
      <c r="J23" s="417"/>
      <c r="K23" s="418"/>
      <c r="L23" s="102"/>
      <c r="M23" s="422"/>
      <c r="N23" s="418"/>
      <c r="O23" s="93">
        <f t="shared" si="42"/>
        <v>0</v>
      </c>
      <c r="P23" s="94">
        <f t="shared" si="31"/>
        <v>0</v>
      </c>
      <c r="Q23" s="94">
        <f t="shared" si="43"/>
        <v>0</v>
      </c>
      <c r="R23" s="95">
        <f t="shared" si="44"/>
        <v>0</v>
      </c>
      <c r="S23" s="102"/>
      <c r="T23" s="308"/>
      <c r="U23" s="115"/>
      <c r="V23" s="96">
        <f t="shared" si="45"/>
        <v>0</v>
      </c>
      <c r="W23" s="97">
        <f t="shared" si="46"/>
        <v>0</v>
      </c>
      <c r="X23" s="98">
        <f t="shared" si="47"/>
        <v>0</v>
      </c>
      <c r="Y23" s="102"/>
      <c r="Z23" s="188"/>
      <c r="AA23" s="99">
        <f t="shared" si="48"/>
        <v>0</v>
      </c>
      <c r="AB23" s="100">
        <f t="shared" si="49"/>
        <v>0</v>
      </c>
      <c r="AC23" s="102"/>
      <c r="AD23" s="101">
        <f t="shared" si="50"/>
        <v>0</v>
      </c>
      <c r="AE23" s="102"/>
      <c r="AF23" s="101">
        <f t="shared" si="51"/>
        <v>0</v>
      </c>
      <c r="AG23" s="102"/>
      <c r="AH23" s="103">
        <f t="shared" si="52"/>
        <v>0</v>
      </c>
      <c r="AI23" s="725"/>
      <c r="AK23" s="148"/>
    </row>
    <row r="24" spans="1:40" s="192" customFormat="1" ht="13.5" customHeight="1" x14ac:dyDescent="0.25">
      <c r="A24" s="167">
        <v>5</v>
      </c>
      <c r="B24" s="852"/>
      <c r="C24" s="853"/>
      <c r="D24" s="854"/>
      <c r="E24" s="455"/>
      <c r="F24" s="455"/>
      <c r="G24" s="105" t="str">
        <f>IF(B24="","","30-030-105")</f>
        <v/>
      </c>
      <c r="H24" s="672">
        <f t="shared" si="28"/>
        <v>88.64</v>
      </c>
      <c r="I24" s="673">
        <f t="shared" si="29"/>
        <v>96.64</v>
      </c>
      <c r="J24" s="417"/>
      <c r="K24" s="418"/>
      <c r="L24" s="102"/>
      <c r="M24" s="422"/>
      <c r="N24" s="418"/>
      <c r="O24" s="93">
        <f t="shared" si="42"/>
        <v>0</v>
      </c>
      <c r="P24" s="94">
        <f t="shared" si="31"/>
        <v>0</v>
      </c>
      <c r="Q24" s="94">
        <f t="shared" si="43"/>
        <v>0</v>
      </c>
      <c r="R24" s="95">
        <f t="shared" si="44"/>
        <v>0</v>
      </c>
      <c r="S24" s="102"/>
      <c r="T24" s="308"/>
      <c r="U24" s="115"/>
      <c r="V24" s="96">
        <f t="shared" si="45"/>
        <v>0</v>
      </c>
      <c r="W24" s="97">
        <f t="shared" si="46"/>
        <v>0</v>
      </c>
      <c r="X24" s="98">
        <f t="shared" si="47"/>
        <v>0</v>
      </c>
      <c r="Y24" s="102"/>
      <c r="Z24" s="188"/>
      <c r="AA24" s="99">
        <f t="shared" si="48"/>
        <v>0</v>
      </c>
      <c r="AB24" s="100">
        <f t="shared" si="49"/>
        <v>0</v>
      </c>
      <c r="AC24" s="102"/>
      <c r="AD24" s="101">
        <f t="shared" si="50"/>
        <v>0</v>
      </c>
      <c r="AE24" s="102"/>
      <c r="AF24" s="101">
        <f t="shared" si="51"/>
        <v>0</v>
      </c>
      <c r="AG24" s="102"/>
      <c r="AH24" s="103">
        <f t="shared" si="52"/>
        <v>0</v>
      </c>
      <c r="AI24" s="725"/>
      <c r="AK24" s="148"/>
    </row>
    <row r="25" spans="1:40" s="192" customFormat="1" ht="13.5" customHeight="1" x14ac:dyDescent="0.25">
      <c r="A25" s="167">
        <v>6</v>
      </c>
      <c r="B25" s="852"/>
      <c r="C25" s="853"/>
      <c r="D25" s="854"/>
      <c r="E25" s="455"/>
      <c r="F25" s="455"/>
      <c r="G25" s="105" t="str">
        <f>IF(B25="","","30-030-106")</f>
        <v/>
      </c>
      <c r="H25" s="672">
        <f t="shared" si="28"/>
        <v>88.64</v>
      </c>
      <c r="I25" s="673">
        <f t="shared" si="29"/>
        <v>96.64</v>
      </c>
      <c r="J25" s="417"/>
      <c r="K25" s="418"/>
      <c r="L25" s="102"/>
      <c r="M25" s="422"/>
      <c r="N25" s="418"/>
      <c r="O25" s="93">
        <f t="shared" si="42"/>
        <v>0</v>
      </c>
      <c r="P25" s="94">
        <f t="shared" si="31"/>
        <v>0</v>
      </c>
      <c r="Q25" s="94">
        <f t="shared" si="43"/>
        <v>0</v>
      </c>
      <c r="R25" s="95">
        <f t="shared" si="44"/>
        <v>0</v>
      </c>
      <c r="S25" s="102"/>
      <c r="T25" s="308"/>
      <c r="U25" s="115"/>
      <c r="V25" s="96">
        <f t="shared" si="45"/>
        <v>0</v>
      </c>
      <c r="W25" s="97">
        <f t="shared" si="46"/>
        <v>0</v>
      </c>
      <c r="X25" s="98">
        <f t="shared" si="47"/>
        <v>0</v>
      </c>
      <c r="Y25" s="102"/>
      <c r="Z25" s="188"/>
      <c r="AA25" s="99">
        <f t="shared" si="48"/>
        <v>0</v>
      </c>
      <c r="AB25" s="100">
        <f t="shared" si="49"/>
        <v>0</v>
      </c>
      <c r="AC25" s="102"/>
      <c r="AD25" s="101">
        <f t="shared" si="50"/>
        <v>0</v>
      </c>
      <c r="AE25" s="102"/>
      <c r="AF25" s="101">
        <f t="shared" si="51"/>
        <v>0</v>
      </c>
      <c r="AG25" s="102"/>
      <c r="AH25" s="103">
        <f t="shared" si="52"/>
        <v>0</v>
      </c>
      <c r="AI25" s="725"/>
      <c r="AK25" s="148"/>
    </row>
    <row r="26" spans="1:40" s="192" customFormat="1" ht="11.25" customHeight="1" x14ac:dyDescent="0.25">
      <c r="A26" s="167">
        <v>7</v>
      </c>
      <c r="B26" s="852"/>
      <c r="C26" s="853"/>
      <c r="D26" s="854"/>
      <c r="E26" s="455"/>
      <c r="F26" s="455"/>
      <c r="G26" s="105" t="str">
        <f>IF(B26="","","30-030-107")</f>
        <v/>
      </c>
      <c r="H26" s="672">
        <f t="shared" si="28"/>
        <v>88.64</v>
      </c>
      <c r="I26" s="673">
        <f t="shared" si="29"/>
        <v>96.64</v>
      </c>
      <c r="J26" s="417"/>
      <c r="K26" s="418"/>
      <c r="L26" s="102"/>
      <c r="M26" s="422"/>
      <c r="N26" s="418"/>
      <c r="O26" s="93">
        <f t="shared" si="42"/>
        <v>0</v>
      </c>
      <c r="P26" s="94">
        <f t="shared" si="31"/>
        <v>0</v>
      </c>
      <c r="Q26" s="94">
        <f t="shared" si="43"/>
        <v>0</v>
      </c>
      <c r="R26" s="95">
        <f t="shared" si="44"/>
        <v>0</v>
      </c>
      <c r="S26" s="102"/>
      <c r="T26" s="308"/>
      <c r="U26" s="115"/>
      <c r="V26" s="96">
        <f t="shared" si="45"/>
        <v>0</v>
      </c>
      <c r="W26" s="97">
        <f t="shared" si="46"/>
        <v>0</v>
      </c>
      <c r="X26" s="98">
        <f t="shared" si="47"/>
        <v>0</v>
      </c>
      <c r="Y26" s="102"/>
      <c r="Z26" s="188"/>
      <c r="AA26" s="99">
        <f t="shared" si="48"/>
        <v>0</v>
      </c>
      <c r="AB26" s="100">
        <f t="shared" si="49"/>
        <v>0</v>
      </c>
      <c r="AC26" s="102"/>
      <c r="AD26" s="101">
        <f t="shared" si="50"/>
        <v>0</v>
      </c>
      <c r="AE26" s="102"/>
      <c r="AF26" s="101">
        <f t="shared" si="51"/>
        <v>0</v>
      </c>
      <c r="AG26" s="102"/>
      <c r="AH26" s="103">
        <f t="shared" si="52"/>
        <v>0</v>
      </c>
      <c r="AI26" s="725"/>
      <c r="AK26" s="148"/>
    </row>
    <row r="27" spans="1:40" s="192" customFormat="1" ht="13.5" customHeight="1" x14ac:dyDescent="0.25">
      <c r="A27" s="167">
        <v>8</v>
      </c>
      <c r="B27" s="852"/>
      <c r="C27" s="853"/>
      <c r="D27" s="854"/>
      <c r="E27" s="455"/>
      <c r="F27" s="455"/>
      <c r="G27" s="105" t="str">
        <f>IF(B27="","","30-030-108")</f>
        <v/>
      </c>
      <c r="H27" s="672">
        <f t="shared" si="28"/>
        <v>88.64</v>
      </c>
      <c r="I27" s="673">
        <f t="shared" si="29"/>
        <v>96.64</v>
      </c>
      <c r="J27" s="417"/>
      <c r="K27" s="418"/>
      <c r="L27" s="102"/>
      <c r="M27" s="422"/>
      <c r="N27" s="418"/>
      <c r="O27" s="93">
        <f t="shared" si="42"/>
        <v>0</v>
      </c>
      <c r="P27" s="94">
        <f t="shared" si="31"/>
        <v>0</v>
      </c>
      <c r="Q27" s="94">
        <f t="shared" si="43"/>
        <v>0</v>
      </c>
      <c r="R27" s="95">
        <f t="shared" si="44"/>
        <v>0</v>
      </c>
      <c r="S27" s="102"/>
      <c r="T27" s="308"/>
      <c r="U27" s="115"/>
      <c r="V27" s="96">
        <f t="shared" si="45"/>
        <v>0</v>
      </c>
      <c r="W27" s="97">
        <f t="shared" si="46"/>
        <v>0</v>
      </c>
      <c r="X27" s="98">
        <f t="shared" si="47"/>
        <v>0</v>
      </c>
      <c r="Y27" s="102"/>
      <c r="Z27" s="188"/>
      <c r="AA27" s="99">
        <f t="shared" si="48"/>
        <v>0</v>
      </c>
      <c r="AB27" s="100">
        <f t="shared" si="49"/>
        <v>0</v>
      </c>
      <c r="AC27" s="102"/>
      <c r="AD27" s="101">
        <f t="shared" si="50"/>
        <v>0</v>
      </c>
      <c r="AE27" s="102"/>
      <c r="AF27" s="101">
        <f t="shared" si="51"/>
        <v>0</v>
      </c>
      <c r="AG27" s="102"/>
      <c r="AH27" s="103">
        <f t="shared" si="52"/>
        <v>0</v>
      </c>
      <c r="AI27" s="725"/>
      <c r="AK27" s="148"/>
    </row>
    <row r="28" spans="1:40" s="192" customFormat="1" ht="13.5" customHeight="1" x14ac:dyDescent="0.25">
      <c r="A28" s="167">
        <v>9</v>
      </c>
      <c r="B28" s="852"/>
      <c r="C28" s="853"/>
      <c r="D28" s="854"/>
      <c r="E28" s="455"/>
      <c r="F28" s="455"/>
      <c r="G28" s="105" t="str">
        <f>IF(B28="","","30-030-109")</f>
        <v/>
      </c>
      <c r="H28" s="672">
        <f t="shared" si="28"/>
        <v>88.64</v>
      </c>
      <c r="I28" s="673">
        <f t="shared" si="29"/>
        <v>96.64</v>
      </c>
      <c r="J28" s="417"/>
      <c r="K28" s="418"/>
      <c r="L28" s="102"/>
      <c r="M28" s="422"/>
      <c r="N28" s="418"/>
      <c r="O28" s="93">
        <f t="shared" ref="O28:O35" si="53">(N28+M28)</f>
        <v>0</v>
      </c>
      <c r="P28" s="94">
        <f t="shared" si="31"/>
        <v>0</v>
      </c>
      <c r="Q28" s="94">
        <f t="shared" ref="Q28:Q35" si="54">P28*$V$3</f>
        <v>0</v>
      </c>
      <c r="R28" s="95">
        <f t="shared" ref="R28:R35" si="55">Q28+P28</f>
        <v>0</v>
      </c>
      <c r="S28" s="102"/>
      <c r="T28" s="308"/>
      <c r="U28" s="115"/>
      <c r="V28" s="96">
        <f t="shared" ref="V28:V35" si="56">(T28+U28)*(1+$X$4)</f>
        <v>0</v>
      </c>
      <c r="W28" s="97">
        <f t="shared" ref="W28:W35" si="57">V28*$X$3</f>
        <v>0</v>
      </c>
      <c r="X28" s="98">
        <f t="shared" ref="X28:X35" si="58">W28+V28</f>
        <v>0</v>
      </c>
      <c r="Y28" s="102"/>
      <c r="Z28" s="188"/>
      <c r="AA28" s="99">
        <f t="shared" ref="AA28:AA35" si="59">Z28*$V$4</f>
        <v>0</v>
      </c>
      <c r="AB28" s="100">
        <f t="shared" ref="AB28:AB35" si="60">AA28+Z28</f>
        <v>0</v>
      </c>
      <c r="AC28" s="102"/>
      <c r="AD28" s="101">
        <f t="shared" ref="AD28:AD35" si="61">Z28+V28+P28</f>
        <v>0</v>
      </c>
      <c r="AE28" s="102"/>
      <c r="AF28" s="101">
        <f t="shared" ref="AF28:AF35" si="62">W28+AA28+Q28</f>
        <v>0</v>
      </c>
      <c r="AG28" s="102"/>
      <c r="AH28" s="103">
        <f t="shared" ref="AH28:AH35" si="63">AF28+Z28+V28+P28</f>
        <v>0</v>
      </c>
      <c r="AI28" s="725"/>
      <c r="AK28" s="148"/>
    </row>
    <row r="29" spans="1:40" s="192" customFormat="1" ht="13.5" hidden="1" customHeight="1" x14ac:dyDescent="0.25">
      <c r="A29" s="167">
        <v>10</v>
      </c>
      <c r="B29" s="852"/>
      <c r="C29" s="853"/>
      <c r="D29" s="854"/>
      <c r="E29" s="455"/>
      <c r="F29" s="455"/>
      <c r="G29" s="105" t="str">
        <f>IF(B29="","","30-030-110")</f>
        <v/>
      </c>
      <c r="H29" s="672">
        <f t="shared" si="28"/>
        <v>88.64</v>
      </c>
      <c r="I29" s="673">
        <f t="shared" si="29"/>
        <v>96.64</v>
      </c>
      <c r="J29" s="417"/>
      <c r="K29" s="418"/>
      <c r="L29" s="57"/>
      <c r="M29" s="422"/>
      <c r="N29" s="418"/>
      <c r="O29" s="86">
        <f t="shared" si="53"/>
        <v>0</v>
      </c>
      <c r="P29" s="94">
        <f t="shared" si="31"/>
        <v>0</v>
      </c>
      <c r="Q29" s="94">
        <f t="shared" si="54"/>
        <v>0</v>
      </c>
      <c r="R29" s="95">
        <f t="shared" si="55"/>
        <v>0</v>
      </c>
      <c r="S29" s="57"/>
      <c r="T29" s="456"/>
      <c r="U29" s="462"/>
      <c r="V29" s="96">
        <f t="shared" si="56"/>
        <v>0</v>
      </c>
      <c r="W29" s="97">
        <f t="shared" si="57"/>
        <v>0</v>
      </c>
      <c r="X29" s="98">
        <f t="shared" si="58"/>
        <v>0</v>
      </c>
      <c r="Y29" s="102"/>
      <c r="Z29" s="191"/>
      <c r="AA29" s="113">
        <f t="shared" si="59"/>
        <v>0</v>
      </c>
      <c r="AB29" s="100">
        <f t="shared" si="60"/>
        <v>0</v>
      </c>
      <c r="AC29" s="102"/>
      <c r="AD29" s="101">
        <f t="shared" si="61"/>
        <v>0</v>
      </c>
      <c r="AE29" s="102"/>
      <c r="AF29" s="101">
        <f t="shared" si="62"/>
        <v>0</v>
      </c>
      <c r="AG29" s="57"/>
      <c r="AH29" s="103">
        <f t="shared" si="63"/>
        <v>0</v>
      </c>
      <c r="AI29" s="725"/>
      <c r="AK29" s="148"/>
      <c r="AM29" s="753"/>
    </row>
    <row r="30" spans="1:40" s="192" customFormat="1" ht="13.5" hidden="1" customHeight="1" x14ac:dyDescent="0.25">
      <c r="A30" s="167">
        <v>11</v>
      </c>
      <c r="B30" s="852"/>
      <c r="C30" s="853"/>
      <c r="D30" s="854"/>
      <c r="E30" s="455"/>
      <c r="F30" s="455"/>
      <c r="G30" s="105" t="str">
        <f>IF(B30="","","30-030-111")</f>
        <v/>
      </c>
      <c r="H30" s="672">
        <f t="shared" si="28"/>
        <v>88.64</v>
      </c>
      <c r="I30" s="673">
        <f t="shared" si="29"/>
        <v>96.64</v>
      </c>
      <c r="J30" s="440"/>
      <c r="K30" s="418"/>
      <c r="L30" s="57"/>
      <c r="M30" s="442"/>
      <c r="N30" s="441"/>
      <c r="O30" s="93">
        <f t="shared" si="53"/>
        <v>0</v>
      </c>
      <c r="P30" s="94">
        <f t="shared" si="31"/>
        <v>0</v>
      </c>
      <c r="Q30" s="94">
        <f t="shared" si="54"/>
        <v>0</v>
      </c>
      <c r="R30" s="95">
        <f t="shared" si="55"/>
        <v>0</v>
      </c>
      <c r="S30" s="102"/>
      <c r="T30" s="309"/>
      <c r="U30" s="463"/>
      <c r="V30" s="96">
        <f t="shared" si="56"/>
        <v>0</v>
      </c>
      <c r="W30" s="97">
        <f t="shared" si="57"/>
        <v>0</v>
      </c>
      <c r="X30" s="98">
        <f t="shared" si="58"/>
        <v>0</v>
      </c>
      <c r="Y30" s="57"/>
      <c r="Z30" s="461"/>
      <c r="AA30" s="99">
        <f t="shared" si="59"/>
        <v>0</v>
      </c>
      <c r="AB30" s="100">
        <f t="shared" si="60"/>
        <v>0</v>
      </c>
      <c r="AC30" s="57"/>
      <c r="AD30" s="101">
        <f t="shared" si="61"/>
        <v>0</v>
      </c>
      <c r="AE30" s="57"/>
      <c r="AF30" s="101">
        <f t="shared" si="62"/>
        <v>0</v>
      </c>
      <c r="AG30" s="102"/>
      <c r="AH30" s="103">
        <f t="shared" si="63"/>
        <v>0</v>
      </c>
      <c r="AI30" s="725"/>
      <c r="AK30" s="148"/>
    </row>
    <row r="31" spans="1:40" s="192" customFormat="1" ht="13.5" hidden="1" customHeight="1" x14ac:dyDescent="0.25">
      <c r="A31" s="167">
        <v>12</v>
      </c>
      <c r="B31" s="852"/>
      <c r="C31" s="853"/>
      <c r="D31" s="854"/>
      <c r="E31" s="455"/>
      <c r="F31" s="455"/>
      <c r="G31" s="105" t="str">
        <f>IF(B31="","","30-030-112")</f>
        <v/>
      </c>
      <c r="H31" s="672">
        <f t="shared" si="28"/>
        <v>88.64</v>
      </c>
      <c r="I31" s="673">
        <f t="shared" si="29"/>
        <v>96.64</v>
      </c>
      <c r="J31" s="417"/>
      <c r="K31" s="418"/>
      <c r="L31" s="102"/>
      <c r="M31" s="422"/>
      <c r="N31" s="418"/>
      <c r="O31" s="93">
        <f t="shared" si="53"/>
        <v>0</v>
      </c>
      <c r="P31" s="94">
        <f t="shared" si="31"/>
        <v>0</v>
      </c>
      <c r="Q31" s="94">
        <f t="shared" si="54"/>
        <v>0</v>
      </c>
      <c r="R31" s="95">
        <f t="shared" si="55"/>
        <v>0</v>
      </c>
      <c r="S31" s="102"/>
      <c r="T31" s="308"/>
      <c r="U31" s="115"/>
      <c r="V31" s="96">
        <f t="shared" si="56"/>
        <v>0</v>
      </c>
      <c r="W31" s="97">
        <f t="shared" si="57"/>
        <v>0</v>
      </c>
      <c r="X31" s="98">
        <f t="shared" si="58"/>
        <v>0</v>
      </c>
      <c r="Y31" s="102"/>
      <c r="Z31" s="188"/>
      <c r="AA31" s="99">
        <f t="shared" si="59"/>
        <v>0</v>
      </c>
      <c r="AB31" s="100">
        <f t="shared" si="60"/>
        <v>0</v>
      </c>
      <c r="AC31" s="102"/>
      <c r="AD31" s="101">
        <f t="shared" si="61"/>
        <v>0</v>
      </c>
      <c r="AE31" s="102"/>
      <c r="AF31" s="101">
        <f t="shared" si="62"/>
        <v>0</v>
      </c>
      <c r="AG31" s="102"/>
      <c r="AH31" s="103">
        <f t="shared" si="63"/>
        <v>0</v>
      </c>
      <c r="AI31" s="725"/>
      <c r="AK31" s="148"/>
    </row>
    <row r="32" spans="1:40" s="192" customFormat="1" ht="13.5" hidden="1" customHeight="1" x14ac:dyDescent="0.25">
      <c r="A32" s="167">
        <v>13</v>
      </c>
      <c r="B32" s="852"/>
      <c r="C32" s="853"/>
      <c r="D32" s="854"/>
      <c r="E32" s="455"/>
      <c r="F32" s="455"/>
      <c r="G32" s="105" t="str">
        <f>IF(B32="","","30-030-113")</f>
        <v/>
      </c>
      <c r="H32" s="672">
        <f t="shared" si="28"/>
        <v>88.64</v>
      </c>
      <c r="I32" s="673">
        <f t="shared" si="29"/>
        <v>96.64</v>
      </c>
      <c r="J32" s="417"/>
      <c r="K32" s="418"/>
      <c r="L32" s="102"/>
      <c r="M32" s="422"/>
      <c r="N32" s="418"/>
      <c r="O32" s="93">
        <f t="shared" si="53"/>
        <v>0</v>
      </c>
      <c r="P32" s="94">
        <f t="shared" si="31"/>
        <v>0</v>
      </c>
      <c r="Q32" s="94">
        <f t="shared" si="54"/>
        <v>0</v>
      </c>
      <c r="R32" s="95">
        <f t="shared" si="55"/>
        <v>0</v>
      </c>
      <c r="S32" s="102"/>
      <c r="T32" s="308"/>
      <c r="U32" s="115"/>
      <c r="V32" s="96">
        <f t="shared" si="56"/>
        <v>0</v>
      </c>
      <c r="W32" s="97">
        <f t="shared" si="57"/>
        <v>0</v>
      </c>
      <c r="X32" s="98">
        <f t="shared" si="58"/>
        <v>0</v>
      </c>
      <c r="Y32" s="102"/>
      <c r="Z32" s="188"/>
      <c r="AA32" s="99">
        <f t="shared" si="59"/>
        <v>0</v>
      </c>
      <c r="AB32" s="100">
        <f t="shared" si="60"/>
        <v>0</v>
      </c>
      <c r="AC32" s="102"/>
      <c r="AD32" s="101">
        <f t="shared" si="61"/>
        <v>0</v>
      </c>
      <c r="AE32" s="102"/>
      <c r="AF32" s="101">
        <f t="shared" si="62"/>
        <v>0</v>
      </c>
      <c r="AG32" s="102"/>
      <c r="AH32" s="103">
        <f t="shared" si="63"/>
        <v>0</v>
      </c>
      <c r="AI32" s="725"/>
      <c r="AK32" s="148"/>
    </row>
    <row r="33" spans="1:39" s="192" customFormat="1" ht="13.5" hidden="1" customHeight="1" x14ac:dyDescent="0.25">
      <c r="A33" s="167">
        <v>14</v>
      </c>
      <c r="B33" s="852"/>
      <c r="C33" s="853"/>
      <c r="D33" s="854"/>
      <c r="E33" s="455"/>
      <c r="F33" s="455"/>
      <c r="G33" s="105" t="str">
        <f>IF(B33="","","30-030-114")</f>
        <v/>
      </c>
      <c r="H33" s="672">
        <f t="shared" si="28"/>
        <v>88.64</v>
      </c>
      <c r="I33" s="673">
        <f t="shared" si="29"/>
        <v>96.64</v>
      </c>
      <c r="J33" s="417"/>
      <c r="K33" s="418"/>
      <c r="L33" s="102"/>
      <c r="M33" s="422"/>
      <c r="N33" s="418"/>
      <c r="O33" s="93">
        <f t="shared" si="53"/>
        <v>0</v>
      </c>
      <c r="P33" s="94">
        <f t="shared" si="31"/>
        <v>0</v>
      </c>
      <c r="Q33" s="94">
        <f t="shared" si="54"/>
        <v>0</v>
      </c>
      <c r="R33" s="95">
        <f t="shared" si="55"/>
        <v>0</v>
      </c>
      <c r="S33" s="102"/>
      <c r="T33" s="308"/>
      <c r="U33" s="115"/>
      <c r="V33" s="96">
        <f t="shared" si="56"/>
        <v>0</v>
      </c>
      <c r="W33" s="97">
        <f t="shared" si="57"/>
        <v>0</v>
      </c>
      <c r="X33" s="98">
        <f t="shared" si="58"/>
        <v>0</v>
      </c>
      <c r="Y33" s="102"/>
      <c r="Z33" s="188"/>
      <c r="AA33" s="99">
        <f t="shared" si="59"/>
        <v>0</v>
      </c>
      <c r="AB33" s="100">
        <f t="shared" si="60"/>
        <v>0</v>
      </c>
      <c r="AC33" s="102"/>
      <c r="AD33" s="101">
        <f t="shared" si="61"/>
        <v>0</v>
      </c>
      <c r="AE33" s="102"/>
      <c r="AF33" s="101">
        <f t="shared" si="62"/>
        <v>0</v>
      </c>
      <c r="AG33" s="102"/>
      <c r="AH33" s="103">
        <f t="shared" si="63"/>
        <v>0</v>
      </c>
      <c r="AI33" s="725"/>
      <c r="AK33" s="148"/>
    </row>
    <row r="34" spans="1:39" s="192" customFormat="1" ht="13.5" hidden="1" customHeight="1" x14ac:dyDescent="0.25">
      <c r="A34" s="167">
        <v>15</v>
      </c>
      <c r="B34" s="852"/>
      <c r="C34" s="853"/>
      <c r="D34" s="854"/>
      <c r="E34" s="455"/>
      <c r="F34" s="455"/>
      <c r="G34" s="105" t="str">
        <f>IF(B34="","","30-030-115")</f>
        <v/>
      </c>
      <c r="H34" s="672">
        <f t="shared" si="28"/>
        <v>88.64</v>
      </c>
      <c r="I34" s="673">
        <f t="shared" si="29"/>
        <v>96.64</v>
      </c>
      <c r="J34" s="417"/>
      <c r="K34" s="418"/>
      <c r="L34" s="102"/>
      <c r="M34" s="422"/>
      <c r="N34" s="418"/>
      <c r="O34" s="93">
        <f t="shared" si="53"/>
        <v>0</v>
      </c>
      <c r="P34" s="94">
        <f t="shared" si="31"/>
        <v>0</v>
      </c>
      <c r="Q34" s="94">
        <f t="shared" si="54"/>
        <v>0</v>
      </c>
      <c r="R34" s="95">
        <f t="shared" si="55"/>
        <v>0</v>
      </c>
      <c r="S34" s="102"/>
      <c r="T34" s="308"/>
      <c r="U34" s="115"/>
      <c r="V34" s="96">
        <f t="shared" si="56"/>
        <v>0</v>
      </c>
      <c r="W34" s="97">
        <f t="shared" si="57"/>
        <v>0</v>
      </c>
      <c r="X34" s="98">
        <f t="shared" si="58"/>
        <v>0</v>
      </c>
      <c r="Y34" s="102"/>
      <c r="Z34" s="188"/>
      <c r="AA34" s="99">
        <f t="shared" si="59"/>
        <v>0</v>
      </c>
      <c r="AB34" s="100">
        <f t="shared" si="60"/>
        <v>0</v>
      </c>
      <c r="AC34" s="102"/>
      <c r="AD34" s="101">
        <f t="shared" si="61"/>
        <v>0</v>
      </c>
      <c r="AE34" s="102"/>
      <c r="AF34" s="101">
        <f t="shared" si="62"/>
        <v>0</v>
      </c>
      <c r="AG34" s="102"/>
      <c r="AH34" s="103">
        <f t="shared" si="63"/>
        <v>0</v>
      </c>
      <c r="AI34" s="725"/>
      <c r="AK34" s="148"/>
      <c r="AM34" s="752"/>
    </row>
    <row r="35" spans="1:39" s="192" customFormat="1" ht="13.5" hidden="1" customHeight="1" x14ac:dyDescent="0.25">
      <c r="A35" s="167">
        <v>16</v>
      </c>
      <c r="B35" s="852"/>
      <c r="C35" s="853"/>
      <c r="D35" s="854"/>
      <c r="E35" s="455"/>
      <c r="F35" s="455"/>
      <c r="G35" s="105" t="str">
        <f>IF(B35="","","30-030-116")</f>
        <v/>
      </c>
      <c r="H35" s="672">
        <f t="shared" si="28"/>
        <v>88.64</v>
      </c>
      <c r="I35" s="673">
        <f t="shared" si="29"/>
        <v>96.64</v>
      </c>
      <c r="J35" s="417"/>
      <c r="K35" s="418"/>
      <c r="L35" s="102"/>
      <c r="M35" s="422"/>
      <c r="N35" s="418"/>
      <c r="O35" s="93">
        <f t="shared" si="53"/>
        <v>0</v>
      </c>
      <c r="P35" s="94">
        <f t="shared" si="31"/>
        <v>0</v>
      </c>
      <c r="Q35" s="94">
        <f t="shared" si="54"/>
        <v>0</v>
      </c>
      <c r="R35" s="95">
        <f t="shared" si="55"/>
        <v>0</v>
      </c>
      <c r="S35" s="102"/>
      <c r="T35" s="308"/>
      <c r="U35" s="115"/>
      <c r="V35" s="96">
        <f t="shared" si="56"/>
        <v>0</v>
      </c>
      <c r="W35" s="97">
        <f t="shared" si="57"/>
        <v>0</v>
      </c>
      <c r="X35" s="98">
        <f t="shared" si="58"/>
        <v>0</v>
      </c>
      <c r="Y35" s="102"/>
      <c r="Z35" s="188"/>
      <c r="AA35" s="99">
        <f t="shared" si="59"/>
        <v>0</v>
      </c>
      <c r="AB35" s="100">
        <f t="shared" si="60"/>
        <v>0</v>
      </c>
      <c r="AC35" s="102"/>
      <c r="AD35" s="101">
        <f t="shared" si="61"/>
        <v>0</v>
      </c>
      <c r="AE35" s="102"/>
      <c r="AF35" s="101">
        <f t="shared" si="62"/>
        <v>0</v>
      </c>
      <c r="AG35" s="102"/>
      <c r="AH35" s="103">
        <f t="shared" si="63"/>
        <v>0</v>
      </c>
      <c r="AI35" s="725"/>
      <c r="AK35" s="148"/>
    </row>
    <row r="36" spans="1:39" s="192" customFormat="1" ht="13.5" hidden="1" customHeight="1" x14ac:dyDescent="0.25">
      <c r="A36" s="167">
        <v>17</v>
      </c>
      <c r="B36" s="852"/>
      <c r="C36" s="853"/>
      <c r="D36" s="854"/>
      <c r="E36" s="455"/>
      <c r="F36" s="455"/>
      <c r="G36" s="105" t="str">
        <f>IF(B36="","","30-030-117")</f>
        <v/>
      </c>
      <c r="H36" s="672">
        <f t="shared" si="28"/>
        <v>88.64</v>
      </c>
      <c r="I36" s="673">
        <f t="shared" si="29"/>
        <v>96.64</v>
      </c>
      <c r="J36" s="417"/>
      <c r="K36" s="418"/>
      <c r="L36" s="102"/>
      <c r="M36" s="422"/>
      <c r="N36" s="418"/>
      <c r="O36" s="93">
        <f t="shared" si="42"/>
        <v>0</v>
      </c>
      <c r="P36" s="94">
        <f t="shared" si="31"/>
        <v>0</v>
      </c>
      <c r="Q36" s="94">
        <f t="shared" si="43"/>
        <v>0</v>
      </c>
      <c r="R36" s="95">
        <f t="shared" si="44"/>
        <v>0</v>
      </c>
      <c r="S36" s="102"/>
      <c r="T36" s="308"/>
      <c r="U36" s="115"/>
      <c r="V36" s="96">
        <f t="shared" si="45"/>
        <v>0</v>
      </c>
      <c r="W36" s="97">
        <f t="shared" si="46"/>
        <v>0</v>
      </c>
      <c r="X36" s="98">
        <f t="shared" si="47"/>
        <v>0</v>
      </c>
      <c r="Y36" s="102"/>
      <c r="Z36" s="188"/>
      <c r="AA36" s="99">
        <f t="shared" si="48"/>
        <v>0</v>
      </c>
      <c r="AB36" s="100">
        <f t="shared" si="49"/>
        <v>0</v>
      </c>
      <c r="AC36" s="102"/>
      <c r="AD36" s="101">
        <f t="shared" si="50"/>
        <v>0</v>
      </c>
      <c r="AE36" s="102"/>
      <c r="AF36" s="101">
        <f t="shared" si="51"/>
        <v>0</v>
      </c>
      <c r="AG36" s="102"/>
      <c r="AH36" s="103">
        <f t="shared" si="52"/>
        <v>0</v>
      </c>
      <c r="AI36" s="725"/>
      <c r="AK36" s="148"/>
    </row>
    <row r="37" spans="1:39" s="192" customFormat="1" ht="13.5" hidden="1" customHeight="1" x14ac:dyDescent="0.25">
      <c r="A37" s="167">
        <v>18</v>
      </c>
      <c r="B37" s="852"/>
      <c r="C37" s="853"/>
      <c r="D37" s="854"/>
      <c r="E37" s="455"/>
      <c r="F37" s="455"/>
      <c r="G37" s="105" t="str">
        <f>IF(B37="","","30-030-118")</f>
        <v/>
      </c>
      <c r="H37" s="672">
        <f t="shared" si="28"/>
        <v>88.64</v>
      </c>
      <c r="I37" s="673">
        <f t="shared" si="29"/>
        <v>96.64</v>
      </c>
      <c r="J37" s="417"/>
      <c r="K37" s="418"/>
      <c r="L37" s="57"/>
      <c r="M37" s="422"/>
      <c r="N37" s="418"/>
      <c r="O37" s="86">
        <f t="shared" si="42"/>
        <v>0</v>
      </c>
      <c r="P37" s="94">
        <f t="shared" si="31"/>
        <v>0</v>
      </c>
      <c r="Q37" s="94">
        <f t="shared" si="43"/>
        <v>0</v>
      </c>
      <c r="R37" s="95">
        <f t="shared" si="44"/>
        <v>0</v>
      </c>
      <c r="S37" s="57"/>
      <c r="T37" s="456"/>
      <c r="U37" s="462"/>
      <c r="V37" s="96">
        <f t="shared" si="45"/>
        <v>0</v>
      </c>
      <c r="W37" s="97">
        <f t="shared" si="46"/>
        <v>0</v>
      </c>
      <c r="X37" s="98">
        <f t="shared" si="47"/>
        <v>0</v>
      </c>
      <c r="Y37" s="102"/>
      <c r="Z37" s="191"/>
      <c r="AA37" s="113">
        <f t="shared" si="48"/>
        <v>0</v>
      </c>
      <c r="AB37" s="100">
        <f t="shared" si="49"/>
        <v>0</v>
      </c>
      <c r="AC37" s="102"/>
      <c r="AD37" s="101">
        <f t="shared" si="50"/>
        <v>0</v>
      </c>
      <c r="AE37" s="102"/>
      <c r="AF37" s="101">
        <f t="shared" si="51"/>
        <v>0</v>
      </c>
      <c r="AG37" s="57"/>
      <c r="AH37" s="103">
        <f t="shared" si="52"/>
        <v>0</v>
      </c>
      <c r="AI37" s="725"/>
      <c r="AK37" s="148"/>
      <c r="AM37" s="753"/>
    </row>
    <row r="38" spans="1:39" s="192" customFormat="1" ht="13.5" hidden="1" customHeight="1" x14ac:dyDescent="0.25">
      <c r="A38" s="167">
        <v>19</v>
      </c>
      <c r="B38" s="852"/>
      <c r="C38" s="853"/>
      <c r="D38" s="854"/>
      <c r="E38" s="455"/>
      <c r="F38" s="455"/>
      <c r="G38" s="105" t="str">
        <f>IF(B38="","","30-030-119")</f>
        <v/>
      </c>
      <c r="H38" s="672">
        <f t="shared" si="28"/>
        <v>88.64</v>
      </c>
      <c r="I38" s="673">
        <f t="shared" si="29"/>
        <v>96.64</v>
      </c>
      <c r="J38" s="440"/>
      <c r="K38" s="418"/>
      <c r="L38" s="57"/>
      <c r="M38" s="442"/>
      <c r="N38" s="441"/>
      <c r="O38" s="93">
        <f t="shared" si="42"/>
        <v>0</v>
      </c>
      <c r="P38" s="94">
        <f t="shared" si="31"/>
        <v>0</v>
      </c>
      <c r="Q38" s="94">
        <f t="shared" si="43"/>
        <v>0</v>
      </c>
      <c r="R38" s="95">
        <f t="shared" si="44"/>
        <v>0</v>
      </c>
      <c r="S38" s="102"/>
      <c r="T38" s="309"/>
      <c r="U38" s="463"/>
      <c r="V38" s="96">
        <f t="shared" si="45"/>
        <v>0</v>
      </c>
      <c r="W38" s="97">
        <f t="shared" si="46"/>
        <v>0</v>
      </c>
      <c r="X38" s="98">
        <f t="shared" si="47"/>
        <v>0</v>
      </c>
      <c r="Y38" s="57"/>
      <c r="Z38" s="461"/>
      <c r="AA38" s="99">
        <f t="shared" si="48"/>
        <v>0</v>
      </c>
      <c r="AB38" s="100">
        <f t="shared" si="49"/>
        <v>0</v>
      </c>
      <c r="AC38" s="57"/>
      <c r="AD38" s="101">
        <f t="shared" si="50"/>
        <v>0</v>
      </c>
      <c r="AE38" s="57"/>
      <c r="AF38" s="101">
        <f t="shared" si="51"/>
        <v>0</v>
      </c>
      <c r="AG38" s="102"/>
      <c r="AH38" s="103">
        <f t="shared" si="52"/>
        <v>0</v>
      </c>
      <c r="AI38" s="725"/>
      <c r="AK38" s="148"/>
    </row>
    <row r="39" spans="1:39" s="192" customFormat="1" ht="13.5" hidden="1" customHeight="1" x14ac:dyDescent="0.25">
      <c r="A39" s="167">
        <v>20</v>
      </c>
      <c r="B39" s="852"/>
      <c r="C39" s="853"/>
      <c r="D39" s="854"/>
      <c r="E39" s="455"/>
      <c r="F39" s="455"/>
      <c r="G39" s="105" t="str">
        <f>IF(B39="","","30-030-120")</f>
        <v/>
      </c>
      <c r="H39" s="672">
        <f t="shared" si="28"/>
        <v>88.64</v>
      </c>
      <c r="I39" s="673">
        <f t="shared" si="29"/>
        <v>96.64</v>
      </c>
      <c r="J39" s="417"/>
      <c r="K39" s="418"/>
      <c r="L39" s="102"/>
      <c r="M39" s="422"/>
      <c r="N39" s="418"/>
      <c r="O39" s="93">
        <f t="shared" si="42"/>
        <v>0</v>
      </c>
      <c r="P39" s="94">
        <f t="shared" si="31"/>
        <v>0</v>
      </c>
      <c r="Q39" s="94">
        <f t="shared" si="43"/>
        <v>0</v>
      </c>
      <c r="R39" s="95">
        <f t="shared" si="44"/>
        <v>0</v>
      </c>
      <c r="S39" s="102"/>
      <c r="T39" s="308"/>
      <c r="U39" s="115"/>
      <c r="V39" s="96">
        <f t="shared" si="45"/>
        <v>0</v>
      </c>
      <c r="W39" s="97">
        <f t="shared" si="46"/>
        <v>0</v>
      </c>
      <c r="X39" s="98">
        <f t="shared" si="47"/>
        <v>0</v>
      </c>
      <c r="Y39" s="102"/>
      <c r="Z39" s="188"/>
      <c r="AA39" s="99">
        <f t="shared" si="48"/>
        <v>0</v>
      </c>
      <c r="AB39" s="100">
        <f t="shared" si="49"/>
        <v>0</v>
      </c>
      <c r="AC39" s="102"/>
      <c r="AD39" s="101">
        <f t="shared" si="50"/>
        <v>0</v>
      </c>
      <c r="AE39" s="102"/>
      <c r="AF39" s="101">
        <f t="shared" si="51"/>
        <v>0</v>
      </c>
      <c r="AG39" s="102"/>
      <c r="AH39" s="103">
        <f t="shared" si="52"/>
        <v>0</v>
      </c>
      <c r="AI39" s="725"/>
      <c r="AK39" s="148"/>
    </row>
    <row r="40" spans="1:39" s="192" customFormat="1" ht="13.5" hidden="1" customHeight="1" x14ac:dyDescent="0.25">
      <c r="A40" s="167">
        <v>21</v>
      </c>
      <c r="B40" s="852"/>
      <c r="C40" s="853"/>
      <c r="D40" s="854"/>
      <c r="E40" s="455"/>
      <c r="F40" s="455"/>
      <c r="G40" s="105" t="str">
        <f>IF(B40="","","30-030-121")</f>
        <v/>
      </c>
      <c r="H40" s="672">
        <f t="shared" si="28"/>
        <v>88.64</v>
      </c>
      <c r="I40" s="673">
        <f t="shared" si="29"/>
        <v>96.64</v>
      </c>
      <c r="J40" s="417"/>
      <c r="K40" s="418"/>
      <c r="L40" s="102"/>
      <c r="M40" s="422"/>
      <c r="N40" s="418"/>
      <c r="O40" s="93">
        <f t="shared" si="42"/>
        <v>0</v>
      </c>
      <c r="P40" s="94">
        <f t="shared" si="31"/>
        <v>0</v>
      </c>
      <c r="Q40" s="94">
        <f t="shared" si="43"/>
        <v>0</v>
      </c>
      <c r="R40" s="95">
        <f t="shared" si="44"/>
        <v>0</v>
      </c>
      <c r="S40" s="102"/>
      <c r="T40" s="308"/>
      <c r="U40" s="115"/>
      <c r="V40" s="96">
        <f t="shared" si="45"/>
        <v>0</v>
      </c>
      <c r="W40" s="97">
        <f t="shared" si="46"/>
        <v>0</v>
      </c>
      <c r="X40" s="98">
        <f t="shared" si="47"/>
        <v>0</v>
      </c>
      <c r="Y40" s="102"/>
      <c r="Z40" s="188"/>
      <c r="AA40" s="99">
        <f t="shared" si="48"/>
        <v>0</v>
      </c>
      <c r="AB40" s="100">
        <f t="shared" si="49"/>
        <v>0</v>
      </c>
      <c r="AC40" s="102"/>
      <c r="AD40" s="101">
        <f t="shared" si="50"/>
        <v>0</v>
      </c>
      <c r="AE40" s="102"/>
      <c r="AF40" s="101">
        <f t="shared" si="51"/>
        <v>0</v>
      </c>
      <c r="AG40" s="102"/>
      <c r="AH40" s="103">
        <f t="shared" si="52"/>
        <v>0</v>
      </c>
      <c r="AI40" s="725"/>
      <c r="AK40" s="148"/>
    </row>
    <row r="41" spans="1:39" s="192" customFormat="1" ht="13.5" hidden="1" customHeight="1" x14ac:dyDescent="0.25">
      <c r="A41" s="167">
        <v>22</v>
      </c>
      <c r="B41" s="852"/>
      <c r="C41" s="853"/>
      <c r="D41" s="854"/>
      <c r="E41" s="455"/>
      <c r="F41" s="455"/>
      <c r="G41" s="105" t="str">
        <f>IF(B41="","","30-030-122")</f>
        <v/>
      </c>
      <c r="H41" s="672">
        <f t="shared" si="28"/>
        <v>88.64</v>
      </c>
      <c r="I41" s="673">
        <f t="shared" si="29"/>
        <v>96.64</v>
      </c>
      <c r="J41" s="417"/>
      <c r="K41" s="418"/>
      <c r="L41" s="102"/>
      <c r="M41" s="422"/>
      <c r="N41" s="418"/>
      <c r="O41" s="93">
        <f t="shared" si="42"/>
        <v>0</v>
      </c>
      <c r="P41" s="94">
        <f t="shared" si="31"/>
        <v>0</v>
      </c>
      <c r="Q41" s="94">
        <f t="shared" si="43"/>
        <v>0</v>
      </c>
      <c r="R41" s="95">
        <f t="shared" si="44"/>
        <v>0</v>
      </c>
      <c r="S41" s="102"/>
      <c r="T41" s="308"/>
      <c r="U41" s="115"/>
      <c r="V41" s="96">
        <f t="shared" si="45"/>
        <v>0</v>
      </c>
      <c r="W41" s="97">
        <f t="shared" si="46"/>
        <v>0</v>
      </c>
      <c r="X41" s="98">
        <f t="shared" si="47"/>
        <v>0</v>
      </c>
      <c r="Y41" s="102"/>
      <c r="Z41" s="188"/>
      <c r="AA41" s="99">
        <f t="shared" si="48"/>
        <v>0</v>
      </c>
      <c r="AB41" s="100">
        <f t="shared" si="49"/>
        <v>0</v>
      </c>
      <c r="AC41" s="102"/>
      <c r="AD41" s="101">
        <f t="shared" si="50"/>
        <v>0</v>
      </c>
      <c r="AE41" s="102"/>
      <c r="AF41" s="101">
        <f t="shared" si="51"/>
        <v>0</v>
      </c>
      <c r="AG41" s="102"/>
      <c r="AH41" s="103">
        <f t="shared" si="52"/>
        <v>0</v>
      </c>
      <c r="AI41" s="725"/>
      <c r="AK41" s="148"/>
    </row>
    <row r="42" spans="1:39" s="192" customFormat="1" ht="13.5" hidden="1" customHeight="1" x14ac:dyDescent="0.25">
      <c r="A42" s="167">
        <v>23</v>
      </c>
      <c r="B42" s="852"/>
      <c r="C42" s="853"/>
      <c r="D42" s="854"/>
      <c r="E42" s="455"/>
      <c r="F42" s="455"/>
      <c r="G42" s="105" t="str">
        <f>IF(B42="","","30-030-123")</f>
        <v/>
      </c>
      <c r="H42" s="672">
        <f t="shared" si="28"/>
        <v>88.64</v>
      </c>
      <c r="I42" s="673">
        <f t="shared" si="29"/>
        <v>96.64</v>
      </c>
      <c r="J42" s="417"/>
      <c r="K42" s="418"/>
      <c r="L42" s="102"/>
      <c r="M42" s="422"/>
      <c r="N42" s="418"/>
      <c r="O42" s="93">
        <f t="shared" si="42"/>
        <v>0</v>
      </c>
      <c r="P42" s="94">
        <f t="shared" si="31"/>
        <v>0</v>
      </c>
      <c r="Q42" s="94">
        <f t="shared" si="43"/>
        <v>0</v>
      </c>
      <c r="R42" s="95">
        <f t="shared" si="44"/>
        <v>0</v>
      </c>
      <c r="S42" s="102"/>
      <c r="T42" s="308"/>
      <c r="U42" s="115"/>
      <c r="V42" s="96">
        <f t="shared" si="45"/>
        <v>0</v>
      </c>
      <c r="W42" s="97">
        <f t="shared" si="46"/>
        <v>0</v>
      </c>
      <c r="X42" s="98">
        <f t="shared" si="47"/>
        <v>0</v>
      </c>
      <c r="Y42" s="102"/>
      <c r="Z42" s="188"/>
      <c r="AA42" s="99">
        <f t="shared" si="48"/>
        <v>0</v>
      </c>
      <c r="AB42" s="100">
        <f t="shared" si="49"/>
        <v>0</v>
      </c>
      <c r="AC42" s="102"/>
      <c r="AD42" s="101">
        <f t="shared" si="50"/>
        <v>0</v>
      </c>
      <c r="AE42" s="102"/>
      <c r="AF42" s="101">
        <f t="shared" si="51"/>
        <v>0</v>
      </c>
      <c r="AG42" s="102"/>
      <c r="AH42" s="103">
        <f t="shared" si="52"/>
        <v>0</v>
      </c>
      <c r="AI42" s="725"/>
      <c r="AK42" s="148"/>
      <c r="AM42" s="752"/>
    </row>
    <row r="43" spans="1:39" s="192" customFormat="1" ht="13.5" hidden="1" customHeight="1" x14ac:dyDescent="0.25">
      <c r="A43" s="167">
        <v>24</v>
      </c>
      <c r="B43" s="852"/>
      <c r="C43" s="853"/>
      <c r="D43" s="854"/>
      <c r="E43" s="455"/>
      <c r="F43" s="455"/>
      <c r="G43" s="105" t="str">
        <f>IF(B43="","","30-030-124")</f>
        <v/>
      </c>
      <c r="H43" s="672">
        <f t="shared" si="28"/>
        <v>88.64</v>
      </c>
      <c r="I43" s="673">
        <f t="shared" si="29"/>
        <v>96.64</v>
      </c>
      <c r="J43" s="417"/>
      <c r="K43" s="418"/>
      <c r="L43" s="102"/>
      <c r="M43" s="422"/>
      <c r="N43" s="418"/>
      <c r="O43" s="93">
        <f t="shared" si="42"/>
        <v>0</v>
      </c>
      <c r="P43" s="94">
        <f t="shared" si="31"/>
        <v>0</v>
      </c>
      <c r="Q43" s="94">
        <f t="shared" si="43"/>
        <v>0</v>
      </c>
      <c r="R43" s="95">
        <f t="shared" si="44"/>
        <v>0</v>
      </c>
      <c r="S43" s="102"/>
      <c r="T43" s="308"/>
      <c r="U43" s="115"/>
      <c r="V43" s="96">
        <f t="shared" si="45"/>
        <v>0</v>
      </c>
      <c r="W43" s="97">
        <f t="shared" si="46"/>
        <v>0</v>
      </c>
      <c r="X43" s="98">
        <f t="shared" si="47"/>
        <v>0</v>
      </c>
      <c r="Y43" s="102"/>
      <c r="Z43" s="188"/>
      <c r="AA43" s="99">
        <f t="shared" si="48"/>
        <v>0</v>
      </c>
      <c r="AB43" s="100">
        <f t="shared" si="49"/>
        <v>0</v>
      </c>
      <c r="AC43" s="102"/>
      <c r="AD43" s="101">
        <f t="shared" si="50"/>
        <v>0</v>
      </c>
      <c r="AE43" s="102"/>
      <c r="AF43" s="101">
        <f t="shared" si="51"/>
        <v>0</v>
      </c>
      <c r="AG43" s="102"/>
      <c r="AH43" s="103">
        <f t="shared" si="52"/>
        <v>0</v>
      </c>
      <c r="AI43" s="725"/>
      <c r="AK43" s="148"/>
    </row>
    <row r="44" spans="1:39" s="192" customFormat="1" ht="13.5" hidden="1" customHeight="1" x14ac:dyDescent="0.25">
      <c r="A44" s="167">
        <v>25</v>
      </c>
      <c r="B44" s="852"/>
      <c r="C44" s="853"/>
      <c r="D44" s="854"/>
      <c r="E44" s="455"/>
      <c r="F44" s="455"/>
      <c r="G44" s="105" t="str">
        <f>IF(B44="","","30-030-125")</f>
        <v/>
      </c>
      <c r="H44" s="672">
        <f t="shared" si="28"/>
        <v>88.64</v>
      </c>
      <c r="I44" s="673">
        <f t="shared" si="29"/>
        <v>96.64</v>
      </c>
      <c r="J44" s="417"/>
      <c r="K44" s="418"/>
      <c r="L44" s="102"/>
      <c r="M44" s="422"/>
      <c r="N44" s="418"/>
      <c r="O44" s="93">
        <f t="shared" si="30"/>
        <v>0</v>
      </c>
      <c r="P44" s="94">
        <f t="shared" si="31"/>
        <v>0</v>
      </c>
      <c r="Q44" s="94">
        <f t="shared" si="32"/>
        <v>0</v>
      </c>
      <c r="R44" s="95">
        <f t="shared" si="33"/>
        <v>0</v>
      </c>
      <c r="S44" s="102"/>
      <c r="T44" s="308"/>
      <c r="U44" s="115"/>
      <c r="V44" s="96">
        <f t="shared" si="34"/>
        <v>0</v>
      </c>
      <c r="W44" s="97">
        <f t="shared" si="35"/>
        <v>0</v>
      </c>
      <c r="X44" s="98">
        <f t="shared" si="36"/>
        <v>0</v>
      </c>
      <c r="Y44" s="102"/>
      <c r="Z44" s="188"/>
      <c r="AA44" s="99">
        <f t="shared" si="37"/>
        <v>0</v>
      </c>
      <c r="AB44" s="100">
        <f t="shared" si="38"/>
        <v>0</v>
      </c>
      <c r="AC44" s="102"/>
      <c r="AD44" s="101">
        <f t="shared" si="39"/>
        <v>0</v>
      </c>
      <c r="AE44" s="102"/>
      <c r="AF44" s="101">
        <f t="shared" si="40"/>
        <v>0</v>
      </c>
      <c r="AG44" s="102"/>
      <c r="AH44" s="103">
        <f t="shared" si="41"/>
        <v>0</v>
      </c>
      <c r="AI44" s="725"/>
      <c r="AK44" s="148"/>
    </row>
    <row r="45" spans="1:39" s="192" customFormat="1" ht="13.5" hidden="1" customHeight="1" x14ac:dyDescent="0.25">
      <c r="A45" s="167">
        <v>26</v>
      </c>
      <c r="B45" s="852"/>
      <c r="C45" s="853"/>
      <c r="D45" s="854"/>
      <c r="E45" s="455"/>
      <c r="F45" s="455"/>
      <c r="G45" s="105" t="str">
        <f>IF(B45="","","30-030-126")</f>
        <v/>
      </c>
      <c r="H45" s="672">
        <f t="shared" si="28"/>
        <v>88.64</v>
      </c>
      <c r="I45" s="673">
        <f t="shared" si="29"/>
        <v>96.64</v>
      </c>
      <c r="J45" s="417"/>
      <c r="K45" s="418"/>
      <c r="L45" s="102"/>
      <c r="M45" s="422"/>
      <c r="N45" s="418"/>
      <c r="O45" s="93">
        <f t="shared" si="30"/>
        <v>0</v>
      </c>
      <c r="P45" s="94">
        <f t="shared" si="31"/>
        <v>0</v>
      </c>
      <c r="Q45" s="94">
        <f t="shared" si="32"/>
        <v>0</v>
      </c>
      <c r="R45" s="95">
        <f t="shared" si="33"/>
        <v>0</v>
      </c>
      <c r="S45" s="102"/>
      <c r="T45" s="308"/>
      <c r="U45" s="115"/>
      <c r="V45" s="96">
        <f t="shared" si="34"/>
        <v>0</v>
      </c>
      <c r="W45" s="97">
        <f t="shared" si="35"/>
        <v>0</v>
      </c>
      <c r="X45" s="98">
        <f t="shared" si="36"/>
        <v>0</v>
      </c>
      <c r="Y45" s="102"/>
      <c r="Z45" s="188"/>
      <c r="AA45" s="99">
        <f t="shared" si="37"/>
        <v>0</v>
      </c>
      <c r="AB45" s="100">
        <f t="shared" si="38"/>
        <v>0</v>
      </c>
      <c r="AC45" s="102"/>
      <c r="AD45" s="101">
        <f t="shared" si="39"/>
        <v>0</v>
      </c>
      <c r="AE45" s="102"/>
      <c r="AF45" s="101">
        <f t="shared" si="40"/>
        <v>0</v>
      </c>
      <c r="AG45" s="102"/>
      <c r="AH45" s="103">
        <f t="shared" si="41"/>
        <v>0</v>
      </c>
      <c r="AI45" s="725"/>
      <c r="AK45" s="148"/>
    </row>
    <row r="46" spans="1:39" s="192" customFormat="1" ht="13.5" hidden="1" customHeight="1" x14ac:dyDescent="0.25">
      <c r="A46" s="167">
        <v>27</v>
      </c>
      <c r="B46" s="852"/>
      <c r="C46" s="853"/>
      <c r="D46" s="854"/>
      <c r="E46" s="455"/>
      <c r="F46" s="455"/>
      <c r="G46" s="105" t="str">
        <f>IF(B46="","","30-030-127")</f>
        <v/>
      </c>
      <c r="H46" s="672">
        <f t="shared" si="28"/>
        <v>88.64</v>
      </c>
      <c r="I46" s="673">
        <f t="shared" si="29"/>
        <v>96.64</v>
      </c>
      <c r="J46" s="417"/>
      <c r="K46" s="418"/>
      <c r="L46" s="102"/>
      <c r="M46" s="422"/>
      <c r="N46" s="418"/>
      <c r="O46" s="93">
        <f t="shared" si="30"/>
        <v>0</v>
      </c>
      <c r="P46" s="94">
        <f t="shared" si="31"/>
        <v>0</v>
      </c>
      <c r="Q46" s="94">
        <f t="shared" si="32"/>
        <v>0</v>
      </c>
      <c r="R46" s="95">
        <f t="shared" si="33"/>
        <v>0</v>
      </c>
      <c r="S46" s="102"/>
      <c r="T46" s="308"/>
      <c r="U46" s="115"/>
      <c r="V46" s="96">
        <f t="shared" si="34"/>
        <v>0</v>
      </c>
      <c r="W46" s="97">
        <f t="shared" si="35"/>
        <v>0</v>
      </c>
      <c r="X46" s="98">
        <f t="shared" si="36"/>
        <v>0</v>
      </c>
      <c r="Y46" s="102"/>
      <c r="Z46" s="188"/>
      <c r="AA46" s="99">
        <f t="shared" si="37"/>
        <v>0</v>
      </c>
      <c r="AB46" s="100">
        <f t="shared" si="38"/>
        <v>0</v>
      </c>
      <c r="AC46" s="102"/>
      <c r="AD46" s="101">
        <f t="shared" si="39"/>
        <v>0</v>
      </c>
      <c r="AE46" s="102"/>
      <c r="AF46" s="101">
        <f t="shared" si="40"/>
        <v>0</v>
      </c>
      <c r="AG46" s="102"/>
      <c r="AH46" s="103">
        <f t="shared" si="41"/>
        <v>0</v>
      </c>
      <c r="AI46" s="725"/>
      <c r="AK46" s="148"/>
    </row>
    <row r="47" spans="1:39" s="192" customFormat="1" ht="13.5" hidden="1" customHeight="1" x14ac:dyDescent="0.25">
      <c r="A47" s="167">
        <v>28</v>
      </c>
      <c r="B47" s="852"/>
      <c r="C47" s="853"/>
      <c r="D47" s="854"/>
      <c r="E47" s="455"/>
      <c r="F47" s="455"/>
      <c r="G47" s="105" t="str">
        <f>IF(B47="","","30-030-128")</f>
        <v/>
      </c>
      <c r="H47" s="672">
        <f t="shared" si="28"/>
        <v>88.64</v>
      </c>
      <c r="I47" s="673">
        <f t="shared" si="29"/>
        <v>96.64</v>
      </c>
      <c r="J47" s="417"/>
      <c r="K47" s="418"/>
      <c r="L47" s="102"/>
      <c r="M47" s="422"/>
      <c r="N47" s="418"/>
      <c r="O47" s="93">
        <f t="shared" si="30"/>
        <v>0</v>
      </c>
      <c r="P47" s="94">
        <f t="shared" si="31"/>
        <v>0</v>
      </c>
      <c r="Q47" s="94">
        <f t="shared" si="32"/>
        <v>0</v>
      </c>
      <c r="R47" s="95">
        <f t="shared" si="33"/>
        <v>0</v>
      </c>
      <c r="S47" s="102"/>
      <c r="T47" s="308"/>
      <c r="U47" s="115"/>
      <c r="V47" s="96">
        <f t="shared" si="34"/>
        <v>0</v>
      </c>
      <c r="W47" s="97">
        <f t="shared" si="35"/>
        <v>0</v>
      </c>
      <c r="X47" s="98">
        <f t="shared" si="36"/>
        <v>0</v>
      </c>
      <c r="Y47" s="102"/>
      <c r="Z47" s="188"/>
      <c r="AA47" s="99">
        <f t="shared" si="37"/>
        <v>0</v>
      </c>
      <c r="AB47" s="100">
        <f t="shared" si="38"/>
        <v>0</v>
      </c>
      <c r="AC47" s="102"/>
      <c r="AD47" s="101">
        <f t="shared" si="39"/>
        <v>0</v>
      </c>
      <c r="AE47" s="102"/>
      <c r="AF47" s="101">
        <f t="shared" si="40"/>
        <v>0</v>
      </c>
      <c r="AG47" s="102"/>
      <c r="AH47" s="103">
        <f t="shared" si="41"/>
        <v>0</v>
      </c>
      <c r="AI47" s="725"/>
      <c r="AK47" s="148"/>
    </row>
    <row r="48" spans="1:39" s="192" customFormat="1" ht="13.5" hidden="1" customHeight="1" x14ac:dyDescent="0.25">
      <c r="A48" s="167">
        <v>29</v>
      </c>
      <c r="B48" s="852"/>
      <c r="C48" s="853"/>
      <c r="D48" s="854"/>
      <c r="E48" s="455"/>
      <c r="F48" s="455"/>
      <c r="G48" s="105" t="str">
        <f>IF(B48="","","30-030-129")</f>
        <v/>
      </c>
      <c r="H48" s="672">
        <f t="shared" si="28"/>
        <v>88.64</v>
      </c>
      <c r="I48" s="673">
        <f t="shared" si="29"/>
        <v>96.64</v>
      </c>
      <c r="J48" s="417"/>
      <c r="K48" s="418"/>
      <c r="L48" s="102"/>
      <c r="M48" s="422"/>
      <c r="N48" s="418"/>
      <c r="O48" s="93">
        <f t="shared" si="30"/>
        <v>0</v>
      </c>
      <c r="P48" s="94">
        <f t="shared" si="31"/>
        <v>0</v>
      </c>
      <c r="Q48" s="94">
        <f t="shared" si="32"/>
        <v>0</v>
      </c>
      <c r="R48" s="95">
        <f t="shared" si="33"/>
        <v>0</v>
      </c>
      <c r="S48" s="102"/>
      <c r="T48" s="308"/>
      <c r="U48" s="115"/>
      <c r="V48" s="96">
        <f t="shared" si="34"/>
        <v>0</v>
      </c>
      <c r="W48" s="97">
        <f t="shared" si="35"/>
        <v>0</v>
      </c>
      <c r="X48" s="98">
        <f t="shared" si="36"/>
        <v>0</v>
      </c>
      <c r="Y48" s="102"/>
      <c r="Z48" s="188"/>
      <c r="AA48" s="99">
        <f t="shared" si="37"/>
        <v>0</v>
      </c>
      <c r="AB48" s="100">
        <f t="shared" si="38"/>
        <v>0</v>
      </c>
      <c r="AC48" s="102"/>
      <c r="AD48" s="101">
        <f t="shared" si="39"/>
        <v>0</v>
      </c>
      <c r="AE48" s="102"/>
      <c r="AF48" s="101">
        <f t="shared" si="40"/>
        <v>0</v>
      </c>
      <c r="AG48" s="102"/>
      <c r="AH48" s="103">
        <f t="shared" si="41"/>
        <v>0</v>
      </c>
      <c r="AI48" s="725"/>
      <c r="AK48" s="148"/>
    </row>
    <row r="49" spans="1:39" s="192" customFormat="1" ht="13.5" hidden="1" customHeight="1" x14ac:dyDescent="0.25">
      <c r="A49" s="167">
        <v>30</v>
      </c>
      <c r="B49" s="852"/>
      <c r="C49" s="853"/>
      <c r="D49" s="854"/>
      <c r="E49" s="455"/>
      <c r="F49" s="455"/>
      <c r="G49" s="105" t="str">
        <f>IF(B49="","","30-030-130")</f>
        <v/>
      </c>
      <c r="H49" s="672">
        <f t="shared" si="28"/>
        <v>88.64</v>
      </c>
      <c r="I49" s="673">
        <f t="shared" si="29"/>
        <v>96.64</v>
      </c>
      <c r="J49" s="417"/>
      <c r="K49" s="418"/>
      <c r="L49" s="102"/>
      <c r="M49" s="422"/>
      <c r="N49" s="418"/>
      <c r="O49" s="93">
        <f t="shared" si="30"/>
        <v>0</v>
      </c>
      <c r="P49" s="94">
        <f t="shared" si="31"/>
        <v>0</v>
      </c>
      <c r="Q49" s="94">
        <f t="shared" si="32"/>
        <v>0</v>
      </c>
      <c r="R49" s="95">
        <f t="shared" si="33"/>
        <v>0</v>
      </c>
      <c r="S49" s="102"/>
      <c r="T49" s="308"/>
      <c r="U49" s="115"/>
      <c r="V49" s="96">
        <f t="shared" si="34"/>
        <v>0</v>
      </c>
      <c r="W49" s="97">
        <f t="shared" si="35"/>
        <v>0</v>
      </c>
      <c r="X49" s="98">
        <f t="shared" si="36"/>
        <v>0</v>
      </c>
      <c r="Y49" s="102"/>
      <c r="Z49" s="188"/>
      <c r="AA49" s="99">
        <f t="shared" si="37"/>
        <v>0</v>
      </c>
      <c r="AB49" s="100">
        <f t="shared" si="38"/>
        <v>0</v>
      </c>
      <c r="AC49" s="102"/>
      <c r="AD49" s="101">
        <f t="shared" si="39"/>
        <v>0</v>
      </c>
      <c r="AE49" s="102"/>
      <c r="AF49" s="101">
        <f t="shared" si="40"/>
        <v>0</v>
      </c>
      <c r="AG49" s="102"/>
      <c r="AH49" s="103">
        <f t="shared" si="41"/>
        <v>0</v>
      </c>
      <c r="AI49" s="725"/>
      <c r="AK49" s="148"/>
    </row>
    <row r="50" spans="1:39" s="192" customFormat="1" ht="13.5" hidden="1" customHeight="1" x14ac:dyDescent="0.25">
      <c r="A50" s="167">
        <v>31</v>
      </c>
      <c r="B50" s="852"/>
      <c r="C50" s="853"/>
      <c r="D50" s="854"/>
      <c r="E50" s="455"/>
      <c r="F50" s="455"/>
      <c r="G50" s="105" t="str">
        <f>IF(B50="","","30-030-131")</f>
        <v/>
      </c>
      <c r="H50" s="672">
        <f t="shared" si="28"/>
        <v>88.64</v>
      </c>
      <c r="I50" s="673">
        <f t="shared" si="29"/>
        <v>96.64</v>
      </c>
      <c r="J50" s="417"/>
      <c r="K50" s="418"/>
      <c r="L50" s="102"/>
      <c r="M50" s="422"/>
      <c r="N50" s="418"/>
      <c r="O50" s="93">
        <f t="shared" si="30"/>
        <v>0</v>
      </c>
      <c r="P50" s="94">
        <f t="shared" si="31"/>
        <v>0</v>
      </c>
      <c r="Q50" s="94">
        <f t="shared" si="32"/>
        <v>0</v>
      </c>
      <c r="R50" s="95">
        <f t="shared" si="33"/>
        <v>0</v>
      </c>
      <c r="S50" s="102"/>
      <c r="T50" s="308"/>
      <c r="U50" s="115"/>
      <c r="V50" s="96">
        <f t="shared" si="34"/>
        <v>0</v>
      </c>
      <c r="W50" s="97">
        <f t="shared" si="35"/>
        <v>0</v>
      </c>
      <c r="X50" s="98">
        <f t="shared" si="36"/>
        <v>0</v>
      </c>
      <c r="Y50" s="102"/>
      <c r="Z50" s="188"/>
      <c r="AA50" s="99">
        <f t="shared" si="37"/>
        <v>0</v>
      </c>
      <c r="AB50" s="100">
        <f t="shared" si="38"/>
        <v>0</v>
      </c>
      <c r="AC50" s="102"/>
      <c r="AD50" s="101">
        <f t="shared" si="39"/>
        <v>0</v>
      </c>
      <c r="AE50" s="102"/>
      <c r="AF50" s="101">
        <f t="shared" si="40"/>
        <v>0</v>
      </c>
      <c r="AG50" s="102"/>
      <c r="AH50" s="103">
        <f t="shared" si="41"/>
        <v>0</v>
      </c>
      <c r="AI50" s="725"/>
      <c r="AK50" s="148"/>
    </row>
    <row r="51" spans="1:39" s="192" customFormat="1" ht="13.5" hidden="1" customHeight="1" x14ac:dyDescent="0.25">
      <c r="A51" s="167">
        <v>32</v>
      </c>
      <c r="B51" s="852"/>
      <c r="C51" s="853"/>
      <c r="D51" s="854"/>
      <c r="E51" s="455"/>
      <c r="F51" s="455"/>
      <c r="G51" s="105" t="str">
        <f>IF(B51="","","30-030-132")</f>
        <v/>
      </c>
      <c r="H51" s="672">
        <f t="shared" si="28"/>
        <v>88.64</v>
      </c>
      <c r="I51" s="673">
        <f t="shared" si="29"/>
        <v>96.64</v>
      </c>
      <c r="J51" s="417"/>
      <c r="K51" s="418"/>
      <c r="L51" s="57"/>
      <c r="M51" s="422"/>
      <c r="N51" s="418"/>
      <c r="O51" s="86">
        <f t="shared" si="30"/>
        <v>0</v>
      </c>
      <c r="P51" s="94">
        <f t="shared" si="31"/>
        <v>0</v>
      </c>
      <c r="Q51" s="94">
        <f t="shared" si="32"/>
        <v>0</v>
      </c>
      <c r="R51" s="95">
        <f t="shared" si="33"/>
        <v>0</v>
      </c>
      <c r="S51" s="57"/>
      <c r="T51" s="456"/>
      <c r="U51" s="462"/>
      <c r="V51" s="96">
        <f t="shared" si="34"/>
        <v>0</v>
      </c>
      <c r="W51" s="97">
        <f t="shared" si="35"/>
        <v>0</v>
      </c>
      <c r="X51" s="98">
        <f t="shared" si="36"/>
        <v>0</v>
      </c>
      <c r="Y51" s="102"/>
      <c r="Z51" s="191"/>
      <c r="AA51" s="113">
        <f t="shared" si="37"/>
        <v>0</v>
      </c>
      <c r="AB51" s="100">
        <f t="shared" si="38"/>
        <v>0</v>
      </c>
      <c r="AC51" s="102"/>
      <c r="AD51" s="101">
        <f t="shared" si="39"/>
        <v>0</v>
      </c>
      <c r="AE51" s="102"/>
      <c r="AF51" s="101">
        <f t="shared" si="40"/>
        <v>0</v>
      </c>
      <c r="AG51" s="57"/>
      <c r="AH51" s="103">
        <f t="shared" si="41"/>
        <v>0</v>
      </c>
      <c r="AI51" s="725"/>
      <c r="AK51" s="148"/>
      <c r="AM51" s="753"/>
    </row>
    <row r="52" spans="1:39" s="192" customFormat="1" ht="13.5" hidden="1" customHeight="1" x14ac:dyDescent="0.25">
      <c r="A52" s="167">
        <v>33</v>
      </c>
      <c r="B52" s="852"/>
      <c r="C52" s="853"/>
      <c r="D52" s="854"/>
      <c r="E52" s="455"/>
      <c r="F52" s="455"/>
      <c r="G52" s="105" t="str">
        <f>IF(B52="","","30-030-133")</f>
        <v/>
      </c>
      <c r="H52" s="672">
        <f t="shared" si="28"/>
        <v>88.64</v>
      </c>
      <c r="I52" s="673">
        <f t="shared" si="29"/>
        <v>96.64</v>
      </c>
      <c r="J52" s="440"/>
      <c r="K52" s="418"/>
      <c r="L52" s="57"/>
      <c r="M52" s="442"/>
      <c r="N52" s="441"/>
      <c r="O52" s="93">
        <f t="shared" si="30"/>
        <v>0</v>
      </c>
      <c r="P52" s="94">
        <f t="shared" si="31"/>
        <v>0</v>
      </c>
      <c r="Q52" s="94">
        <f t="shared" si="32"/>
        <v>0</v>
      </c>
      <c r="R52" s="95">
        <f t="shared" si="33"/>
        <v>0</v>
      </c>
      <c r="S52" s="102"/>
      <c r="T52" s="309"/>
      <c r="U52" s="463"/>
      <c r="V52" s="96">
        <f t="shared" si="34"/>
        <v>0</v>
      </c>
      <c r="W52" s="97">
        <f t="shared" si="35"/>
        <v>0</v>
      </c>
      <c r="X52" s="98">
        <f t="shared" si="36"/>
        <v>0</v>
      </c>
      <c r="Y52" s="57"/>
      <c r="Z52" s="461"/>
      <c r="AA52" s="99">
        <f t="shared" si="37"/>
        <v>0</v>
      </c>
      <c r="AB52" s="100">
        <f t="shared" si="38"/>
        <v>0</v>
      </c>
      <c r="AC52" s="57"/>
      <c r="AD52" s="101">
        <f t="shared" si="39"/>
        <v>0</v>
      </c>
      <c r="AE52" s="57"/>
      <c r="AF52" s="101">
        <f t="shared" si="40"/>
        <v>0</v>
      </c>
      <c r="AG52" s="102"/>
      <c r="AH52" s="103">
        <f t="shared" si="41"/>
        <v>0</v>
      </c>
      <c r="AI52" s="725"/>
      <c r="AK52" s="148"/>
    </row>
    <row r="53" spans="1:39" s="192" customFormat="1" ht="13.5" hidden="1" customHeight="1" x14ac:dyDescent="0.25">
      <c r="A53" s="167">
        <v>34</v>
      </c>
      <c r="B53" s="852"/>
      <c r="C53" s="853"/>
      <c r="D53" s="854"/>
      <c r="E53" s="455"/>
      <c r="F53" s="455"/>
      <c r="G53" s="105" t="str">
        <f>IF(B53="","","30-030-134")</f>
        <v/>
      </c>
      <c r="H53" s="672">
        <f t="shared" si="28"/>
        <v>88.64</v>
      </c>
      <c r="I53" s="673">
        <f t="shared" si="29"/>
        <v>96.64</v>
      </c>
      <c r="J53" s="417"/>
      <c r="K53" s="418"/>
      <c r="L53" s="102"/>
      <c r="M53" s="422"/>
      <c r="N53" s="418"/>
      <c r="O53" s="93">
        <f t="shared" si="30"/>
        <v>0</v>
      </c>
      <c r="P53" s="94">
        <f t="shared" si="31"/>
        <v>0</v>
      </c>
      <c r="Q53" s="94">
        <f t="shared" si="32"/>
        <v>0</v>
      </c>
      <c r="R53" s="95">
        <f t="shared" si="33"/>
        <v>0</v>
      </c>
      <c r="S53" s="102"/>
      <c r="T53" s="308"/>
      <c r="U53" s="115"/>
      <c r="V53" s="96">
        <f t="shared" si="34"/>
        <v>0</v>
      </c>
      <c r="W53" s="97">
        <f t="shared" si="35"/>
        <v>0</v>
      </c>
      <c r="X53" s="98">
        <f t="shared" si="36"/>
        <v>0</v>
      </c>
      <c r="Y53" s="102"/>
      <c r="Z53" s="188"/>
      <c r="AA53" s="99">
        <f t="shared" si="37"/>
        <v>0</v>
      </c>
      <c r="AB53" s="100">
        <f t="shared" si="38"/>
        <v>0</v>
      </c>
      <c r="AC53" s="102"/>
      <c r="AD53" s="101">
        <f t="shared" si="39"/>
        <v>0</v>
      </c>
      <c r="AE53" s="102"/>
      <c r="AF53" s="101">
        <f t="shared" si="40"/>
        <v>0</v>
      </c>
      <c r="AG53" s="102"/>
      <c r="AH53" s="103">
        <f t="shared" si="41"/>
        <v>0</v>
      </c>
      <c r="AI53" s="725"/>
      <c r="AK53" s="148"/>
    </row>
    <row r="54" spans="1:39" s="192" customFormat="1" ht="13.5" hidden="1" customHeight="1" x14ac:dyDescent="0.25">
      <c r="A54" s="167">
        <v>35</v>
      </c>
      <c r="B54" s="852"/>
      <c r="C54" s="853"/>
      <c r="D54" s="854"/>
      <c r="E54" s="455"/>
      <c r="F54" s="455"/>
      <c r="G54" s="105" t="str">
        <f>IF(B54="","","30-030-135")</f>
        <v/>
      </c>
      <c r="H54" s="672">
        <f t="shared" si="28"/>
        <v>88.64</v>
      </c>
      <c r="I54" s="673">
        <f t="shared" si="29"/>
        <v>96.64</v>
      </c>
      <c r="J54" s="417"/>
      <c r="K54" s="418"/>
      <c r="L54" s="102"/>
      <c r="M54" s="422"/>
      <c r="N54" s="418"/>
      <c r="O54" s="93">
        <f t="shared" si="30"/>
        <v>0</v>
      </c>
      <c r="P54" s="94">
        <f t="shared" si="31"/>
        <v>0</v>
      </c>
      <c r="Q54" s="94">
        <f t="shared" si="32"/>
        <v>0</v>
      </c>
      <c r="R54" s="95">
        <f t="shared" si="33"/>
        <v>0</v>
      </c>
      <c r="S54" s="102"/>
      <c r="T54" s="308"/>
      <c r="U54" s="115"/>
      <c r="V54" s="96">
        <f t="shared" si="34"/>
        <v>0</v>
      </c>
      <c r="W54" s="97">
        <f t="shared" si="35"/>
        <v>0</v>
      </c>
      <c r="X54" s="98">
        <f t="shared" si="36"/>
        <v>0</v>
      </c>
      <c r="Y54" s="102"/>
      <c r="Z54" s="188"/>
      <c r="AA54" s="99">
        <f t="shared" si="37"/>
        <v>0</v>
      </c>
      <c r="AB54" s="100">
        <f t="shared" si="38"/>
        <v>0</v>
      </c>
      <c r="AC54" s="102"/>
      <c r="AD54" s="101">
        <f t="shared" si="39"/>
        <v>0</v>
      </c>
      <c r="AE54" s="102"/>
      <c r="AF54" s="101">
        <f t="shared" si="40"/>
        <v>0</v>
      </c>
      <c r="AG54" s="102"/>
      <c r="AH54" s="103">
        <f t="shared" si="41"/>
        <v>0</v>
      </c>
      <c r="AI54" s="725"/>
      <c r="AK54" s="148"/>
    </row>
    <row r="55" spans="1:39" s="192" customFormat="1" ht="13.5" hidden="1" customHeight="1" x14ac:dyDescent="0.25">
      <c r="A55" s="167">
        <v>36</v>
      </c>
      <c r="B55" s="852"/>
      <c r="C55" s="853"/>
      <c r="D55" s="854"/>
      <c r="E55" s="455"/>
      <c r="F55" s="455"/>
      <c r="G55" s="105" t="str">
        <f>IF(B55="","","30-030-136")</f>
        <v/>
      </c>
      <c r="H55" s="672">
        <f t="shared" si="28"/>
        <v>88.64</v>
      </c>
      <c r="I55" s="673">
        <f t="shared" si="29"/>
        <v>96.64</v>
      </c>
      <c r="J55" s="417"/>
      <c r="K55" s="418"/>
      <c r="L55" s="102"/>
      <c r="M55" s="422"/>
      <c r="N55" s="418"/>
      <c r="O55" s="93">
        <f t="shared" si="30"/>
        <v>0</v>
      </c>
      <c r="P55" s="94">
        <f t="shared" si="31"/>
        <v>0</v>
      </c>
      <c r="Q55" s="94">
        <f t="shared" si="32"/>
        <v>0</v>
      </c>
      <c r="R55" s="95">
        <f t="shared" si="33"/>
        <v>0</v>
      </c>
      <c r="S55" s="102"/>
      <c r="T55" s="308"/>
      <c r="U55" s="115"/>
      <c r="V55" s="96">
        <f t="shared" si="34"/>
        <v>0</v>
      </c>
      <c r="W55" s="97">
        <f t="shared" si="35"/>
        <v>0</v>
      </c>
      <c r="X55" s="98">
        <f t="shared" si="36"/>
        <v>0</v>
      </c>
      <c r="Y55" s="102"/>
      <c r="Z55" s="188"/>
      <c r="AA55" s="99">
        <f t="shared" si="37"/>
        <v>0</v>
      </c>
      <c r="AB55" s="100">
        <f t="shared" si="38"/>
        <v>0</v>
      </c>
      <c r="AC55" s="102"/>
      <c r="AD55" s="101">
        <f t="shared" si="39"/>
        <v>0</v>
      </c>
      <c r="AE55" s="102"/>
      <c r="AF55" s="101">
        <f t="shared" si="40"/>
        <v>0</v>
      </c>
      <c r="AG55" s="102"/>
      <c r="AH55" s="103">
        <f t="shared" si="41"/>
        <v>0</v>
      </c>
      <c r="AI55" s="725"/>
      <c r="AK55" s="148"/>
    </row>
    <row r="56" spans="1:39" s="192" customFormat="1" ht="13.5" hidden="1" customHeight="1" x14ac:dyDescent="0.25">
      <c r="A56" s="167">
        <v>37</v>
      </c>
      <c r="B56" s="852"/>
      <c r="C56" s="853"/>
      <c r="D56" s="854"/>
      <c r="E56" s="455"/>
      <c r="F56" s="455"/>
      <c r="G56" s="105" t="str">
        <f>IF(B56="","","30-030-137")</f>
        <v/>
      </c>
      <c r="H56" s="672">
        <f t="shared" si="28"/>
        <v>88.64</v>
      </c>
      <c r="I56" s="673">
        <f t="shared" si="29"/>
        <v>96.64</v>
      </c>
      <c r="J56" s="417"/>
      <c r="K56" s="418"/>
      <c r="L56" s="102"/>
      <c r="M56" s="422"/>
      <c r="N56" s="418"/>
      <c r="O56" s="93">
        <f t="shared" si="19"/>
        <v>0</v>
      </c>
      <c r="P56" s="94">
        <f t="shared" si="31"/>
        <v>0</v>
      </c>
      <c r="Q56" s="94">
        <f t="shared" si="20"/>
        <v>0</v>
      </c>
      <c r="R56" s="95">
        <f t="shared" si="21"/>
        <v>0</v>
      </c>
      <c r="S56" s="102"/>
      <c r="T56" s="308"/>
      <c r="U56" s="115"/>
      <c r="V56" s="96">
        <f t="shared" si="22"/>
        <v>0</v>
      </c>
      <c r="W56" s="97">
        <f t="shared" si="23"/>
        <v>0</v>
      </c>
      <c r="X56" s="98">
        <f t="shared" si="24"/>
        <v>0</v>
      </c>
      <c r="Y56" s="102"/>
      <c r="Z56" s="188"/>
      <c r="AA56" s="99">
        <f t="shared" si="25"/>
        <v>0</v>
      </c>
      <c r="AB56" s="100">
        <f t="shared" si="26"/>
        <v>0</v>
      </c>
      <c r="AC56" s="102"/>
      <c r="AD56" s="101">
        <f t="shared" ref="AD56:AD68" si="64">Z56+V56+P56</f>
        <v>0</v>
      </c>
      <c r="AE56" s="102"/>
      <c r="AF56" s="101">
        <f t="shared" si="27"/>
        <v>0</v>
      </c>
      <c r="AG56" s="102"/>
      <c r="AH56" s="103">
        <f t="shared" ref="AH56:AH69" si="65">AF56+Z56+V56+P56</f>
        <v>0</v>
      </c>
      <c r="AI56" s="725"/>
      <c r="AK56" s="148"/>
      <c r="AM56" s="752"/>
    </row>
    <row r="57" spans="1:39" s="192" customFormat="1" ht="13.5" hidden="1" customHeight="1" x14ac:dyDescent="0.25">
      <c r="A57" s="167">
        <v>38</v>
      </c>
      <c r="B57" s="852"/>
      <c r="C57" s="853"/>
      <c r="D57" s="854"/>
      <c r="E57" s="455"/>
      <c r="F57" s="455"/>
      <c r="G57" s="105" t="str">
        <f>IF(B57="","","30-030-138")</f>
        <v/>
      </c>
      <c r="H57" s="672">
        <f t="shared" si="28"/>
        <v>88.64</v>
      </c>
      <c r="I57" s="673">
        <f t="shared" si="29"/>
        <v>96.64</v>
      </c>
      <c r="J57" s="417"/>
      <c r="K57" s="418"/>
      <c r="L57" s="102"/>
      <c r="M57" s="422"/>
      <c r="N57" s="418"/>
      <c r="O57" s="93">
        <f t="shared" si="19"/>
        <v>0</v>
      </c>
      <c r="P57" s="94">
        <f t="shared" si="31"/>
        <v>0</v>
      </c>
      <c r="Q57" s="94">
        <f t="shared" si="20"/>
        <v>0</v>
      </c>
      <c r="R57" s="95">
        <f t="shared" si="21"/>
        <v>0</v>
      </c>
      <c r="S57" s="102"/>
      <c r="T57" s="308"/>
      <c r="U57" s="115"/>
      <c r="V57" s="96">
        <f t="shared" si="22"/>
        <v>0</v>
      </c>
      <c r="W57" s="97">
        <f t="shared" si="23"/>
        <v>0</v>
      </c>
      <c r="X57" s="98">
        <f t="shared" si="24"/>
        <v>0</v>
      </c>
      <c r="Y57" s="102"/>
      <c r="Z57" s="188"/>
      <c r="AA57" s="99">
        <f t="shared" si="25"/>
        <v>0</v>
      </c>
      <c r="AB57" s="100">
        <f t="shared" si="26"/>
        <v>0</v>
      </c>
      <c r="AC57" s="102"/>
      <c r="AD57" s="101">
        <f t="shared" si="64"/>
        <v>0</v>
      </c>
      <c r="AE57" s="102"/>
      <c r="AF57" s="101">
        <f t="shared" si="27"/>
        <v>0</v>
      </c>
      <c r="AG57" s="102"/>
      <c r="AH57" s="103">
        <f t="shared" si="65"/>
        <v>0</v>
      </c>
      <c r="AI57" s="725"/>
      <c r="AK57" s="148"/>
    </row>
    <row r="58" spans="1:39" s="192" customFormat="1" ht="13.5" hidden="1" customHeight="1" x14ac:dyDescent="0.25">
      <c r="A58" s="167">
        <v>39</v>
      </c>
      <c r="B58" s="852"/>
      <c r="C58" s="853"/>
      <c r="D58" s="854"/>
      <c r="E58" s="455"/>
      <c r="F58" s="455"/>
      <c r="G58" s="105" t="str">
        <f>IF(B58="","","30-030-139")</f>
        <v/>
      </c>
      <c r="H58" s="672">
        <f t="shared" si="28"/>
        <v>88.64</v>
      </c>
      <c r="I58" s="673">
        <f t="shared" si="29"/>
        <v>96.64</v>
      </c>
      <c r="J58" s="417"/>
      <c r="K58" s="418"/>
      <c r="L58" s="102"/>
      <c r="M58" s="422"/>
      <c r="N58" s="418"/>
      <c r="O58" s="93">
        <f t="shared" si="19"/>
        <v>0</v>
      </c>
      <c r="P58" s="94">
        <f t="shared" si="31"/>
        <v>0</v>
      </c>
      <c r="Q58" s="94">
        <f t="shared" si="20"/>
        <v>0</v>
      </c>
      <c r="R58" s="95">
        <f t="shared" si="21"/>
        <v>0</v>
      </c>
      <c r="S58" s="102"/>
      <c r="T58" s="308"/>
      <c r="U58" s="115"/>
      <c r="V58" s="96">
        <f t="shared" si="22"/>
        <v>0</v>
      </c>
      <c r="W58" s="97">
        <f t="shared" si="23"/>
        <v>0</v>
      </c>
      <c r="X58" s="98">
        <f t="shared" si="24"/>
        <v>0</v>
      </c>
      <c r="Y58" s="102"/>
      <c r="Z58" s="188"/>
      <c r="AA58" s="99">
        <f t="shared" si="25"/>
        <v>0</v>
      </c>
      <c r="AB58" s="100">
        <f t="shared" si="26"/>
        <v>0</v>
      </c>
      <c r="AC58" s="102"/>
      <c r="AD58" s="101">
        <f t="shared" si="64"/>
        <v>0</v>
      </c>
      <c r="AE58" s="102"/>
      <c r="AF58" s="101">
        <f t="shared" si="27"/>
        <v>0</v>
      </c>
      <c r="AG58" s="102"/>
      <c r="AH58" s="103">
        <f t="shared" si="65"/>
        <v>0</v>
      </c>
      <c r="AI58" s="725"/>
      <c r="AK58" s="148"/>
    </row>
    <row r="59" spans="1:39" s="192" customFormat="1" ht="13.5" hidden="1" customHeight="1" x14ac:dyDescent="0.25">
      <c r="A59" s="167">
        <v>40</v>
      </c>
      <c r="B59" s="852"/>
      <c r="C59" s="853"/>
      <c r="D59" s="854"/>
      <c r="E59" s="455"/>
      <c r="F59" s="455"/>
      <c r="G59" s="105" t="str">
        <f>IF(B59="","","30-030-140")</f>
        <v/>
      </c>
      <c r="H59" s="672">
        <f t="shared" si="28"/>
        <v>88.64</v>
      </c>
      <c r="I59" s="673">
        <f t="shared" si="29"/>
        <v>96.64</v>
      </c>
      <c r="J59" s="417"/>
      <c r="K59" s="418"/>
      <c r="L59" s="102"/>
      <c r="M59" s="422"/>
      <c r="N59" s="418"/>
      <c r="O59" s="93">
        <f t="shared" ref="O59:O64" si="66">(N59+M59)</f>
        <v>0</v>
      </c>
      <c r="P59" s="94">
        <f t="shared" si="31"/>
        <v>0</v>
      </c>
      <c r="Q59" s="94">
        <f t="shared" ref="Q59:Q64" si="67">P59*$V$3</f>
        <v>0</v>
      </c>
      <c r="R59" s="95">
        <f t="shared" ref="R59:R64" si="68">Q59+P59</f>
        <v>0</v>
      </c>
      <c r="S59" s="102"/>
      <c r="T59" s="308"/>
      <c r="U59" s="115"/>
      <c r="V59" s="96">
        <f t="shared" ref="V59:V64" si="69">(T59+U59)*(1+$X$4)</f>
        <v>0</v>
      </c>
      <c r="W59" s="97">
        <f t="shared" ref="W59:W64" si="70">V59*$X$3</f>
        <v>0</v>
      </c>
      <c r="X59" s="98">
        <f t="shared" ref="X59:X64" si="71">W59+V59</f>
        <v>0</v>
      </c>
      <c r="Y59" s="102"/>
      <c r="Z59" s="188"/>
      <c r="AA59" s="99">
        <f t="shared" ref="AA59:AA64" si="72">Z59*$V$4</f>
        <v>0</v>
      </c>
      <c r="AB59" s="100">
        <f t="shared" ref="AB59:AB64" si="73">AA59+Z59</f>
        <v>0</v>
      </c>
      <c r="AC59" s="102"/>
      <c r="AD59" s="101">
        <f t="shared" ref="AD59:AD64" si="74">Z59+V59+P59</f>
        <v>0</v>
      </c>
      <c r="AE59" s="102"/>
      <c r="AF59" s="101">
        <f t="shared" ref="AF59:AF64" si="75">W59+AA59+Q59</f>
        <v>0</v>
      </c>
      <c r="AG59" s="102"/>
      <c r="AH59" s="103">
        <f t="shared" ref="AH59:AH64" si="76">AF59+Z59+V59+P59</f>
        <v>0</v>
      </c>
      <c r="AI59" s="725"/>
      <c r="AK59" s="148"/>
    </row>
    <row r="60" spans="1:39" s="192" customFormat="1" ht="13.5" hidden="1" customHeight="1" x14ac:dyDescent="0.25">
      <c r="A60" s="167">
        <v>41</v>
      </c>
      <c r="B60" s="852"/>
      <c r="C60" s="853"/>
      <c r="D60" s="854"/>
      <c r="E60" s="455"/>
      <c r="F60" s="455"/>
      <c r="G60" s="105" t="str">
        <f>IF(B60="","","30-030-141")</f>
        <v/>
      </c>
      <c r="H60" s="672">
        <f t="shared" si="28"/>
        <v>88.64</v>
      </c>
      <c r="I60" s="673">
        <f t="shared" si="29"/>
        <v>96.64</v>
      </c>
      <c r="J60" s="417"/>
      <c r="K60" s="418"/>
      <c r="L60" s="102"/>
      <c r="M60" s="422"/>
      <c r="N60" s="418"/>
      <c r="O60" s="93">
        <f t="shared" si="66"/>
        <v>0</v>
      </c>
      <c r="P60" s="94">
        <f t="shared" si="31"/>
        <v>0</v>
      </c>
      <c r="Q60" s="94">
        <f t="shared" si="67"/>
        <v>0</v>
      </c>
      <c r="R60" s="95">
        <f t="shared" si="68"/>
        <v>0</v>
      </c>
      <c r="S60" s="102"/>
      <c r="T60" s="308"/>
      <c r="U60" s="115"/>
      <c r="V60" s="96">
        <f t="shared" si="69"/>
        <v>0</v>
      </c>
      <c r="W60" s="97">
        <f t="shared" si="70"/>
        <v>0</v>
      </c>
      <c r="X60" s="98">
        <f t="shared" si="71"/>
        <v>0</v>
      </c>
      <c r="Y60" s="102"/>
      <c r="Z60" s="188"/>
      <c r="AA60" s="99">
        <f t="shared" si="72"/>
        <v>0</v>
      </c>
      <c r="AB60" s="100">
        <f t="shared" si="73"/>
        <v>0</v>
      </c>
      <c r="AC60" s="102"/>
      <c r="AD60" s="101">
        <f t="shared" si="74"/>
        <v>0</v>
      </c>
      <c r="AE60" s="102"/>
      <c r="AF60" s="101">
        <f t="shared" si="75"/>
        <v>0</v>
      </c>
      <c r="AG60" s="102"/>
      <c r="AH60" s="103">
        <f t="shared" si="76"/>
        <v>0</v>
      </c>
      <c r="AI60" s="725"/>
      <c r="AK60" s="148"/>
    </row>
    <row r="61" spans="1:39" s="192" customFormat="1" ht="13.5" hidden="1" customHeight="1" x14ac:dyDescent="0.25">
      <c r="A61" s="167">
        <v>42</v>
      </c>
      <c r="B61" s="852"/>
      <c r="C61" s="853"/>
      <c r="D61" s="854"/>
      <c r="E61" s="455"/>
      <c r="F61" s="455"/>
      <c r="G61" s="105" t="str">
        <f>IF(B61="","","30-030-142")</f>
        <v/>
      </c>
      <c r="H61" s="672">
        <f t="shared" si="28"/>
        <v>88.64</v>
      </c>
      <c r="I61" s="673">
        <f t="shared" si="29"/>
        <v>96.64</v>
      </c>
      <c r="J61" s="417"/>
      <c r="K61" s="418"/>
      <c r="L61" s="102"/>
      <c r="M61" s="422"/>
      <c r="N61" s="418"/>
      <c r="O61" s="93">
        <f t="shared" si="66"/>
        <v>0</v>
      </c>
      <c r="P61" s="94">
        <f t="shared" si="31"/>
        <v>0</v>
      </c>
      <c r="Q61" s="94">
        <f t="shared" si="67"/>
        <v>0</v>
      </c>
      <c r="R61" s="95">
        <f t="shared" si="68"/>
        <v>0</v>
      </c>
      <c r="S61" s="102"/>
      <c r="T61" s="308"/>
      <c r="U61" s="115"/>
      <c r="V61" s="96">
        <f t="shared" si="69"/>
        <v>0</v>
      </c>
      <c r="W61" s="97">
        <f t="shared" si="70"/>
        <v>0</v>
      </c>
      <c r="X61" s="98">
        <f t="shared" si="71"/>
        <v>0</v>
      </c>
      <c r="Y61" s="102"/>
      <c r="Z61" s="188"/>
      <c r="AA61" s="99">
        <f t="shared" si="72"/>
        <v>0</v>
      </c>
      <c r="AB61" s="100">
        <f t="shared" si="73"/>
        <v>0</v>
      </c>
      <c r="AC61" s="102"/>
      <c r="AD61" s="101">
        <f t="shared" si="74"/>
        <v>0</v>
      </c>
      <c r="AE61" s="102"/>
      <c r="AF61" s="101">
        <f t="shared" si="75"/>
        <v>0</v>
      </c>
      <c r="AG61" s="102"/>
      <c r="AH61" s="103">
        <f t="shared" si="76"/>
        <v>0</v>
      </c>
      <c r="AI61" s="725"/>
      <c r="AK61" s="148"/>
    </row>
    <row r="62" spans="1:39" s="192" customFormat="1" ht="13.5" hidden="1" customHeight="1" x14ac:dyDescent="0.25">
      <c r="A62" s="167">
        <v>43</v>
      </c>
      <c r="B62" s="852"/>
      <c r="C62" s="853"/>
      <c r="D62" s="854"/>
      <c r="E62" s="455"/>
      <c r="F62" s="455"/>
      <c r="G62" s="105" t="str">
        <f>IF(B62="","","30-030-143")</f>
        <v/>
      </c>
      <c r="H62" s="672">
        <f t="shared" si="28"/>
        <v>88.64</v>
      </c>
      <c r="I62" s="673">
        <f t="shared" si="29"/>
        <v>96.64</v>
      </c>
      <c r="J62" s="417"/>
      <c r="K62" s="418"/>
      <c r="L62" s="102"/>
      <c r="M62" s="422"/>
      <c r="N62" s="418"/>
      <c r="O62" s="93">
        <f t="shared" si="66"/>
        <v>0</v>
      </c>
      <c r="P62" s="94">
        <f t="shared" si="31"/>
        <v>0</v>
      </c>
      <c r="Q62" s="94">
        <f t="shared" si="67"/>
        <v>0</v>
      </c>
      <c r="R62" s="95">
        <f t="shared" si="68"/>
        <v>0</v>
      </c>
      <c r="S62" s="102"/>
      <c r="T62" s="308"/>
      <c r="U62" s="115"/>
      <c r="V62" s="96">
        <f t="shared" si="69"/>
        <v>0</v>
      </c>
      <c r="W62" s="97">
        <f t="shared" si="70"/>
        <v>0</v>
      </c>
      <c r="X62" s="98">
        <f t="shared" si="71"/>
        <v>0</v>
      </c>
      <c r="Y62" s="102"/>
      <c r="Z62" s="188"/>
      <c r="AA62" s="99">
        <f t="shared" si="72"/>
        <v>0</v>
      </c>
      <c r="AB62" s="100">
        <f t="shared" si="73"/>
        <v>0</v>
      </c>
      <c r="AC62" s="102"/>
      <c r="AD62" s="101">
        <f t="shared" si="74"/>
        <v>0</v>
      </c>
      <c r="AE62" s="102"/>
      <c r="AF62" s="101">
        <f t="shared" si="75"/>
        <v>0</v>
      </c>
      <c r="AG62" s="102"/>
      <c r="AH62" s="103">
        <f t="shared" si="76"/>
        <v>0</v>
      </c>
      <c r="AI62" s="725"/>
      <c r="AK62" s="148"/>
    </row>
    <row r="63" spans="1:39" s="192" customFormat="1" ht="13.5" hidden="1" customHeight="1" x14ac:dyDescent="0.25">
      <c r="A63" s="167">
        <v>44</v>
      </c>
      <c r="B63" s="852"/>
      <c r="C63" s="853"/>
      <c r="D63" s="854"/>
      <c r="E63" s="455"/>
      <c r="F63" s="455"/>
      <c r="G63" s="105" t="str">
        <f>IF(B63="","","30-030-144")</f>
        <v/>
      </c>
      <c r="H63" s="672">
        <f t="shared" si="28"/>
        <v>88.64</v>
      </c>
      <c r="I63" s="673">
        <f t="shared" si="29"/>
        <v>96.64</v>
      </c>
      <c r="J63" s="417"/>
      <c r="K63" s="418"/>
      <c r="L63" s="102"/>
      <c r="M63" s="422"/>
      <c r="N63" s="418"/>
      <c r="O63" s="93">
        <f t="shared" si="66"/>
        <v>0</v>
      </c>
      <c r="P63" s="94">
        <f t="shared" si="31"/>
        <v>0</v>
      </c>
      <c r="Q63" s="94">
        <f t="shared" si="67"/>
        <v>0</v>
      </c>
      <c r="R63" s="95">
        <f t="shared" si="68"/>
        <v>0</v>
      </c>
      <c r="S63" s="102"/>
      <c r="T63" s="308"/>
      <c r="U63" s="115"/>
      <c r="V63" s="96">
        <f t="shared" si="69"/>
        <v>0</v>
      </c>
      <c r="W63" s="97">
        <f t="shared" si="70"/>
        <v>0</v>
      </c>
      <c r="X63" s="98">
        <f t="shared" si="71"/>
        <v>0</v>
      </c>
      <c r="Y63" s="102"/>
      <c r="Z63" s="188"/>
      <c r="AA63" s="99">
        <f t="shared" si="72"/>
        <v>0</v>
      </c>
      <c r="AB63" s="100">
        <f t="shared" si="73"/>
        <v>0</v>
      </c>
      <c r="AC63" s="102"/>
      <c r="AD63" s="101">
        <f t="shared" si="74"/>
        <v>0</v>
      </c>
      <c r="AE63" s="102"/>
      <c r="AF63" s="101">
        <f t="shared" si="75"/>
        <v>0</v>
      </c>
      <c r="AG63" s="102"/>
      <c r="AH63" s="103">
        <f t="shared" si="76"/>
        <v>0</v>
      </c>
      <c r="AI63" s="725"/>
      <c r="AK63" s="148"/>
    </row>
    <row r="64" spans="1:39" s="192" customFormat="1" ht="13.5" hidden="1" customHeight="1" x14ac:dyDescent="0.25">
      <c r="A64" s="167">
        <v>45</v>
      </c>
      <c r="B64" s="852"/>
      <c r="C64" s="853"/>
      <c r="D64" s="854"/>
      <c r="E64" s="455"/>
      <c r="F64" s="455"/>
      <c r="G64" s="105" t="str">
        <f>IF(B64="","","30-030-145")</f>
        <v/>
      </c>
      <c r="H64" s="672">
        <f t="shared" si="28"/>
        <v>88.64</v>
      </c>
      <c r="I64" s="673">
        <f t="shared" si="29"/>
        <v>96.64</v>
      </c>
      <c r="J64" s="417"/>
      <c r="K64" s="418"/>
      <c r="L64" s="57"/>
      <c r="M64" s="422"/>
      <c r="N64" s="418"/>
      <c r="O64" s="86">
        <f t="shared" si="66"/>
        <v>0</v>
      </c>
      <c r="P64" s="94">
        <f t="shared" si="31"/>
        <v>0</v>
      </c>
      <c r="Q64" s="94">
        <f t="shared" si="67"/>
        <v>0</v>
      </c>
      <c r="R64" s="95">
        <f t="shared" si="68"/>
        <v>0</v>
      </c>
      <c r="S64" s="57"/>
      <c r="T64" s="456"/>
      <c r="U64" s="462"/>
      <c r="V64" s="96">
        <f t="shared" si="69"/>
        <v>0</v>
      </c>
      <c r="W64" s="97">
        <f t="shared" si="70"/>
        <v>0</v>
      </c>
      <c r="X64" s="98">
        <f t="shared" si="71"/>
        <v>0</v>
      </c>
      <c r="Y64" s="102"/>
      <c r="Z64" s="191"/>
      <c r="AA64" s="113">
        <f t="shared" si="72"/>
        <v>0</v>
      </c>
      <c r="AB64" s="100">
        <f t="shared" si="73"/>
        <v>0</v>
      </c>
      <c r="AC64" s="102"/>
      <c r="AD64" s="101">
        <f t="shared" si="74"/>
        <v>0</v>
      </c>
      <c r="AE64" s="102"/>
      <c r="AF64" s="101">
        <f t="shared" si="75"/>
        <v>0</v>
      </c>
      <c r="AG64" s="57"/>
      <c r="AH64" s="103">
        <f t="shared" si="76"/>
        <v>0</v>
      </c>
      <c r="AI64" s="725"/>
      <c r="AK64" s="148"/>
      <c r="AM64" s="753"/>
    </row>
    <row r="65" spans="1:37" s="192" customFormat="1" ht="13.5" hidden="1" customHeight="1" x14ac:dyDescent="0.25">
      <c r="A65" s="167">
        <v>46</v>
      </c>
      <c r="B65" s="852"/>
      <c r="C65" s="853"/>
      <c r="D65" s="854"/>
      <c r="E65" s="455"/>
      <c r="F65" s="455"/>
      <c r="G65" s="105" t="str">
        <f>IF(B65="","","30-030-146")</f>
        <v/>
      </c>
      <c r="H65" s="672">
        <f t="shared" si="28"/>
        <v>88.64</v>
      </c>
      <c r="I65" s="673">
        <f t="shared" si="29"/>
        <v>96.64</v>
      </c>
      <c r="J65" s="440"/>
      <c r="K65" s="418"/>
      <c r="L65" s="57"/>
      <c r="M65" s="442"/>
      <c r="N65" s="441"/>
      <c r="O65" s="93">
        <f t="shared" si="19"/>
        <v>0</v>
      </c>
      <c r="P65" s="94">
        <f t="shared" si="31"/>
        <v>0</v>
      </c>
      <c r="Q65" s="94">
        <f t="shared" si="20"/>
        <v>0</v>
      </c>
      <c r="R65" s="95">
        <f t="shared" si="21"/>
        <v>0</v>
      </c>
      <c r="S65" s="102"/>
      <c r="T65" s="309"/>
      <c r="U65" s="463"/>
      <c r="V65" s="96">
        <f t="shared" si="22"/>
        <v>0</v>
      </c>
      <c r="W65" s="97">
        <f t="shared" si="23"/>
        <v>0</v>
      </c>
      <c r="X65" s="98">
        <f t="shared" si="24"/>
        <v>0</v>
      </c>
      <c r="Y65" s="57"/>
      <c r="Z65" s="461"/>
      <c r="AA65" s="99">
        <f t="shared" si="25"/>
        <v>0</v>
      </c>
      <c r="AB65" s="100">
        <f t="shared" si="26"/>
        <v>0</v>
      </c>
      <c r="AC65" s="57"/>
      <c r="AD65" s="101">
        <f t="shared" si="64"/>
        <v>0</v>
      </c>
      <c r="AE65" s="57"/>
      <c r="AF65" s="101">
        <f t="shared" si="27"/>
        <v>0</v>
      </c>
      <c r="AG65" s="102"/>
      <c r="AH65" s="103">
        <f t="shared" si="65"/>
        <v>0</v>
      </c>
      <c r="AI65" s="725"/>
      <c r="AK65" s="148"/>
    </row>
    <row r="66" spans="1:37" s="192" customFormat="1" ht="13.5" hidden="1" customHeight="1" x14ac:dyDescent="0.25">
      <c r="A66" s="167">
        <v>47</v>
      </c>
      <c r="B66" s="852"/>
      <c r="C66" s="853"/>
      <c r="D66" s="854"/>
      <c r="E66" s="455"/>
      <c r="F66" s="455"/>
      <c r="G66" s="105" t="str">
        <f>IF(B66="","","30-030-147")</f>
        <v/>
      </c>
      <c r="H66" s="672">
        <f t="shared" si="28"/>
        <v>88.64</v>
      </c>
      <c r="I66" s="673">
        <f t="shared" si="29"/>
        <v>96.64</v>
      </c>
      <c r="J66" s="417"/>
      <c r="K66" s="418"/>
      <c r="L66" s="102"/>
      <c r="M66" s="422"/>
      <c r="N66" s="418"/>
      <c r="O66" s="93">
        <f t="shared" si="19"/>
        <v>0</v>
      </c>
      <c r="P66" s="94">
        <f t="shared" si="31"/>
        <v>0</v>
      </c>
      <c r="Q66" s="94">
        <f t="shared" si="20"/>
        <v>0</v>
      </c>
      <c r="R66" s="95">
        <f t="shared" si="21"/>
        <v>0</v>
      </c>
      <c r="S66" s="102"/>
      <c r="T66" s="308"/>
      <c r="U66" s="115"/>
      <c r="V66" s="96">
        <f t="shared" si="22"/>
        <v>0</v>
      </c>
      <c r="W66" s="97">
        <f t="shared" si="23"/>
        <v>0</v>
      </c>
      <c r="X66" s="98">
        <f t="shared" si="24"/>
        <v>0</v>
      </c>
      <c r="Y66" s="102"/>
      <c r="Z66" s="188"/>
      <c r="AA66" s="99">
        <f t="shared" si="25"/>
        <v>0</v>
      </c>
      <c r="AB66" s="100">
        <f t="shared" si="26"/>
        <v>0</v>
      </c>
      <c r="AC66" s="102"/>
      <c r="AD66" s="101">
        <f t="shared" si="64"/>
        <v>0</v>
      </c>
      <c r="AE66" s="102"/>
      <c r="AF66" s="101">
        <f t="shared" si="27"/>
        <v>0</v>
      </c>
      <c r="AG66" s="102"/>
      <c r="AH66" s="103">
        <f t="shared" si="65"/>
        <v>0</v>
      </c>
      <c r="AI66" s="725"/>
      <c r="AK66" s="148"/>
    </row>
    <row r="67" spans="1:37" s="192" customFormat="1" ht="13.5" hidden="1" customHeight="1" x14ac:dyDescent="0.25">
      <c r="A67" s="167">
        <v>48</v>
      </c>
      <c r="B67" s="852"/>
      <c r="C67" s="853"/>
      <c r="D67" s="854"/>
      <c r="E67" s="455"/>
      <c r="F67" s="455"/>
      <c r="G67" s="105" t="str">
        <f>IF(B67="","","30-030-148")</f>
        <v/>
      </c>
      <c r="H67" s="672">
        <f t="shared" si="28"/>
        <v>88.64</v>
      </c>
      <c r="I67" s="673">
        <f t="shared" si="29"/>
        <v>96.64</v>
      </c>
      <c r="J67" s="417"/>
      <c r="K67" s="418"/>
      <c r="L67" s="102"/>
      <c r="M67" s="422"/>
      <c r="N67" s="418"/>
      <c r="O67" s="93">
        <f t="shared" si="19"/>
        <v>0</v>
      </c>
      <c r="P67" s="94">
        <f t="shared" si="31"/>
        <v>0</v>
      </c>
      <c r="Q67" s="94">
        <f t="shared" si="20"/>
        <v>0</v>
      </c>
      <c r="R67" s="95">
        <f t="shared" si="21"/>
        <v>0</v>
      </c>
      <c r="S67" s="102"/>
      <c r="T67" s="308"/>
      <c r="U67" s="115"/>
      <c r="V67" s="96">
        <f t="shared" si="22"/>
        <v>0</v>
      </c>
      <c r="W67" s="97">
        <f t="shared" si="23"/>
        <v>0</v>
      </c>
      <c r="X67" s="98">
        <f t="shared" si="24"/>
        <v>0</v>
      </c>
      <c r="Y67" s="102"/>
      <c r="Z67" s="188"/>
      <c r="AA67" s="99">
        <f t="shared" si="25"/>
        <v>0</v>
      </c>
      <c r="AB67" s="100">
        <f t="shared" si="26"/>
        <v>0</v>
      </c>
      <c r="AC67" s="102"/>
      <c r="AD67" s="101">
        <f t="shared" si="64"/>
        <v>0</v>
      </c>
      <c r="AE67" s="102"/>
      <c r="AF67" s="101">
        <f t="shared" si="27"/>
        <v>0</v>
      </c>
      <c r="AG67" s="102"/>
      <c r="AH67" s="103">
        <f t="shared" si="65"/>
        <v>0</v>
      </c>
      <c r="AI67" s="725"/>
      <c r="AK67" s="148"/>
    </row>
    <row r="68" spans="1:37" s="192" customFormat="1" ht="13.5" hidden="1" customHeight="1" x14ac:dyDescent="0.25">
      <c r="A68" s="167">
        <v>49</v>
      </c>
      <c r="B68" s="852"/>
      <c r="C68" s="853"/>
      <c r="D68" s="854"/>
      <c r="E68" s="455"/>
      <c r="F68" s="455"/>
      <c r="G68" s="105" t="str">
        <f>IF(B68="","","30-030-149")</f>
        <v/>
      </c>
      <c r="H68" s="672">
        <f t="shared" si="28"/>
        <v>88.64</v>
      </c>
      <c r="I68" s="673">
        <f t="shared" si="29"/>
        <v>96.64</v>
      </c>
      <c r="J68" s="417"/>
      <c r="K68" s="418"/>
      <c r="L68" s="102"/>
      <c r="M68" s="422"/>
      <c r="N68" s="418"/>
      <c r="O68" s="93">
        <f t="shared" si="19"/>
        <v>0</v>
      </c>
      <c r="P68" s="94">
        <f t="shared" si="31"/>
        <v>0</v>
      </c>
      <c r="Q68" s="94">
        <f t="shared" si="20"/>
        <v>0</v>
      </c>
      <c r="R68" s="95">
        <f t="shared" si="21"/>
        <v>0</v>
      </c>
      <c r="S68" s="102"/>
      <c r="T68" s="308"/>
      <c r="U68" s="115"/>
      <c r="V68" s="96">
        <f t="shared" si="22"/>
        <v>0</v>
      </c>
      <c r="W68" s="97">
        <f t="shared" si="23"/>
        <v>0</v>
      </c>
      <c r="X68" s="98">
        <f t="shared" si="24"/>
        <v>0</v>
      </c>
      <c r="Y68" s="102"/>
      <c r="Z68" s="188"/>
      <c r="AA68" s="99">
        <f t="shared" si="25"/>
        <v>0</v>
      </c>
      <c r="AB68" s="100">
        <f t="shared" si="26"/>
        <v>0</v>
      </c>
      <c r="AC68" s="102"/>
      <c r="AD68" s="101">
        <f t="shared" si="64"/>
        <v>0</v>
      </c>
      <c r="AE68" s="102"/>
      <c r="AF68" s="101">
        <f t="shared" si="27"/>
        <v>0</v>
      </c>
      <c r="AG68" s="102"/>
      <c r="AH68" s="103">
        <f t="shared" si="65"/>
        <v>0</v>
      </c>
      <c r="AI68" s="725"/>
      <c r="AK68" s="148"/>
    </row>
    <row r="69" spans="1:37" s="192" customFormat="1" ht="13.5" customHeight="1" x14ac:dyDescent="0.25">
      <c r="A69" s="168">
        <v>50</v>
      </c>
      <c r="B69" s="889"/>
      <c r="C69" s="890"/>
      <c r="D69" s="891"/>
      <c r="E69" s="455"/>
      <c r="F69" s="455"/>
      <c r="G69" s="106" t="str">
        <f>IF(B69="","","30-030-150")</f>
        <v/>
      </c>
      <c r="H69" s="672">
        <f t="shared" si="28"/>
        <v>88.64</v>
      </c>
      <c r="I69" s="673">
        <f t="shared" si="29"/>
        <v>96.64</v>
      </c>
      <c r="J69" s="419"/>
      <c r="K69" s="789"/>
      <c r="L69" s="57"/>
      <c r="M69" s="423"/>
      <c r="N69" s="420"/>
      <c r="O69" s="59">
        <f t="shared" si="19"/>
        <v>0</v>
      </c>
      <c r="P69" s="60">
        <f t="shared" si="31"/>
        <v>0</v>
      </c>
      <c r="Q69" s="60">
        <f t="shared" si="20"/>
        <v>0</v>
      </c>
      <c r="R69" s="61">
        <f t="shared" si="21"/>
        <v>0</v>
      </c>
      <c r="S69" s="57"/>
      <c r="T69" s="310"/>
      <c r="U69" s="117"/>
      <c r="V69" s="62">
        <f t="shared" si="22"/>
        <v>0</v>
      </c>
      <c r="W69" s="63">
        <f t="shared" si="23"/>
        <v>0</v>
      </c>
      <c r="X69" s="64">
        <f t="shared" si="24"/>
        <v>0</v>
      </c>
      <c r="Y69" s="102"/>
      <c r="Z69" s="190"/>
      <c r="AA69" s="65">
        <f t="shared" si="25"/>
        <v>0</v>
      </c>
      <c r="AB69" s="66">
        <f t="shared" si="26"/>
        <v>0</v>
      </c>
      <c r="AC69" s="57"/>
      <c r="AD69" s="67">
        <f t="shared" ref="AD69" si="77">Z69+V69+P69</f>
        <v>0</v>
      </c>
      <c r="AE69" s="102"/>
      <c r="AF69" s="67">
        <f t="shared" si="27"/>
        <v>0</v>
      </c>
      <c r="AG69" s="102"/>
      <c r="AH69" s="69">
        <f t="shared" si="65"/>
        <v>0</v>
      </c>
      <c r="AI69" s="725"/>
      <c r="AK69" s="125">
        <f>SUM(AH20:AH69)</f>
        <v>105651.02399999999</v>
      </c>
    </row>
    <row r="70" spans="1:37" s="762" customFormat="1" ht="5.25" customHeight="1" x14ac:dyDescent="0.25">
      <c r="A70" s="754"/>
      <c r="B70" s="755"/>
      <c r="C70" s="755"/>
      <c r="D70" s="755"/>
      <c r="E70" s="756"/>
      <c r="F70" s="757"/>
      <c r="G70" s="755"/>
      <c r="H70" s="674"/>
      <c r="I70" s="674"/>
      <c r="J70" s="758"/>
      <c r="K70" s="790"/>
      <c r="L70" s="755"/>
      <c r="M70" s="759"/>
      <c r="N70" s="760"/>
      <c r="O70" s="759"/>
      <c r="P70" s="759"/>
      <c r="Q70" s="759"/>
      <c r="R70" s="759"/>
      <c r="S70" s="759"/>
      <c r="T70" s="759"/>
      <c r="U70" s="759"/>
      <c r="V70" s="759"/>
      <c r="W70" s="759"/>
      <c r="X70" s="759"/>
      <c r="Y70" s="759"/>
      <c r="Z70" s="759"/>
      <c r="AA70" s="759"/>
      <c r="AB70" s="759"/>
      <c r="AC70" s="759"/>
      <c r="AD70" s="759"/>
      <c r="AE70" s="759"/>
      <c r="AF70" s="759"/>
      <c r="AG70" s="759"/>
      <c r="AH70" s="759"/>
      <c r="AI70" s="761"/>
      <c r="AK70" s="125"/>
    </row>
    <row r="71" spans="1:37" s="192" customFormat="1" ht="13.5" customHeight="1" thickBot="1" x14ac:dyDescent="0.3">
      <c r="A71" s="704" t="s">
        <v>527</v>
      </c>
      <c r="B71" s="705"/>
      <c r="C71" s="705"/>
      <c r="D71" s="706"/>
      <c r="E71" s="707"/>
      <c r="F71" s="763"/>
      <c r="G71" s="742" t="s">
        <v>519</v>
      </c>
      <c r="H71" s="670"/>
      <c r="I71" s="671"/>
      <c r="J71" s="745" t="s">
        <v>7</v>
      </c>
      <c r="K71" s="746" t="s">
        <v>12</v>
      </c>
      <c r="L71" s="132"/>
      <c r="M71" s="747" t="s">
        <v>13</v>
      </c>
      <c r="N71" s="139" t="s">
        <v>14</v>
      </c>
      <c r="O71" s="139" t="s">
        <v>15</v>
      </c>
      <c r="P71" s="139" t="s">
        <v>16</v>
      </c>
      <c r="Q71" s="139" t="s">
        <v>9</v>
      </c>
      <c r="R71" s="140" t="s">
        <v>10</v>
      </c>
      <c r="S71" s="132"/>
      <c r="T71" s="748" t="s">
        <v>3</v>
      </c>
      <c r="U71" s="136" t="s">
        <v>559</v>
      </c>
      <c r="V71" s="136" t="s">
        <v>17</v>
      </c>
      <c r="W71" s="136" t="s">
        <v>9</v>
      </c>
      <c r="X71" s="137" t="s">
        <v>10</v>
      </c>
      <c r="Y71" s="749"/>
      <c r="Z71" s="750" t="s">
        <v>18</v>
      </c>
      <c r="AA71" s="130" t="s">
        <v>9</v>
      </c>
      <c r="AB71" s="131" t="s">
        <v>10</v>
      </c>
      <c r="AC71" s="132"/>
      <c r="AD71" s="133" t="s">
        <v>16</v>
      </c>
      <c r="AE71" s="132"/>
      <c r="AF71" s="133" t="s">
        <v>9</v>
      </c>
      <c r="AG71" s="132"/>
      <c r="AH71" s="135" t="s">
        <v>10</v>
      </c>
      <c r="AI71" s="725"/>
      <c r="AK71" s="148"/>
    </row>
    <row r="72" spans="1:37" s="192" customFormat="1" ht="13.5" customHeight="1" thickTop="1" x14ac:dyDescent="0.25">
      <c r="A72" s="169">
        <v>1</v>
      </c>
      <c r="B72" s="845" t="s">
        <v>1020</v>
      </c>
      <c r="C72" s="850"/>
      <c r="D72" s="846"/>
      <c r="E72" s="454" t="s">
        <v>812</v>
      </c>
      <c r="F72" s="455"/>
      <c r="G72" s="663" t="str">
        <f>IF(B72="","","40-030-151")</f>
        <v>40-030-151</v>
      </c>
      <c r="H72" s="672">
        <f>IF(E72="",$R$3,VLOOKUP(E72,$A$292:$B$305,2,FALSE))</f>
        <v>97.03</v>
      </c>
      <c r="I72" s="673">
        <f>IF(F72="",($R$3+$O$4),(VLOOKUP(F72,$A$292:$B$305,2,FALSE))+$O$4)</f>
        <v>101.75</v>
      </c>
      <c r="J72" s="415"/>
      <c r="K72" s="690"/>
      <c r="L72" s="57"/>
      <c r="M72" s="421">
        <v>180</v>
      </c>
      <c r="N72" s="416"/>
      <c r="O72" s="70">
        <f t="shared" ref="O72:O121" si="78">(N72+M72)</f>
        <v>180</v>
      </c>
      <c r="P72" s="94">
        <f>(M72*H72)+(N72*I72)</f>
        <v>17465.400000000001</v>
      </c>
      <c r="Q72" s="71">
        <f t="shared" ref="Q72:Q112" si="79">P72*$V$3</f>
        <v>3493.0800000000004</v>
      </c>
      <c r="R72" s="72">
        <f t="shared" ref="R72:R121" si="80">Q72+P72</f>
        <v>20958.480000000003</v>
      </c>
      <c r="S72" s="57"/>
      <c r="T72" s="307"/>
      <c r="U72" s="114"/>
      <c r="V72" s="73">
        <f t="shared" ref="V72:V112" si="81">(T72+U72)*(1+$X$4)</f>
        <v>0</v>
      </c>
      <c r="W72" s="74">
        <f t="shared" ref="W72:W112" si="82">V72*$X$3</f>
        <v>0</v>
      </c>
      <c r="X72" s="75">
        <f t="shared" ref="X72:X121" si="83">W72+V72</f>
        <v>0</v>
      </c>
      <c r="Y72" s="57"/>
      <c r="Z72" s="187"/>
      <c r="AA72" s="76">
        <f t="shared" ref="AA72:AA112" si="84">Z72*$V$4</f>
        <v>0</v>
      </c>
      <c r="AB72" s="77">
        <f t="shared" ref="AB72:AB121" si="85">AA72+Z72</f>
        <v>0</v>
      </c>
      <c r="AC72" s="57"/>
      <c r="AD72" s="56">
        <f t="shared" ref="AD72:AD121" si="86">Z72+V72+P72</f>
        <v>17465.400000000001</v>
      </c>
      <c r="AE72" s="57"/>
      <c r="AF72" s="78">
        <f t="shared" ref="AF72:AF121" si="87">W72+AA72+Q72</f>
        <v>3493.0800000000004</v>
      </c>
      <c r="AG72" s="57"/>
      <c r="AH72" s="79">
        <f t="shared" ref="AH72:AH121" si="88">AF72+Z72+V72+P72</f>
        <v>20958.480000000003</v>
      </c>
      <c r="AI72" s="725"/>
      <c r="AK72" s="148"/>
    </row>
    <row r="73" spans="1:37" s="192" customFormat="1" ht="13.5" customHeight="1" x14ac:dyDescent="0.25">
      <c r="A73" s="167">
        <v>2</v>
      </c>
      <c r="B73" s="847" t="s">
        <v>1021</v>
      </c>
      <c r="C73" s="849"/>
      <c r="D73" s="848"/>
      <c r="E73" s="455" t="s">
        <v>813</v>
      </c>
      <c r="F73" s="455"/>
      <c r="G73" s="105" t="str">
        <f>IF(B73="","","40-030-152")</f>
        <v>40-030-152</v>
      </c>
      <c r="H73" s="672">
        <f t="shared" ref="H73:H121" si="89">IF(E73="",$R$3,VLOOKUP(E73,$A$292:$B$305,2,FALSE))</f>
        <v>92.93</v>
      </c>
      <c r="I73" s="673">
        <f t="shared" ref="I73:I121" si="90">IF(F73="",($R$3+$O$4),(VLOOKUP(F73,$A$292:$B$305,2,FALSE))+$O$4)</f>
        <v>101.75</v>
      </c>
      <c r="J73" s="417"/>
      <c r="K73" s="418"/>
      <c r="L73" s="102"/>
      <c r="M73" s="422">
        <v>180</v>
      </c>
      <c r="N73" s="418"/>
      <c r="O73" s="93">
        <f t="shared" si="78"/>
        <v>180</v>
      </c>
      <c r="P73" s="94">
        <f t="shared" ref="P73:P121" si="91">(M73*H73)+(N73*I73)</f>
        <v>16727.400000000001</v>
      </c>
      <c r="Q73" s="94">
        <f t="shared" si="79"/>
        <v>3345.4800000000005</v>
      </c>
      <c r="R73" s="95">
        <f t="shared" si="80"/>
        <v>20072.88</v>
      </c>
      <c r="S73" s="102"/>
      <c r="T73" s="308">
        <v>30000</v>
      </c>
      <c r="U73" s="115"/>
      <c r="V73" s="96">
        <f t="shared" si="81"/>
        <v>32580.000000000004</v>
      </c>
      <c r="W73" s="97">
        <f t="shared" si="82"/>
        <v>6516.0000000000009</v>
      </c>
      <c r="X73" s="98">
        <f t="shared" si="83"/>
        <v>39096.000000000007</v>
      </c>
      <c r="Y73" s="102"/>
      <c r="Z73" s="188"/>
      <c r="AA73" s="99">
        <f t="shared" si="84"/>
        <v>0</v>
      </c>
      <c r="AB73" s="100">
        <f t="shared" si="85"/>
        <v>0</v>
      </c>
      <c r="AC73" s="102"/>
      <c r="AD73" s="101">
        <f t="shared" si="86"/>
        <v>49307.400000000009</v>
      </c>
      <c r="AE73" s="102"/>
      <c r="AF73" s="101">
        <f t="shared" si="87"/>
        <v>9861.4800000000014</v>
      </c>
      <c r="AG73" s="102"/>
      <c r="AH73" s="103">
        <f t="shared" si="88"/>
        <v>59168.880000000005</v>
      </c>
      <c r="AI73" s="725"/>
      <c r="AK73" s="148"/>
    </row>
    <row r="74" spans="1:37" s="192" customFormat="1" ht="13.5" customHeight="1" x14ac:dyDescent="0.25">
      <c r="A74" s="167">
        <v>3</v>
      </c>
      <c r="B74" s="847"/>
      <c r="C74" s="849"/>
      <c r="D74" s="848"/>
      <c r="E74" s="455"/>
      <c r="F74" s="460"/>
      <c r="G74" s="105" t="str">
        <f>IF(B74="","","40-030-153")</f>
        <v/>
      </c>
      <c r="H74" s="672">
        <f t="shared" si="89"/>
        <v>93.75</v>
      </c>
      <c r="I74" s="673">
        <f t="shared" si="90"/>
        <v>101.75</v>
      </c>
      <c r="J74" s="417"/>
      <c r="K74" s="418"/>
      <c r="L74" s="102"/>
      <c r="M74" s="422"/>
      <c r="N74" s="418"/>
      <c r="O74" s="93">
        <f t="shared" si="78"/>
        <v>0</v>
      </c>
      <c r="P74" s="94">
        <f t="shared" si="91"/>
        <v>0</v>
      </c>
      <c r="Q74" s="94">
        <f t="shared" si="79"/>
        <v>0</v>
      </c>
      <c r="R74" s="95">
        <f t="shared" si="80"/>
        <v>0</v>
      </c>
      <c r="S74" s="102"/>
      <c r="T74" s="308"/>
      <c r="U74" s="115"/>
      <c r="V74" s="96">
        <f t="shared" si="81"/>
        <v>0</v>
      </c>
      <c r="W74" s="97">
        <f t="shared" si="82"/>
        <v>0</v>
      </c>
      <c r="X74" s="98">
        <f t="shared" si="83"/>
        <v>0</v>
      </c>
      <c r="Y74" s="102"/>
      <c r="Z74" s="188"/>
      <c r="AA74" s="99">
        <f t="shared" si="84"/>
        <v>0</v>
      </c>
      <c r="AB74" s="100">
        <f t="shared" si="85"/>
        <v>0</v>
      </c>
      <c r="AC74" s="102"/>
      <c r="AD74" s="101">
        <f t="shared" si="86"/>
        <v>0</v>
      </c>
      <c r="AE74" s="102"/>
      <c r="AF74" s="101">
        <f t="shared" si="87"/>
        <v>0</v>
      </c>
      <c r="AG74" s="102"/>
      <c r="AH74" s="103">
        <f t="shared" si="88"/>
        <v>0</v>
      </c>
      <c r="AI74" s="725"/>
      <c r="AK74" s="148"/>
    </row>
    <row r="75" spans="1:37" s="192" customFormat="1" ht="13.5" customHeight="1" x14ac:dyDescent="0.25">
      <c r="A75" s="167">
        <v>4</v>
      </c>
      <c r="B75" s="847"/>
      <c r="C75" s="849"/>
      <c r="D75" s="848"/>
      <c r="E75" s="455"/>
      <c r="F75" s="460"/>
      <c r="G75" s="105" t="str">
        <f>IF(B75="","","40-030-154")</f>
        <v/>
      </c>
      <c r="H75" s="672">
        <f t="shared" si="89"/>
        <v>93.75</v>
      </c>
      <c r="I75" s="673">
        <f t="shared" si="90"/>
        <v>101.75</v>
      </c>
      <c r="J75" s="417"/>
      <c r="K75" s="418"/>
      <c r="L75" s="102"/>
      <c r="M75" s="422"/>
      <c r="N75" s="418"/>
      <c r="O75" s="93">
        <f t="shared" si="78"/>
        <v>0</v>
      </c>
      <c r="P75" s="94">
        <f t="shared" si="91"/>
        <v>0</v>
      </c>
      <c r="Q75" s="94">
        <f t="shared" si="79"/>
        <v>0</v>
      </c>
      <c r="R75" s="95">
        <f t="shared" si="80"/>
        <v>0</v>
      </c>
      <c r="S75" s="102"/>
      <c r="T75" s="308"/>
      <c r="U75" s="115"/>
      <c r="V75" s="96">
        <f t="shared" si="81"/>
        <v>0</v>
      </c>
      <c r="W75" s="97">
        <f t="shared" si="82"/>
        <v>0</v>
      </c>
      <c r="X75" s="98">
        <f t="shared" si="83"/>
        <v>0</v>
      </c>
      <c r="Y75" s="102"/>
      <c r="Z75" s="188"/>
      <c r="AA75" s="99">
        <f t="shared" si="84"/>
        <v>0</v>
      </c>
      <c r="AB75" s="100">
        <f t="shared" si="85"/>
        <v>0</v>
      </c>
      <c r="AC75" s="102"/>
      <c r="AD75" s="101">
        <f t="shared" si="86"/>
        <v>0</v>
      </c>
      <c r="AE75" s="102"/>
      <c r="AF75" s="101">
        <f t="shared" si="87"/>
        <v>0</v>
      </c>
      <c r="AG75" s="102"/>
      <c r="AH75" s="103">
        <f t="shared" si="88"/>
        <v>0</v>
      </c>
      <c r="AI75" s="725"/>
      <c r="AK75" s="148"/>
    </row>
    <row r="76" spans="1:37" s="192" customFormat="1" ht="13.5" customHeight="1" x14ac:dyDescent="0.25">
      <c r="A76" s="167">
        <v>5</v>
      </c>
      <c r="B76" s="847"/>
      <c r="C76" s="849"/>
      <c r="D76" s="848"/>
      <c r="E76" s="455"/>
      <c r="F76" s="460"/>
      <c r="G76" s="105" t="str">
        <f>IF(B76="","","40-030-155")</f>
        <v/>
      </c>
      <c r="H76" s="672">
        <f t="shared" si="89"/>
        <v>93.75</v>
      </c>
      <c r="I76" s="673">
        <f t="shared" si="90"/>
        <v>101.75</v>
      </c>
      <c r="J76" s="417"/>
      <c r="K76" s="418"/>
      <c r="L76" s="102"/>
      <c r="M76" s="422"/>
      <c r="N76" s="418"/>
      <c r="O76" s="93">
        <f t="shared" si="78"/>
        <v>0</v>
      </c>
      <c r="P76" s="94">
        <f t="shared" si="91"/>
        <v>0</v>
      </c>
      <c r="Q76" s="94">
        <f t="shared" si="79"/>
        <v>0</v>
      </c>
      <c r="R76" s="95">
        <f t="shared" si="80"/>
        <v>0</v>
      </c>
      <c r="S76" s="102"/>
      <c r="T76" s="308"/>
      <c r="U76" s="115"/>
      <c r="V76" s="96">
        <f t="shared" si="81"/>
        <v>0</v>
      </c>
      <c r="W76" s="97">
        <f t="shared" si="82"/>
        <v>0</v>
      </c>
      <c r="X76" s="98">
        <f t="shared" si="83"/>
        <v>0</v>
      </c>
      <c r="Y76" s="102"/>
      <c r="Z76" s="188"/>
      <c r="AA76" s="99">
        <f t="shared" si="84"/>
        <v>0</v>
      </c>
      <c r="AB76" s="100">
        <f t="shared" si="85"/>
        <v>0</v>
      </c>
      <c r="AC76" s="102"/>
      <c r="AD76" s="101">
        <f t="shared" si="86"/>
        <v>0</v>
      </c>
      <c r="AE76" s="102"/>
      <c r="AF76" s="101">
        <f t="shared" si="87"/>
        <v>0</v>
      </c>
      <c r="AG76" s="102"/>
      <c r="AH76" s="103">
        <f t="shared" si="88"/>
        <v>0</v>
      </c>
      <c r="AI76" s="725"/>
      <c r="AK76" s="148"/>
    </row>
    <row r="77" spans="1:37" s="192" customFormat="1" ht="13.5" customHeight="1" x14ac:dyDescent="0.25">
      <c r="A77" s="167">
        <v>6</v>
      </c>
      <c r="B77" s="847"/>
      <c r="C77" s="849"/>
      <c r="D77" s="848"/>
      <c r="E77" s="455"/>
      <c r="F77" s="460"/>
      <c r="G77" s="105" t="str">
        <f>IF(B77="","","40-030-156")</f>
        <v/>
      </c>
      <c r="H77" s="672">
        <f t="shared" si="89"/>
        <v>93.75</v>
      </c>
      <c r="I77" s="673">
        <f t="shared" si="90"/>
        <v>101.75</v>
      </c>
      <c r="J77" s="417"/>
      <c r="K77" s="418"/>
      <c r="L77" s="102"/>
      <c r="M77" s="422"/>
      <c r="N77" s="418"/>
      <c r="O77" s="93">
        <f t="shared" si="78"/>
        <v>0</v>
      </c>
      <c r="P77" s="94">
        <f t="shared" si="91"/>
        <v>0</v>
      </c>
      <c r="Q77" s="94">
        <f t="shared" si="79"/>
        <v>0</v>
      </c>
      <c r="R77" s="95">
        <f t="shared" si="80"/>
        <v>0</v>
      </c>
      <c r="S77" s="102"/>
      <c r="T77" s="308"/>
      <c r="U77" s="115"/>
      <c r="V77" s="96">
        <f t="shared" si="81"/>
        <v>0</v>
      </c>
      <c r="W77" s="97">
        <f t="shared" si="82"/>
        <v>0</v>
      </c>
      <c r="X77" s="98">
        <f t="shared" si="83"/>
        <v>0</v>
      </c>
      <c r="Y77" s="102"/>
      <c r="Z77" s="188"/>
      <c r="AA77" s="99">
        <f t="shared" si="84"/>
        <v>0</v>
      </c>
      <c r="AB77" s="100">
        <f t="shared" si="85"/>
        <v>0</v>
      </c>
      <c r="AC77" s="102"/>
      <c r="AD77" s="101">
        <f t="shared" si="86"/>
        <v>0</v>
      </c>
      <c r="AE77" s="102"/>
      <c r="AF77" s="101">
        <f t="shared" si="87"/>
        <v>0</v>
      </c>
      <c r="AG77" s="102"/>
      <c r="AH77" s="103">
        <f t="shared" si="88"/>
        <v>0</v>
      </c>
      <c r="AI77" s="725"/>
      <c r="AK77" s="148"/>
    </row>
    <row r="78" spans="1:37" s="192" customFormat="1" ht="13.5" customHeight="1" x14ac:dyDescent="0.25">
      <c r="A78" s="167">
        <v>7</v>
      </c>
      <c r="B78" s="847"/>
      <c r="C78" s="849"/>
      <c r="D78" s="848"/>
      <c r="E78" s="455"/>
      <c r="F78" s="460"/>
      <c r="G78" s="105" t="str">
        <f>IF(B78="","","40-030-157")</f>
        <v/>
      </c>
      <c r="H78" s="672">
        <f t="shared" si="89"/>
        <v>93.75</v>
      </c>
      <c r="I78" s="673">
        <f t="shared" si="90"/>
        <v>101.75</v>
      </c>
      <c r="J78" s="417"/>
      <c r="K78" s="418"/>
      <c r="L78" s="102"/>
      <c r="M78" s="422"/>
      <c r="N78" s="418"/>
      <c r="O78" s="93">
        <f t="shared" si="78"/>
        <v>0</v>
      </c>
      <c r="P78" s="94">
        <f t="shared" si="91"/>
        <v>0</v>
      </c>
      <c r="Q78" s="94">
        <f t="shared" si="79"/>
        <v>0</v>
      </c>
      <c r="R78" s="95">
        <f t="shared" si="80"/>
        <v>0</v>
      </c>
      <c r="S78" s="102"/>
      <c r="T78" s="308"/>
      <c r="U78" s="115"/>
      <c r="V78" s="96">
        <f t="shared" si="81"/>
        <v>0</v>
      </c>
      <c r="W78" s="97">
        <f t="shared" si="82"/>
        <v>0</v>
      </c>
      <c r="X78" s="98">
        <f t="shared" si="83"/>
        <v>0</v>
      </c>
      <c r="Y78" s="102"/>
      <c r="Z78" s="188"/>
      <c r="AA78" s="99">
        <f t="shared" si="84"/>
        <v>0</v>
      </c>
      <c r="AB78" s="100">
        <f t="shared" si="85"/>
        <v>0</v>
      </c>
      <c r="AC78" s="102"/>
      <c r="AD78" s="101">
        <f t="shared" si="86"/>
        <v>0</v>
      </c>
      <c r="AE78" s="102"/>
      <c r="AF78" s="101">
        <f t="shared" si="87"/>
        <v>0</v>
      </c>
      <c r="AG78" s="102"/>
      <c r="AH78" s="103">
        <f t="shared" si="88"/>
        <v>0</v>
      </c>
      <c r="AI78" s="725"/>
      <c r="AK78" s="148"/>
    </row>
    <row r="79" spans="1:37" s="192" customFormat="1" ht="13.5" customHeight="1" x14ac:dyDescent="0.25">
      <c r="A79" s="167">
        <v>8</v>
      </c>
      <c r="B79" s="847"/>
      <c r="C79" s="849"/>
      <c r="D79" s="848"/>
      <c r="E79" s="455"/>
      <c r="F79" s="460"/>
      <c r="G79" s="105" t="str">
        <f>IF(B79="","","40-030-158")</f>
        <v/>
      </c>
      <c r="H79" s="672">
        <f t="shared" si="89"/>
        <v>93.75</v>
      </c>
      <c r="I79" s="673">
        <f t="shared" si="90"/>
        <v>101.75</v>
      </c>
      <c r="J79" s="417"/>
      <c r="K79" s="418"/>
      <c r="L79" s="102"/>
      <c r="M79" s="422"/>
      <c r="N79" s="418"/>
      <c r="O79" s="93">
        <f t="shared" si="78"/>
        <v>0</v>
      </c>
      <c r="P79" s="94">
        <f t="shared" si="91"/>
        <v>0</v>
      </c>
      <c r="Q79" s="94">
        <f t="shared" si="79"/>
        <v>0</v>
      </c>
      <c r="R79" s="95">
        <f t="shared" si="80"/>
        <v>0</v>
      </c>
      <c r="S79" s="102"/>
      <c r="T79" s="308"/>
      <c r="U79" s="115"/>
      <c r="V79" s="96">
        <f t="shared" si="81"/>
        <v>0</v>
      </c>
      <c r="W79" s="97">
        <f t="shared" si="82"/>
        <v>0</v>
      </c>
      <c r="X79" s="98">
        <f t="shared" si="83"/>
        <v>0</v>
      </c>
      <c r="Y79" s="102"/>
      <c r="Z79" s="188"/>
      <c r="AA79" s="99">
        <f t="shared" si="84"/>
        <v>0</v>
      </c>
      <c r="AB79" s="100">
        <f t="shared" si="85"/>
        <v>0</v>
      </c>
      <c r="AC79" s="102"/>
      <c r="AD79" s="101">
        <f t="shared" si="86"/>
        <v>0</v>
      </c>
      <c r="AE79" s="102"/>
      <c r="AF79" s="101">
        <f t="shared" si="87"/>
        <v>0</v>
      </c>
      <c r="AG79" s="102"/>
      <c r="AH79" s="103">
        <f t="shared" si="88"/>
        <v>0</v>
      </c>
      <c r="AI79" s="725"/>
      <c r="AK79" s="148"/>
    </row>
    <row r="80" spans="1:37" s="192" customFormat="1" ht="13.5" customHeight="1" x14ac:dyDescent="0.25">
      <c r="A80" s="167">
        <v>9</v>
      </c>
      <c r="B80" s="847"/>
      <c r="C80" s="849"/>
      <c r="D80" s="848"/>
      <c r="E80" s="455"/>
      <c r="F80" s="460"/>
      <c r="G80" s="105" t="str">
        <f>IF(B80="","","40-030-159")</f>
        <v/>
      </c>
      <c r="H80" s="672">
        <f t="shared" si="89"/>
        <v>93.75</v>
      </c>
      <c r="I80" s="673">
        <f t="shared" si="90"/>
        <v>101.75</v>
      </c>
      <c r="J80" s="417"/>
      <c r="K80" s="418"/>
      <c r="L80" s="102"/>
      <c r="M80" s="422"/>
      <c r="N80" s="418"/>
      <c r="O80" s="93">
        <f>(N80+M80)</f>
        <v>0</v>
      </c>
      <c r="P80" s="94">
        <f t="shared" si="91"/>
        <v>0</v>
      </c>
      <c r="Q80" s="94">
        <f t="shared" si="79"/>
        <v>0</v>
      </c>
      <c r="R80" s="95">
        <f>Q80+P80</f>
        <v>0</v>
      </c>
      <c r="S80" s="102"/>
      <c r="T80" s="308"/>
      <c r="U80" s="115"/>
      <c r="V80" s="96">
        <f t="shared" si="81"/>
        <v>0</v>
      </c>
      <c r="W80" s="97">
        <f t="shared" si="82"/>
        <v>0</v>
      </c>
      <c r="X80" s="98">
        <f>W80+V80</f>
        <v>0</v>
      </c>
      <c r="Y80" s="102"/>
      <c r="Z80" s="188"/>
      <c r="AA80" s="99">
        <f t="shared" si="84"/>
        <v>0</v>
      </c>
      <c r="AB80" s="100">
        <f>AA80+Z80</f>
        <v>0</v>
      </c>
      <c r="AC80" s="102"/>
      <c r="AD80" s="101">
        <f t="shared" si="86"/>
        <v>0</v>
      </c>
      <c r="AE80" s="102"/>
      <c r="AF80" s="101">
        <f t="shared" si="87"/>
        <v>0</v>
      </c>
      <c r="AG80" s="102"/>
      <c r="AH80" s="103">
        <f>AF80+Z80+V80+P80</f>
        <v>0</v>
      </c>
      <c r="AI80" s="725"/>
      <c r="AK80" s="148"/>
    </row>
    <row r="81" spans="1:38" s="192" customFormat="1" ht="13.5" hidden="1" customHeight="1" x14ac:dyDescent="0.25">
      <c r="A81" s="167">
        <v>10</v>
      </c>
      <c r="B81" s="847"/>
      <c r="C81" s="849"/>
      <c r="D81" s="848"/>
      <c r="E81" s="455"/>
      <c r="F81" s="455"/>
      <c r="G81" s="105" t="str">
        <f>IF(B81="","","40-030-160")</f>
        <v/>
      </c>
      <c r="H81" s="672">
        <f t="shared" si="89"/>
        <v>93.75</v>
      </c>
      <c r="I81" s="673">
        <f t="shared" si="90"/>
        <v>101.75</v>
      </c>
      <c r="J81" s="417"/>
      <c r="K81" s="418"/>
      <c r="L81" s="57"/>
      <c r="M81" s="422"/>
      <c r="N81" s="418"/>
      <c r="O81" s="86">
        <f>(N81+M81)</f>
        <v>0</v>
      </c>
      <c r="P81" s="94">
        <f t="shared" si="91"/>
        <v>0</v>
      </c>
      <c r="Q81" s="94">
        <f t="shared" si="79"/>
        <v>0</v>
      </c>
      <c r="R81" s="95">
        <f>Q81+P81</f>
        <v>0</v>
      </c>
      <c r="S81" s="57"/>
      <c r="T81" s="456"/>
      <c r="U81" s="457"/>
      <c r="V81" s="96">
        <f t="shared" si="81"/>
        <v>0</v>
      </c>
      <c r="W81" s="97">
        <f t="shared" si="82"/>
        <v>0</v>
      </c>
      <c r="X81" s="98">
        <f>W81+V81</f>
        <v>0</v>
      </c>
      <c r="Y81" s="102"/>
      <c r="Z81" s="458"/>
      <c r="AA81" s="113">
        <f t="shared" si="84"/>
        <v>0</v>
      </c>
      <c r="AB81" s="100">
        <f>AA81+Z81</f>
        <v>0</v>
      </c>
      <c r="AC81" s="102"/>
      <c r="AD81" s="101">
        <f t="shared" si="86"/>
        <v>0</v>
      </c>
      <c r="AE81" s="102"/>
      <c r="AF81" s="101">
        <f t="shared" si="87"/>
        <v>0</v>
      </c>
      <c r="AG81" s="102"/>
      <c r="AH81" s="103">
        <f>AF81+Z81+V81+P81</f>
        <v>0</v>
      </c>
      <c r="AI81" s="725"/>
      <c r="AK81" s="148"/>
    </row>
    <row r="82" spans="1:38" s="192" customFormat="1" ht="13.5" hidden="1" customHeight="1" x14ac:dyDescent="0.25">
      <c r="A82" s="167">
        <v>11</v>
      </c>
      <c r="B82" s="847"/>
      <c r="C82" s="849"/>
      <c r="D82" s="848"/>
      <c r="E82" s="455"/>
      <c r="F82" s="460"/>
      <c r="G82" s="105" t="str">
        <f>IF(B82="","","40-030-161")</f>
        <v/>
      </c>
      <c r="H82" s="672">
        <f t="shared" si="89"/>
        <v>93.75</v>
      </c>
      <c r="I82" s="673">
        <f t="shared" si="90"/>
        <v>101.75</v>
      </c>
      <c r="J82" s="440"/>
      <c r="K82" s="418"/>
      <c r="L82" s="57"/>
      <c r="M82" s="442"/>
      <c r="N82" s="441"/>
      <c r="O82" s="93">
        <f t="shared" ref="O82:O88" si="92">(N82+M82)</f>
        <v>0</v>
      </c>
      <c r="P82" s="94">
        <f t="shared" si="91"/>
        <v>0</v>
      </c>
      <c r="Q82" s="94">
        <f t="shared" si="79"/>
        <v>0</v>
      </c>
      <c r="R82" s="95">
        <f t="shared" ref="R82:R88" si="93">Q82+P82</f>
        <v>0</v>
      </c>
      <c r="S82" s="102"/>
      <c r="T82" s="309"/>
      <c r="U82" s="116"/>
      <c r="V82" s="96">
        <f t="shared" si="81"/>
        <v>0</v>
      </c>
      <c r="W82" s="97">
        <f t="shared" si="82"/>
        <v>0</v>
      </c>
      <c r="X82" s="98">
        <f t="shared" ref="X82:X88" si="94">W82+V82</f>
        <v>0</v>
      </c>
      <c r="Y82" s="57"/>
      <c r="Z82" s="189"/>
      <c r="AA82" s="99">
        <f t="shared" si="84"/>
        <v>0</v>
      </c>
      <c r="AB82" s="100">
        <f t="shared" ref="AB82:AB88" si="95">AA82+Z82</f>
        <v>0</v>
      </c>
      <c r="AC82" s="57"/>
      <c r="AD82" s="101">
        <f t="shared" si="86"/>
        <v>0</v>
      </c>
      <c r="AE82" s="102"/>
      <c r="AF82" s="101">
        <f t="shared" si="87"/>
        <v>0</v>
      </c>
      <c r="AG82" s="102"/>
      <c r="AH82" s="103">
        <f t="shared" ref="AH82:AH88" si="96">AF82+Z82+V82+P82</f>
        <v>0</v>
      </c>
      <c r="AI82" s="725"/>
      <c r="AK82" s="148"/>
    </row>
    <row r="83" spans="1:38" s="192" customFormat="1" ht="13.5" hidden="1" customHeight="1" x14ac:dyDescent="0.25">
      <c r="A83" s="167">
        <v>12</v>
      </c>
      <c r="B83" s="847"/>
      <c r="C83" s="849"/>
      <c r="D83" s="848"/>
      <c r="E83" s="455"/>
      <c r="F83" s="460"/>
      <c r="G83" s="105" t="str">
        <f>IF(B83="","","40-030-162")</f>
        <v/>
      </c>
      <c r="H83" s="672">
        <f t="shared" si="89"/>
        <v>93.75</v>
      </c>
      <c r="I83" s="673">
        <f t="shared" si="90"/>
        <v>101.75</v>
      </c>
      <c r="J83" s="417"/>
      <c r="K83" s="418"/>
      <c r="L83" s="102"/>
      <c r="M83" s="422"/>
      <c r="N83" s="418"/>
      <c r="O83" s="93">
        <f t="shared" si="92"/>
        <v>0</v>
      </c>
      <c r="P83" s="94">
        <f t="shared" si="91"/>
        <v>0</v>
      </c>
      <c r="Q83" s="94">
        <f>P83*$V$3</f>
        <v>0</v>
      </c>
      <c r="R83" s="95">
        <f t="shared" si="93"/>
        <v>0</v>
      </c>
      <c r="S83" s="102"/>
      <c r="T83" s="308"/>
      <c r="U83" s="115"/>
      <c r="V83" s="96">
        <f>(T83+U83)*(1+$X$4)</f>
        <v>0</v>
      </c>
      <c r="W83" s="97">
        <f>V83*$X$3</f>
        <v>0</v>
      </c>
      <c r="X83" s="98">
        <f t="shared" si="94"/>
        <v>0</v>
      </c>
      <c r="Y83" s="102"/>
      <c r="Z83" s="188"/>
      <c r="AA83" s="99">
        <f>Z83*$V$4</f>
        <v>0</v>
      </c>
      <c r="AB83" s="100">
        <f t="shared" si="95"/>
        <v>0</v>
      </c>
      <c r="AC83" s="102"/>
      <c r="AD83" s="101">
        <f t="shared" si="86"/>
        <v>0</v>
      </c>
      <c r="AE83" s="102"/>
      <c r="AF83" s="101">
        <f t="shared" si="87"/>
        <v>0</v>
      </c>
      <c r="AG83" s="102"/>
      <c r="AH83" s="103">
        <f t="shared" si="96"/>
        <v>0</v>
      </c>
      <c r="AI83" s="725"/>
      <c r="AK83" s="148"/>
    </row>
    <row r="84" spans="1:38" s="192" customFormat="1" ht="13.5" hidden="1" customHeight="1" x14ac:dyDescent="0.25">
      <c r="A84" s="167">
        <v>13</v>
      </c>
      <c r="B84" s="847"/>
      <c r="C84" s="849"/>
      <c r="D84" s="848"/>
      <c r="E84" s="455"/>
      <c r="F84" s="460"/>
      <c r="G84" s="105" t="str">
        <f>IF(B84="","","40-030-163")</f>
        <v/>
      </c>
      <c r="H84" s="672">
        <f t="shared" si="89"/>
        <v>93.75</v>
      </c>
      <c r="I84" s="673">
        <f t="shared" si="90"/>
        <v>101.75</v>
      </c>
      <c r="J84" s="417"/>
      <c r="K84" s="418"/>
      <c r="L84" s="102"/>
      <c r="M84" s="422"/>
      <c r="N84" s="418"/>
      <c r="O84" s="93">
        <f t="shared" si="92"/>
        <v>0</v>
      </c>
      <c r="P84" s="94">
        <f t="shared" si="91"/>
        <v>0</v>
      </c>
      <c r="Q84" s="94">
        <f>P84*$V$3</f>
        <v>0</v>
      </c>
      <c r="R84" s="95">
        <f t="shared" si="93"/>
        <v>0</v>
      </c>
      <c r="S84" s="102"/>
      <c r="T84" s="308"/>
      <c r="U84" s="115"/>
      <c r="V84" s="96">
        <f>(T84+U84)*(1+$X$4)</f>
        <v>0</v>
      </c>
      <c r="W84" s="97">
        <f>V84*$X$3</f>
        <v>0</v>
      </c>
      <c r="X84" s="98">
        <f t="shared" si="94"/>
        <v>0</v>
      </c>
      <c r="Y84" s="102"/>
      <c r="Z84" s="188"/>
      <c r="AA84" s="99">
        <f>Z84*$V$4</f>
        <v>0</v>
      </c>
      <c r="AB84" s="100">
        <f t="shared" si="95"/>
        <v>0</v>
      </c>
      <c r="AC84" s="102"/>
      <c r="AD84" s="101">
        <f t="shared" si="86"/>
        <v>0</v>
      </c>
      <c r="AE84" s="102"/>
      <c r="AF84" s="101">
        <f t="shared" si="87"/>
        <v>0</v>
      </c>
      <c r="AG84" s="102"/>
      <c r="AH84" s="103">
        <f t="shared" si="96"/>
        <v>0</v>
      </c>
      <c r="AI84" s="725"/>
      <c r="AK84" s="148"/>
    </row>
    <row r="85" spans="1:38" s="192" customFormat="1" ht="13.5" hidden="1" customHeight="1" x14ac:dyDescent="0.25">
      <c r="A85" s="167">
        <v>14</v>
      </c>
      <c r="B85" s="847"/>
      <c r="C85" s="849"/>
      <c r="D85" s="848"/>
      <c r="E85" s="455"/>
      <c r="F85" s="460"/>
      <c r="G85" s="105" t="str">
        <f>IF(B85="","","40-030-164")</f>
        <v/>
      </c>
      <c r="H85" s="672">
        <f t="shared" si="89"/>
        <v>93.75</v>
      </c>
      <c r="I85" s="673">
        <f t="shared" si="90"/>
        <v>101.75</v>
      </c>
      <c r="J85" s="417"/>
      <c r="K85" s="418"/>
      <c r="L85" s="102"/>
      <c r="M85" s="422"/>
      <c r="N85" s="418"/>
      <c r="O85" s="93">
        <f t="shared" si="92"/>
        <v>0</v>
      </c>
      <c r="P85" s="94">
        <f t="shared" si="91"/>
        <v>0</v>
      </c>
      <c r="Q85" s="94">
        <f>P85*$V$3</f>
        <v>0</v>
      </c>
      <c r="R85" s="95">
        <f t="shared" si="93"/>
        <v>0</v>
      </c>
      <c r="S85" s="102"/>
      <c r="T85" s="308"/>
      <c r="U85" s="115"/>
      <c r="V85" s="96">
        <f>(T85+U85)*(1+$X$4)</f>
        <v>0</v>
      </c>
      <c r="W85" s="97">
        <f>V85*$X$3</f>
        <v>0</v>
      </c>
      <c r="X85" s="98">
        <f t="shared" si="94"/>
        <v>0</v>
      </c>
      <c r="Y85" s="102"/>
      <c r="Z85" s="188"/>
      <c r="AA85" s="99">
        <f>Z85*$V$4</f>
        <v>0</v>
      </c>
      <c r="AB85" s="100">
        <f t="shared" si="95"/>
        <v>0</v>
      </c>
      <c r="AC85" s="102"/>
      <c r="AD85" s="101">
        <f t="shared" si="86"/>
        <v>0</v>
      </c>
      <c r="AE85" s="102"/>
      <c r="AF85" s="101">
        <f t="shared" si="87"/>
        <v>0</v>
      </c>
      <c r="AG85" s="102"/>
      <c r="AH85" s="103">
        <f t="shared" si="96"/>
        <v>0</v>
      </c>
      <c r="AI85" s="725"/>
      <c r="AK85" s="148"/>
      <c r="AL85" s="753"/>
    </row>
    <row r="86" spans="1:38" s="192" customFormat="1" ht="13.5" hidden="1" customHeight="1" x14ac:dyDescent="0.25">
      <c r="A86" s="167">
        <v>15</v>
      </c>
      <c r="B86" s="847"/>
      <c r="C86" s="849"/>
      <c r="D86" s="848"/>
      <c r="E86" s="455"/>
      <c r="F86" s="455"/>
      <c r="G86" s="105" t="str">
        <f>IF(B86="","","40-030-165")</f>
        <v/>
      </c>
      <c r="H86" s="672">
        <f t="shared" si="89"/>
        <v>93.75</v>
      </c>
      <c r="I86" s="673">
        <f t="shared" si="90"/>
        <v>101.75</v>
      </c>
      <c r="J86" s="417"/>
      <c r="K86" s="418"/>
      <c r="L86" s="102"/>
      <c r="M86" s="422"/>
      <c r="N86" s="418"/>
      <c r="O86" s="93">
        <f t="shared" si="92"/>
        <v>0</v>
      </c>
      <c r="P86" s="94">
        <f t="shared" si="91"/>
        <v>0</v>
      </c>
      <c r="Q86" s="94">
        <f t="shared" ref="Q86:Q88" si="97">P86*$V$3</f>
        <v>0</v>
      </c>
      <c r="R86" s="95">
        <f t="shared" si="93"/>
        <v>0</v>
      </c>
      <c r="S86" s="102"/>
      <c r="T86" s="308"/>
      <c r="U86" s="115"/>
      <c r="V86" s="96">
        <f t="shared" ref="V86:V88" si="98">(T86+U86)*(1+$X$4)</f>
        <v>0</v>
      </c>
      <c r="W86" s="97">
        <f t="shared" ref="W86:W88" si="99">V86*$X$3</f>
        <v>0</v>
      </c>
      <c r="X86" s="98">
        <f t="shared" si="94"/>
        <v>0</v>
      </c>
      <c r="Y86" s="102"/>
      <c r="Z86" s="188"/>
      <c r="AA86" s="99">
        <f t="shared" ref="AA86:AA88" si="100">Z86*$V$4</f>
        <v>0</v>
      </c>
      <c r="AB86" s="100">
        <f t="shared" si="95"/>
        <v>0</v>
      </c>
      <c r="AC86" s="102"/>
      <c r="AD86" s="101">
        <f t="shared" ref="AD86:AD88" si="101">Z86+V86+P86</f>
        <v>0</v>
      </c>
      <c r="AE86" s="102"/>
      <c r="AF86" s="101">
        <f t="shared" ref="AF86:AF88" si="102">W86+AA86+Q86</f>
        <v>0</v>
      </c>
      <c r="AG86" s="102"/>
      <c r="AH86" s="103">
        <f t="shared" si="96"/>
        <v>0</v>
      </c>
      <c r="AI86" s="725"/>
      <c r="AK86" s="148"/>
    </row>
    <row r="87" spans="1:38" s="192" customFormat="1" ht="13.5" hidden="1" customHeight="1" x14ac:dyDescent="0.25">
      <c r="A87" s="167">
        <v>16</v>
      </c>
      <c r="B87" s="847"/>
      <c r="C87" s="849"/>
      <c r="D87" s="848"/>
      <c r="E87" s="455"/>
      <c r="F87" s="460"/>
      <c r="G87" s="105" t="str">
        <f>IF(B87="","","40-030-166")</f>
        <v/>
      </c>
      <c r="H87" s="672">
        <f t="shared" si="89"/>
        <v>93.75</v>
      </c>
      <c r="I87" s="673">
        <f t="shared" si="90"/>
        <v>101.75</v>
      </c>
      <c r="J87" s="417"/>
      <c r="K87" s="418"/>
      <c r="L87" s="102"/>
      <c r="M87" s="422"/>
      <c r="N87" s="418"/>
      <c r="O87" s="93">
        <f t="shared" si="92"/>
        <v>0</v>
      </c>
      <c r="P87" s="94">
        <f t="shared" si="91"/>
        <v>0</v>
      </c>
      <c r="Q87" s="94">
        <f t="shared" si="97"/>
        <v>0</v>
      </c>
      <c r="R87" s="95">
        <f t="shared" si="93"/>
        <v>0</v>
      </c>
      <c r="S87" s="102"/>
      <c r="T87" s="308"/>
      <c r="U87" s="115"/>
      <c r="V87" s="96">
        <f t="shared" si="98"/>
        <v>0</v>
      </c>
      <c r="W87" s="97">
        <f t="shared" si="99"/>
        <v>0</v>
      </c>
      <c r="X87" s="98">
        <f t="shared" si="94"/>
        <v>0</v>
      </c>
      <c r="Y87" s="102"/>
      <c r="Z87" s="188"/>
      <c r="AA87" s="99">
        <f t="shared" si="100"/>
        <v>0</v>
      </c>
      <c r="AB87" s="100">
        <f t="shared" si="95"/>
        <v>0</v>
      </c>
      <c r="AC87" s="102"/>
      <c r="AD87" s="101">
        <f t="shared" si="101"/>
        <v>0</v>
      </c>
      <c r="AE87" s="102"/>
      <c r="AF87" s="101">
        <f t="shared" si="102"/>
        <v>0</v>
      </c>
      <c r="AG87" s="102"/>
      <c r="AH87" s="103">
        <f t="shared" si="96"/>
        <v>0</v>
      </c>
      <c r="AI87" s="725"/>
      <c r="AK87" s="148"/>
    </row>
    <row r="88" spans="1:38" s="192" customFormat="1" ht="13.5" hidden="1" customHeight="1" x14ac:dyDescent="0.25">
      <c r="A88" s="167">
        <v>17</v>
      </c>
      <c r="B88" s="847"/>
      <c r="C88" s="849"/>
      <c r="D88" s="848"/>
      <c r="E88" s="455"/>
      <c r="F88" s="460"/>
      <c r="G88" s="105" t="str">
        <f>IF(B88="","","40-030-167")</f>
        <v/>
      </c>
      <c r="H88" s="672">
        <f t="shared" si="89"/>
        <v>93.75</v>
      </c>
      <c r="I88" s="673">
        <f t="shared" si="90"/>
        <v>101.75</v>
      </c>
      <c r="J88" s="417"/>
      <c r="K88" s="418"/>
      <c r="L88" s="102"/>
      <c r="M88" s="422"/>
      <c r="N88" s="418"/>
      <c r="O88" s="93">
        <f t="shared" si="92"/>
        <v>0</v>
      </c>
      <c r="P88" s="94">
        <f t="shared" si="91"/>
        <v>0</v>
      </c>
      <c r="Q88" s="94">
        <f t="shared" si="97"/>
        <v>0</v>
      </c>
      <c r="R88" s="95">
        <f t="shared" si="93"/>
        <v>0</v>
      </c>
      <c r="S88" s="102"/>
      <c r="T88" s="308"/>
      <c r="U88" s="115"/>
      <c r="V88" s="96">
        <f t="shared" si="98"/>
        <v>0</v>
      </c>
      <c r="W88" s="97">
        <f t="shared" si="99"/>
        <v>0</v>
      </c>
      <c r="X88" s="98">
        <f t="shared" si="94"/>
        <v>0</v>
      </c>
      <c r="Y88" s="102"/>
      <c r="Z88" s="188"/>
      <c r="AA88" s="99">
        <f t="shared" si="100"/>
        <v>0</v>
      </c>
      <c r="AB88" s="100">
        <f t="shared" si="95"/>
        <v>0</v>
      </c>
      <c r="AC88" s="102"/>
      <c r="AD88" s="101">
        <f t="shared" si="101"/>
        <v>0</v>
      </c>
      <c r="AE88" s="102"/>
      <c r="AF88" s="101">
        <f t="shared" si="102"/>
        <v>0</v>
      </c>
      <c r="AG88" s="102"/>
      <c r="AH88" s="103">
        <f t="shared" si="96"/>
        <v>0</v>
      </c>
      <c r="AI88" s="725"/>
      <c r="AK88" s="148"/>
    </row>
    <row r="89" spans="1:38" s="192" customFormat="1" ht="13.5" hidden="1" customHeight="1" x14ac:dyDescent="0.25">
      <c r="A89" s="167">
        <v>18</v>
      </c>
      <c r="B89" s="847"/>
      <c r="C89" s="849"/>
      <c r="D89" s="848"/>
      <c r="E89" s="455"/>
      <c r="F89" s="455"/>
      <c r="G89" s="105" t="str">
        <f>IF(B89="","","40-030-168")</f>
        <v/>
      </c>
      <c r="H89" s="672">
        <f t="shared" si="89"/>
        <v>93.75</v>
      </c>
      <c r="I89" s="673">
        <f t="shared" si="90"/>
        <v>101.75</v>
      </c>
      <c r="J89" s="417"/>
      <c r="K89" s="418"/>
      <c r="L89" s="102"/>
      <c r="M89" s="422"/>
      <c r="N89" s="418"/>
      <c r="O89" s="93">
        <f t="shared" ref="O89:O101" si="103">(N89+M89)</f>
        <v>0</v>
      </c>
      <c r="P89" s="94">
        <f t="shared" si="91"/>
        <v>0</v>
      </c>
      <c r="Q89" s="94">
        <f t="shared" ref="Q89:Q104" si="104">P89*$V$3</f>
        <v>0</v>
      </c>
      <c r="R89" s="95">
        <f t="shared" ref="R89:R101" si="105">Q89+P89</f>
        <v>0</v>
      </c>
      <c r="S89" s="102"/>
      <c r="T89" s="308"/>
      <c r="U89" s="115"/>
      <c r="V89" s="96">
        <f t="shared" ref="V89:V104" si="106">(T89+U89)*(1+$X$4)</f>
        <v>0</v>
      </c>
      <c r="W89" s="97">
        <f t="shared" ref="W89:W104" si="107">V89*$X$3</f>
        <v>0</v>
      </c>
      <c r="X89" s="98">
        <f t="shared" ref="X89:X101" si="108">W89+V89</f>
        <v>0</v>
      </c>
      <c r="Y89" s="102"/>
      <c r="Z89" s="188"/>
      <c r="AA89" s="99">
        <f t="shared" ref="AA89:AA104" si="109">Z89*$V$4</f>
        <v>0</v>
      </c>
      <c r="AB89" s="100">
        <f t="shared" ref="AB89:AB101" si="110">AA89+Z89</f>
        <v>0</v>
      </c>
      <c r="AC89" s="102"/>
      <c r="AD89" s="101">
        <f t="shared" ref="AD89:AD107" si="111">Z89+V89+P89</f>
        <v>0</v>
      </c>
      <c r="AE89" s="102"/>
      <c r="AF89" s="101">
        <f t="shared" ref="AF89:AF107" si="112">W89+AA89+Q89</f>
        <v>0</v>
      </c>
      <c r="AG89" s="102"/>
      <c r="AH89" s="103">
        <f t="shared" ref="AH89:AH101" si="113">AF89+Z89+V89+P89</f>
        <v>0</v>
      </c>
      <c r="AI89" s="725"/>
      <c r="AK89" s="148"/>
    </row>
    <row r="90" spans="1:38" s="192" customFormat="1" ht="13.5" hidden="1" customHeight="1" x14ac:dyDescent="0.25">
      <c r="A90" s="167">
        <v>19</v>
      </c>
      <c r="B90" s="847"/>
      <c r="C90" s="849"/>
      <c r="D90" s="848"/>
      <c r="E90" s="455"/>
      <c r="F90" s="460"/>
      <c r="G90" s="105" t="str">
        <f>IF(B90="","","40-030-169")</f>
        <v/>
      </c>
      <c r="H90" s="672">
        <f t="shared" si="89"/>
        <v>93.75</v>
      </c>
      <c r="I90" s="673">
        <f t="shared" si="90"/>
        <v>101.75</v>
      </c>
      <c r="J90" s="417"/>
      <c r="K90" s="418"/>
      <c r="L90" s="102"/>
      <c r="M90" s="422"/>
      <c r="N90" s="418"/>
      <c r="O90" s="93">
        <f t="shared" si="103"/>
        <v>0</v>
      </c>
      <c r="P90" s="94">
        <f t="shared" si="91"/>
        <v>0</v>
      </c>
      <c r="Q90" s="94">
        <f t="shared" si="104"/>
        <v>0</v>
      </c>
      <c r="R90" s="95">
        <f t="shared" si="105"/>
        <v>0</v>
      </c>
      <c r="S90" s="102"/>
      <c r="T90" s="308"/>
      <c r="U90" s="115"/>
      <c r="V90" s="96">
        <f t="shared" si="106"/>
        <v>0</v>
      </c>
      <c r="W90" s="97">
        <f t="shared" si="107"/>
        <v>0</v>
      </c>
      <c r="X90" s="98">
        <f t="shared" si="108"/>
        <v>0</v>
      </c>
      <c r="Y90" s="102"/>
      <c r="Z90" s="188"/>
      <c r="AA90" s="99">
        <f t="shared" si="109"/>
        <v>0</v>
      </c>
      <c r="AB90" s="100">
        <f t="shared" si="110"/>
        <v>0</v>
      </c>
      <c r="AC90" s="102"/>
      <c r="AD90" s="101">
        <f t="shared" si="111"/>
        <v>0</v>
      </c>
      <c r="AE90" s="102"/>
      <c r="AF90" s="101">
        <f t="shared" si="112"/>
        <v>0</v>
      </c>
      <c r="AG90" s="102"/>
      <c r="AH90" s="103">
        <f t="shared" si="113"/>
        <v>0</v>
      </c>
      <c r="AI90" s="725"/>
      <c r="AK90" s="148"/>
    </row>
    <row r="91" spans="1:38" s="192" customFormat="1" ht="13.5" hidden="1" customHeight="1" x14ac:dyDescent="0.25">
      <c r="A91" s="167">
        <v>20</v>
      </c>
      <c r="B91" s="847"/>
      <c r="C91" s="849"/>
      <c r="D91" s="848"/>
      <c r="E91" s="455"/>
      <c r="F91" s="460"/>
      <c r="G91" s="105" t="str">
        <f>IF(B91="","","40-030-170")</f>
        <v/>
      </c>
      <c r="H91" s="672">
        <f t="shared" si="89"/>
        <v>93.75</v>
      </c>
      <c r="I91" s="673">
        <f t="shared" si="90"/>
        <v>101.75</v>
      </c>
      <c r="J91" s="417"/>
      <c r="K91" s="418"/>
      <c r="L91" s="102"/>
      <c r="M91" s="422"/>
      <c r="N91" s="418"/>
      <c r="O91" s="93">
        <f t="shared" si="103"/>
        <v>0</v>
      </c>
      <c r="P91" s="94">
        <f t="shared" si="91"/>
        <v>0</v>
      </c>
      <c r="Q91" s="94">
        <f t="shared" si="104"/>
        <v>0</v>
      </c>
      <c r="R91" s="95">
        <f t="shared" si="105"/>
        <v>0</v>
      </c>
      <c r="S91" s="102"/>
      <c r="T91" s="308"/>
      <c r="U91" s="115"/>
      <c r="V91" s="96">
        <f t="shared" si="106"/>
        <v>0</v>
      </c>
      <c r="W91" s="97">
        <f t="shared" si="107"/>
        <v>0</v>
      </c>
      <c r="X91" s="98">
        <f t="shared" si="108"/>
        <v>0</v>
      </c>
      <c r="Y91" s="102"/>
      <c r="Z91" s="188"/>
      <c r="AA91" s="99">
        <f t="shared" si="109"/>
        <v>0</v>
      </c>
      <c r="AB91" s="100">
        <f t="shared" si="110"/>
        <v>0</v>
      </c>
      <c r="AC91" s="102"/>
      <c r="AD91" s="101">
        <f t="shared" si="111"/>
        <v>0</v>
      </c>
      <c r="AE91" s="102"/>
      <c r="AF91" s="101">
        <f t="shared" si="112"/>
        <v>0</v>
      </c>
      <c r="AG91" s="102"/>
      <c r="AH91" s="103">
        <f t="shared" si="113"/>
        <v>0</v>
      </c>
      <c r="AI91" s="725"/>
      <c r="AK91" s="148"/>
    </row>
    <row r="92" spans="1:38" s="192" customFormat="1" ht="13.5" hidden="1" customHeight="1" x14ac:dyDescent="0.25">
      <c r="A92" s="167">
        <v>21</v>
      </c>
      <c r="B92" s="847"/>
      <c r="C92" s="849"/>
      <c r="D92" s="848"/>
      <c r="E92" s="455"/>
      <c r="F92" s="460"/>
      <c r="G92" s="105" t="str">
        <f>IF(B92="","","40-030-171")</f>
        <v/>
      </c>
      <c r="H92" s="672">
        <f t="shared" si="89"/>
        <v>93.75</v>
      </c>
      <c r="I92" s="673">
        <f t="shared" si="90"/>
        <v>101.75</v>
      </c>
      <c r="J92" s="417"/>
      <c r="K92" s="418"/>
      <c r="L92" s="102"/>
      <c r="M92" s="422"/>
      <c r="N92" s="418"/>
      <c r="O92" s="93">
        <f t="shared" si="103"/>
        <v>0</v>
      </c>
      <c r="P92" s="94">
        <f t="shared" si="91"/>
        <v>0</v>
      </c>
      <c r="Q92" s="94">
        <f t="shared" si="104"/>
        <v>0</v>
      </c>
      <c r="R92" s="95">
        <f t="shared" si="105"/>
        <v>0</v>
      </c>
      <c r="S92" s="102"/>
      <c r="T92" s="308"/>
      <c r="U92" s="115"/>
      <c r="V92" s="96">
        <f t="shared" si="106"/>
        <v>0</v>
      </c>
      <c r="W92" s="97">
        <f t="shared" si="107"/>
        <v>0</v>
      </c>
      <c r="X92" s="98">
        <f t="shared" si="108"/>
        <v>0</v>
      </c>
      <c r="Y92" s="102"/>
      <c r="Z92" s="188"/>
      <c r="AA92" s="99">
        <f t="shared" si="109"/>
        <v>0</v>
      </c>
      <c r="AB92" s="100">
        <f t="shared" si="110"/>
        <v>0</v>
      </c>
      <c r="AC92" s="102"/>
      <c r="AD92" s="101">
        <f t="shared" si="111"/>
        <v>0</v>
      </c>
      <c r="AE92" s="102"/>
      <c r="AF92" s="101">
        <f t="shared" si="112"/>
        <v>0</v>
      </c>
      <c r="AG92" s="102"/>
      <c r="AH92" s="103">
        <f t="shared" si="113"/>
        <v>0</v>
      </c>
      <c r="AI92" s="725"/>
      <c r="AK92" s="148"/>
    </row>
    <row r="93" spans="1:38" s="192" customFormat="1" ht="13.5" hidden="1" customHeight="1" x14ac:dyDescent="0.25">
      <c r="A93" s="167">
        <v>22</v>
      </c>
      <c r="B93" s="847"/>
      <c r="C93" s="849"/>
      <c r="D93" s="848"/>
      <c r="E93" s="455"/>
      <c r="F93" s="460"/>
      <c r="G93" s="105" t="str">
        <f>IF(B93="","","40-030-172")</f>
        <v/>
      </c>
      <c r="H93" s="672">
        <f t="shared" si="89"/>
        <v>93.75</v>
      </c>
      <c r="I93" s="673">
        <f t="shared" si="90"/>
        <v>101.75</v>
      </c>
      <c r="J93" s="417"/>
      <c r="K93" s="418"/>
      <c r="L93" s="102"/>
      <c r="M93" s="422"/>
      <c r="N93" s="418"/>
      <c r="O93" s="93">
        <f t="shared" ref="O93:O95" si="114">(N93+M93)</f>
        <v>0</v>
      </c>
      <c r="P93" s="94">
        <f t="shared" si="91"/>
        <v>0</v>
      </c>
      <c r="Q93" s="94">
        <f t="shared" ref="Q93:Q98" si="115">P93*$V$3</f>
        <v>0</v>
      </c>
      <c r="R93" s="95">
        <f t="shared" ref="R93:R95" si="116">Q93+P93</f>
        <v>0</v>
      </c>
      <c r="S93" s="102"/>
      <c r="T93" s="308"/>
      <c r="U93" s="115"/>
      <c r="V93" s="96">
        <f t="shared" ref="V93:V98" si="117">(T93+U93)*(1+$X$4)</f>
        <v>0</v>
      </c>
      <c r="W93" s="97">
        <f t="shared" ref="W93:W98" si="118">V93*$X$3</f>
        <v>0</v>
      </c>
      <c r="X93" s="98">
        <f t="shared" ref="X93:X95" si="119">W93+V93</f>
        <v>0</v>
      </c>
      <c r="Y93" s="102"/>
      <c r="Z93" s="188"/>
      <c r="AA93" s="99">
        <f t="shared" ref="AA93:AA98" si="120">Z93*$V$4</f>
        <v>0</v>
      </c>
      <c r="AB93" s="100">
        <f t="shared" ref="AB93:AB95" si="121">AA93+Z93</f>
        <v>0</v>
      </c>
      <c r="AC93" s="102"/>
      <c r="AD93" s="101">
        <f t="shared" ref="AD93:AD98" si="122">Z93+V93+P93</f>
        <v>0</v>
      </c>
      <c r="AE93" s="102"/>
      <c r="AF93" s="101">
        <f t="shared" ref="AF93:AF98" si="123">W93+AA93+Q93</f>
        <v>0</v>
      </c>
      <c r="AG93" s="102"/>
      <c r="AH93" s="103">
        <f t="shared" ref="AH93:AH95" si="124">AF93+Z93+V93+P93</f>
        <v>0</v>
      </c>
      <c r="AI93" s="725"/>
      <c r="AK93" s="148"/>
    </row>
    <row r="94" spans="1:38" s="192" customFormat="1" ht="13.5" hidden="1" customHeight="1" x14ac:dyDescent="0.25">
      <c r="A94" s="167">
        <v>23</v>
      </c>
      <c r="B94" s="847"/>
      <c r="C94" s="849"/>
      <c r="D94" s="848"/>
      <c r="E94" s="455"/>
      <c r="F94" s="460"/>
      <c r="G94" s="105" t="str">
        <f>IF(B94="","","40-030-173")</f>
        <v/>
      </c>
      <c r="H94" s="672">
        <f t="shared" si="89"/>
        <v>93.75</v>
      </c>
      <c r="I94" s="673">
        <f t="shared" si="90"/>
        <v>101.75</v>
      </c>
      <c r="J94" s="417"/>
      <c r="K94" s="418"/>
      <c r="L94" s="102"/>
      <c r="M94" s="422"/>
      <c r="N94" s="418"/>
      <c r="O94" s="93">
        <f t="shared" si="114"/>
        <v>0</v>
      </c>
      <c r="P94" s="94">
        <f t="shared" si="91"/>
        <v>0</v>
      </c>
      <c r="Q94" s="94">
        <f t="shared" si="115"/>
        <v>0</v>
      </c>
      <c r="R94" s="95">
        <f t="shared" si="116"/>
        <v>0</v>
      </c>
      <c r="S94" s="102"/>
      <c r="T94" s="308"/>
      <c r="U94" s="115"/>
      <c r="V94" s="96">
        <f t="shared" si="117"/>
        <v>0</v>
      </c>
      <c r="W94" s="97">
        <f t="shared" si="118"/>
        <v>0</v>
      </c>
      <c r="X94" s="98">
        <f t="shared" si="119"/>
        <v>0</v>
      </c>
      <c r="Y94" s="102"/>
      <c r="Z94" s="188"/>
      <c r="AA94" s="99">
        <f t="shared" si="120"/>
        <v>0</v>
      </c>
      <c r="AB94" s="100">
        <f t="shared" si="121"/>
        <v>0</v>
      </c>
      <c r="AC94" s="102"/>
      <c r="AD94" s="101">
        <f t="shared" si="122"/>
        <v>0</v>
      </c>
      <c r="AE94" s="102"/>
      <c r="AF94" s="101">
        <f t="shared" si="123"/>
        <v>0</v>
      </c>
      <c r="AG94" s="102"/>
      <c r="AH94" s="103">
        <f t="shared" si="124"/>
        <v>0</v>
      </c>
      <c r="AI94" s="725"/>
      <c r="AK94" s="148"/>
    </row>
    <row r="95" spans="1:38" s="192" customFormat="1" ht="13.5" hidden="1" customHeight="1" x14ac:dyDescent="0.25">
      <c r="A95" s="167">
        <v>24</v>
      </c>
      <c r="B95" s="847"/>
      <c r="C95" s="849"/>
      <c r="D95" s="848"/>
      <c r="E95" s="455"/>
      <c r="F95" s="460"/>
      <c r="G95" s="105" t="str">
        <f>IF(B95="","","40-030-174")</f>
        <v/>
      </c>
      <c r="H95" s="672">
        <f t="shared" si="89"/>
        <v>93.75</v>
      </c>
      <c r="I95" s="673">
        <f t="shared" si="90"/>
        <v>101.75</v>
      </c>
      <c r="J95" s="417"/>
      <c r="K95" s="418"/>
      <c r="L95" s="102"/>
      <c r="M95" s="422"/>
      <c r="N95" s="418"/>
      <c r="O95" s="93">
        <f t="shared" si="114"/>
        <v>0</v>
      </c>
      <c r="P95" s="94">
        <f t="shared" si="91"/>
        <v>0</v>
      </c>
      <c r="Q95" s="94">
        <f t="shared" si="115"/>
        <v>0</v>
      </c>
      <c r="R95" s="95">
        <f t="shared" si="116"/>
        <v>0</v>
      </c>
      <c r="S95" s="102"/>
      <c r="T95" s="308"/>
      <c r="U95" s="115"/>
      <c r="V95" s="96">
        <f t="shared" si="117"/>
        <v>0</v>
      </c>
      <c r="W95" s="97">
        <f t="shared" si="118"/>
        <v>0</v>
      </c>
      <c r="X95" s="98">
        <f t="shared" si="119"/>
        <v>0</v>
      </c>
      <c r="Y95" s="102"/>
      <c r="Z95" s="188"/>
      <c r="AA95" s="99">
        <f t="shared" si="120"/>
        <v>0</v>
      </c>
      <c r="AB95" s="100">
        <f t="shared" si="121"/>
        <v>0</v>
      </c>
      <c r="AC95" s="102"/>
      <c r="AD95" s="101">
        <f t="shared" si="122"/>
        <v>0</v>
      </c>
      <c r="AE95" s="102"/>
      <c r="AF95" s="101">
        <f t="shared" si="123"/>
        <v>0</v>
      </c>
      <c r="AG95" s="102"/>
      <c r="AH95" s="103">
        <f t="shared" si="124"/>
        <v>0</v>
      </c>
      <c r="AI95" s="725"/>
      <c r="AK95" s="148"/>
    </row>
    <row r="96" spans="1:38" s="192" customFormat="1" ht="13.5" hidden="1" customHeight="1" x14ac:dyDescent="0.25">
      <c r="A96" s="167">
        <v>25</v>
      </c>
      <c r="B96" s="847"/>
      <c r="C96" s="849"/>
      <c r="D96" s="848"/>
      <c r="E96" s="455"/>
      <c r="F96" s="460"/>
      <c r="G96" s="105" t="str">
        <f>IF(B96="","","40-030-175")</f>
        <v/>
      </c>
      <c r="H96" s="672">
        <f t="shared" si="89"/>
        <v>93.75</v>
      </c>
      <c r="I96" s="673">
        <f t="shared" si="90"/>
        <v>101.75</v>
      </c>
      <c r="J96" s="417"/>
      <c r="K96" s="418"/>
      <c r="L96" s="102"/>
      <c r="M96" s="422"/>
      <c r="N96" s="418"/>
      <c r="O96" s="93">
        <f>(N96+M96)</f>
        <v>0</v>
      </c>
      <c r="P96" s="94">
        <f t="shared" si="91"/>
        <v>0</v>
      </c>
      <c r="Q96" s="94">
        <f t="shared" si="115"/>
        <v>0</v>
      </c>
      <c r="R96" s="95">
        <f>Q96+P96</f>
        <v>0</v>
      </c>
      <c r="S96" s="102"/>
      <c r="T96" s="308"/>
      <c r="U96" s="115"/>
      <c r="V96" s="96">
        <f t="shared" si="117"/>
        <v>0</v>
      </c>
      <c r="W96" s="97">
        <f t="shared" si="118"/>
        <v>0</v>
      </c>
      <c r="X96" s="98">
        <f>W96+V96</f>
        <v>0</v>
      </c>
      <c r="Y96" s="102"/>
      <c r="Z96" s="188"/>
      <c r="AA96" s="99">
        <f t="shared" si="120"/>
        <v>0</v>
      </c>
      <c r="AB96" s="100">
        <f>AA96+Z96</f>
        <v>0</v>
      </c>
      <c r="AC96" s="102"/>
      <c r="AD96" s="101">
        <f t="shared" si="122"/>
        <v>0</v>
      </c>
      <c r="AE96" s="102"/>
      <c r="AF96" s="101">
        <f t="shared" si="123"/>
        <v>0</v>
      </c>
      <c r="AG96" s="102"/>
      <c r="AH96" s="103">
        <f>AF96+Z96+V96+P96</f>
        <v>0</v>
      </c>
      <c r="AI96" s="725"/>
      <c r="AK96" s="148"/>
    </row>
    <row r="97" spans="1:38" s="192" customFormat="1" ht="13.5" hidden="1" customHeight="1" x14ac:dyDescent="0.25">
      <c r="A97" s="167">
        <v>26</v>
      </c>
      <c r="B97" s="847"/>
      <c r="C97" s="849"/>
      <c r="D97" s="848"/>
      <c r="E97" s="455"/>
      <c r="F97" s="455"/>
      <c r="G97" s="105" t="str">
        <f>IF(B97="","","40-030-176")</f>
        <v/>
      </c>
      <c r="H97" s="672">
        <f t="shared" si="89"/>
        <v>93.75</v>
      </c>
      <c r="I97" s="673">
        <f t="shared" si="90"/>
        <v>101.75</v>
      </c>
      <c r="J97" s="417"/>
      <c r="K97" s="418"/>
      <c r="L97" s="57"/>
      <c r="M97" s="422"/>
      <c r="N97" s="418"/>
      <c r="O97" s="86">
        <f>(N97+M97)</f>
        <v>0</v>
      </c>
      <c r="P97" s="94">
        <f t="shared" si="91"/>
        <v>0</v>
      </c>
      <c r="Q97" s="94">
        <f t="shared" si="115"/>
        <v>0</v>
      </c>
      <c r="R97" s="95">
        <f>Q97+P97</f>
        <v>0</v>
      </c>
      <c r="S97" s="57"/>
      <c r="T97" s="456"/>
      <c r="U97" s="457"/>
      <c r="V97" s="96">
        <f t="shared" si="117"/>
        <v>0</v>
      </c>
      <c r="W97" s="97">
        <f t="shared" si="118"/>
        <v>0</v>
      </c>
      <c r="X97" s="98">
        <f>W97+V97</f>
        <v>0</v>
      </c>
      <c r="Y97" s="102"/>
      <c r="Z97" s="458"/>
      <c r="AA97" s="113">
        <f t="shared" si="120"/>
        <v>0</v>
      </c>
      <c r="AB97" s="100">
        <f>AA97+Z97</f>
        <v>0</v>
      </c>
      <c r="AC97" s="102"/>
      <c r="AD97" s="101">
        <f t="shared" si="122"/>
        <v>0</v>
      </c>
      <c r="AE97" s="102"/>
      <c r="AF97" s="101">
        <f t="shared" si="123"/>
        <v>0</v>
      </c>
      <c r="AG97" s="102"/>
      <c r="AH97" s="103">
        <f>AF97+Z97+V97+P97</f>
        <v>0</v>
      </c>
      <c r="AI97" s="725"/>
      <c r="AK97" s="148"/>
    </row>
    <row r="98" spans="1:38" s="192" customFormat="1" ht="13.5" hidden="1" customHeight="1" x14ac:dyDescent="0.25">
      <c r="A98" s="167">
        <v>27</v>
      </c>
      <c r="B98" s="847"/>
      <c r="C98" s="849"/>
      <c r="D98" s="848"/>
      <c r="E98" s="455"/>
      <c r="F98" s="460"/>
      <c r="G98" s="105" t="str">
        <f>IF(B98="","","40-030-177")</f>
        <v/>
      </c>
      <c r="H98" s="672">
        <f t="shared" si="89"/>
        <v>93.75</v>
      </c>
      <c r="I98" s="673">
        <f t="shared" si="90"/>
        <v>101.75</v>
      </c>
      <c r="J98" s="440"/>
      <c r="K98" s="418"/>
      <c r="L98" s="57"/>
      <c r="M98" s="442"/>
      <c r="N98" s="441"/>
      <c r="O98" s="93">
        <f t="shared" ref="O98" si="125">(N98+M98)</f>
        <v>0</v>
      </c>
      <c r="P98" s="94">
        <f t="shared" si="91"/>
        <v>0</v>
      </c>
      <c r="Q98" s="94">
        <f t="shared" si="115"/>
        <v>0</v>
      </c>
      <c r="R98" s="95">
        <f t="shared" ref="R98" si="126">Q98+P98</f>
        <v>0</v>
      </c>
      <c r="S98" s="102"/>
      <c r="T98" s="309"/>
      <c r="U98" s="116"/>
      <c r="V98" s="96">
        <f t="shared" si="117"/>
        <v>0</v>
      </c>
      <c r="W98" s="97">
        <f t="shared" si="118"/>
        <v>0</v>
      </c>
      <c r="X98" s="98">
        <f t="shared" ref="X98" si="127">W98+V98</f>
        <v>0</v>
      </c>
      <c r="Y98" s="57"/>
      <c r="Z98" s="189"/>
      <c r="AA98" s="99">
        <f t="shared" si="120"/>
        <v>0</v>
      </c>
      <c r="AB98" s="100">
        <f t="shared" ref="AB98" si="128">AA98+Z98</f>
        <v>0</v>
      </c>
      <c r="AC98" s="57"/>
      <c r="AD98" s="101">
        <f t="shared" si="122"/>
        <v>0</v>
      </c>
      <c r="AE98" s="102"/>
      <c r="AF98" s="101">
        <f t="shared" si="123"/>
        <v>0</v>
      </c>
      <c r="AG98" s="102"/>
      <c r="AH98" s="103">
        <f t="shared" ref="AH98" si="129">AF98+Z98+V98+P98</f>
        <v>0</v>
      </c>
      <c r="AI98" s="725"/>
      <c r="AK98" s="148"/>
    </row>
    <row r="99" spans="1:38" s="192" customFormat="1" ht="13.5" hidden="1" customHeight="1" x14ac:dyDescent="0.25">
      <c r="A99" s="167">
        <v>28</v>
      </c>
      <c r="B99" s="847"/>
      <c r="C99" s="849"/>
      <c r="D99" s="848"/>
      <c r="E99" s="455"/>
      <c r="F99" s="460"/>
      <c r="G99" s="105" t="str">
        <f>IF(B99="","","40-030-178")</f>
        <v/>
      </c>
      <c r="H99" s="672">
        <f t="shared" si="89"/>
        <v>93.75</v>
      </c>
      <c r="I99" s="673">
        <f t="shared" si="90"/>
        <v>101.75</v>
      </c>
      <c r="J99" s="417"/>
      <c r="K99" s="418"/>
      <c r="L99" s="102"/>
      <c r="M99" s="422"/>
      <c r="N99" s="418"/>
      <c r="O99" s="93">
        <f t="shared" si="103"/>
        <v>0</v>
      </c>
      <c r="P99" s="94">
        <f t="shared" si="91"/>
        <v>0</v>
      </c>
      <c r="Q99" s="94">
        <f t="shared" si="104"/>
        <v>0</v>
      </c>
      <c r="R99" s="95">
        <f t="shared" si="105"/>
        <v>0</v>
      </c>
      <c r="S99" s="102"/>
      <c r="T99" s="308"/>
      <c r="U99" s="115"/>
      <c r="V99" s="96">
        <f t="shared" si="106"/>
        <v>0</v>
      </c>
      <c r="W99" s="97">
        <f t="shared" si="107"/>
        <v>0</v>
      </c>
      <c r="X99" s="98">
        <f t="shared" si="108"/>
        <v>0</v>
      </c>
      <c r="Y99" s="102"/>
      <c r="Z99" s="188"/>
      <c r="AA99" s="99">
        <f t="shared" si="109"/>
        <v>0</v>
      </c>
      <c r="AB99" s="100">
        <f t="shared" si="110"/>
        <v>0</v>
      </c>
      <c r="AC99" s="102"/>
      <c r="AD99" s="101">
        <f t="shared" si="111"/>
        <v>0</v>
      </c>
      <c r="AE99" s="102"/>
      <c r="AF99" s="101">
        <f t="shared" si="112"/>
        <v>0</v>
      </c>
      <c r="AG99" s="102"/>
      <c r="AH99" s="103">
        <f t="shared" si="113"/>
        <v>0</v>
      </c>
      <c r="AI99" s="725"/>
      <c r="AK99" s="148"/>
    </row>
    <row r="100" spans="1:38" s="192" customFormat="1" ht="13.5" hidden="1" customHeight="1" x14ac:dyDescent="0.25">
      <c r="A100" s="167">
        <v>29</v>
      </c>
      <c r="B100" s="847"/>
      <c r="C100" s="849"/>
      <c r="D100" s="848"/>
      <c r="E100" s="455"/>
      <c r="F100" s="460"/>
      <c r="G100" s="105" t="str">
        <f>IF(B100="","","40-030-179")</f>
        <v/>
      </c>
      <c r="H100" s="672">
        <f t="shared" si="89"/>
        <v>93.75</v>
      </c>
      <c r="I100" s="673">
        <f t="shared" si="90"/>
        <v>101.75</v>
      </c>
      <c r="J100" s="417"/>
      <c r="K100" s="418"/>
      <c r="L100" s="102"/>
      <c r="M100" s="422"/>
      <c r="N100" s="418"/>
      <c r="O100" s="93">
        <f t="shared" si="103"/>
        <v>0</v>
      </c>
      <c r="P100" s="94">
        <f t="shared" si="91"/>
        <v>0</v>
      </c>
      <c r="Q100" s="94">
        <f t="shared" si="104"/>
        <v>0</v>
      </c>
      <c r="R100" s="95">
        <f t="shared" si="105"/>
        <v>0</v>
      </c>
      <c r="S100" s="102"/>
      <c r="T100" s="308"/>
      <c r="U100" s="115"/>
      <c r="V100" s="96">
        <f t="shared" si="106"/>
        <v>0</v>
      </c>
      <c r="W100" s="97">
        <f t="shared" si="107"/>
        <v>0</v>
      </c>
      <c r="X100" s="98">
        <f t="shared" si="108"/>
        <v>0</v>
      </c>
      <c r="Y100" s="102"/>
      <c r="Z100" s="188"/>
      <c r="AA100" s="99">
        <f t="shared" si="109"/>
        <v>0</v>
      </c>
      <c r="AB100" s="100">
        <f t="shared" si="110"/>
        <v>0</v>
      </c>
      <c r="AC100" s="102"/>
      <c r="AD100" s="101">
        <f t="shared" si="111"/>
        <v>0</v>
      </c>
      <c r="AE100" s="102"/>
      <c r="AF100" s="101">
        <f t="shared" si="112"/>
        <v>0</v>
      </c>
      <c r="AG100" s="102"/>
      <c r="AH100" s="103">
        <f t="shared" si="113"/>
        <v>0</v>
      </c>
      <c r="AI100" s="725"/>
      <c r="AK100" s="148"/>
    </row>
    <row r="101" spans="1:38" s="192" customFormat="1" ht="13.5" hidden="1" customHeight="1" x14ac:dyDescent="0.25">
      <c r="A101" s="167">
        <v>30</v>
      </c>
      <c r="B101" s="847"/>
      <c r="C101" s="849"/>
      <c r="D101" s="848"/>
      <c r="E101" s="455"/>
      <c r="F101" s="460"/>
      <c r="G101" s="105" t="str">
        <f>IF(B101="","","40-030-180")</f>
        <v/>
      </c>
      <c r="H101" s="672">
        <f t="shared" si="89"/>
        <v>93.75</v>
      </c>
      <c r="I101" s="673">
        <f t="shared" si="90"/>
        <v>101.75</v>
      </c>
      <c r="J101" s="417"/>
      <c r="K101" s="418"/>
      <c r="L101" s="102"/>
      <c r="M101" s="422"/>
      <c r="N101" s="418"/>
      <c r="O101" s="93">
        <f t="shared" si="103"/>
        <v>0</v>
      </c>
      <c r="P101" s="94">
        <f t="shared" si="91"/>
        <v>0</v>
      </c>
      <c r="Q101" s="94">
        <f t="shared" si="104"/>
        <v>0</v>
      </c>
      <c r="R101" s="95">
        <f t="shared" si="105"/>
        <v>0</v>
      </c>
      <c r="S101" s="102"/>
      <c r="T101" s="308"/>
      <c r="U101" s="115"/>
      <c r="V101" s="96">
        <f t="shared" si="106"/>
        <v>0</v>
      </c>
      <c r="W101" s="97">
        <f t="shared" si="107"/>
        <v>0</v>
      </c>
      <c r="X101" s="98">
        <f t="shared" si="108"/>
        <v>0</v>
      </c>
      <c r="Y101" s="102"/>
      <c r="Z101" s="188"/>
      <c r="AA101" s="99">
        <f t="shared" si="109"/>
        <v>0</v>
      </c>
      <c r="AB101" s="100">
        <f t="shared" si="110"/>
        <v>0</v>
      </c>
      <c r="AC101" s="102"/>
      <c r="AD101" s="101">
        <f t="shared" si="111"/>
        <v>0</v>
      </c>
      <c r="AE101" s="102"/>
      <c r="AF101" s="101">
        <f t="shared" si="112"/>
        <v>0</v>
      </c>
      <c r="AG101" s="102"/>
      <c r="AH101" s="103">
        <f t="shared" si="113"/>
        <v>0</v>
      </c>
      <c r="AI101" s="725"/>
      <c r="AK101" s="148"/>
    </row>
    <row r="102" spans="1:38" s="192" customFormat="1" ht="13.5" hidden="1" customHeight="1" x14ac:dyDescent="0.25">
      <c r="A102" s="167">
        <v>31</v>
      </c>
      <c r="B102" s="847"/>
      <c r="C102" s="849"/>
      <c r="D102" s="848"/>
      <c r="E102" s="455"/>
      <c r="F102" s="460"/>
      <c r="G102" s="105" t="str">
        <f>IF(B102="","","40-030-181")</f>
        <v/>
      </c>
      <c r="H102" s="672">
        <f t="shared" si="89"/>
        <v>93.75</v>
      </c>
      <c r="I102" s="673">
        <f t="shared" si="90"/>
        <v>101.75</v>
      </c>
      <c r="J102" s="417"/>
      <c r="K102" s="418"/>
      <c r="L102" s="102"/>
      <c r="M102" s="422"/>
      <c r="N102" s="418"/>
      <c r="O102" s="93">
        <f>(N102+M102)</f>
        <v>0</v>
      </c>
      <c r="P102" s="94">
        <f t="shared" si="91"/>
        <v>0</v>
      </c>
      <c r="Q102" s="94">
        <f t="shared" si="104"/>
        <v>0</v>
      </c>
      <c r="R102" s="95">
        <f>Q102+P102</f>
        <v>0</v>
      </c>
      <c r="S102" s="102"/>
      <c r="T102" s="308"/>
      <c r="U102" s="115"/>
      <c r="V102" s="96">
        <f t="shared" si="106"/>
        <v>0</v>
      </c>
      <c r="W102" s="97">
        <f t="shared" si="107"/>
        <v>0</v>
      </c>
      <c r="X102" s="98">
        <f>W102+V102</f>
        <v>0</v>
      </c>
      <c r="Y102" s="102"/>
      <c r="Z102" s="188"/>
      <c r="AA102" s="99">
        <f t="shared" si="109"/>
        <v>0</v>
      </c>
      <c r="AB102" s="100">
        <f>AA102+Z102</f>
        <v>0</v>
      </c>
      <c r="AC102" s="102"/>
      <c r="AD102" s="101">
        <f t="shared" si="111"/>
        <v>0</v>
      </c>
      <c r="AE102" s="102"/>
      <c r="AF102" s="101">
        <f t="shared" si="112"/>
        <v>0</v>
      </c>
      <c r="AG102" s="102"/>
      <c r="AH102" s="103">
        <f>AF102+Z102+V102+P102</f>
        <v>0</v>
      </c>
      <c r="AI102" s="725"/>
      <c r="AK102" s="148"/>
    </row>
    <row r="103" spans="1:38" s="192" customFormat="1" ht="13.5" hidden="1" customHeight="1" x14ac:dyDescent="0.25">
      <c r="A103" s="167">
        <v>32</v>
      </c>
      <c r="B103" s="847"/>
      <c r="C103" s="849"/>
      <c r="D103" s="848"/>
      <c r="E103" s="455"/>
      <c r="F103" s="455"/>
      <c r="G103" s="105" t="str">
        <f>IF(B103="","","40-030-182")</f>
        <v/>
      </c>
      <c r="H103" s="672">
        <f t="shared" si="89"/>
        <v>93.75</v>
      </c>
      <c r="I103" s="673">
        <f t="shared" si="90"/>
        <v>101.75</v>
      </c>
      <c r="J103" s="417"/>
      <c r="K103" s="418"/>
      <c r="L103" s="57"/>
      <c r="M103" s="422"/>
      <c r="N103" s="418"/>
      <c r="O103" s="86">
        <f>(N103+M103)</f>
        <v>0</v>
      </c>
      <c r="P103" s="94">
        <f t="shared" si="91"/>
        <v>0</v>
      </c>
      <c r="Q103" s="94">
        <f t="shared" si="104"/>
        <v>0</v>
      </c>
      <c r="R103" s="95">
        <f>Q103+P103</f>
        <v>0</v>
      </c>
      <c r="S103" s="57"/>
      <c r="T103" s="456"/>
      <c r="U103" s="457"/>
      <c r="V103" s="96">
        <f t="shared" si="106"/>
        <v>0</v>
      </c>
      <c r="W103" s="97">
        <f t="shared" si="107"/>
        <v>0</v>
      </c>
      <c r="X103" s="98">
        <f>W103+V103</f>
        <v>0</v>
      </c>
      <c r="Y103" s="102"/>
      <c r="Z103" s="458"/>
      <c r="AA103" s="113">
        <f t="shared" si="109"/>
        <v>0</v>
      </c>
      <c r="AB103" s="100">
        <f>AA103+Z103</f>
        <v>0</v>
      </c>
      <c r="AC103" s="102"/>
      <c r="AD103" s="101">
        <f t="shared" si="111"/>
        <v>0</v>
      </c>
      <c r="AE103" s="102"/>
      <c r="AF103" s="101">
        <f t="shared" si="112"/>
        <v>0</v>
      </c>
      <c r="AG103" s="102"/>
      <c r="AH103" s="103">
        <f>AF103+Z103+V103+P103</f>
        <v>0</v>
      </c>
      <c r="AI103" s="725"/>
      <c r="AK103" s="148"/>
    </row>
    <row r="104" spans="1:38" s="192" customFormat="1" ht="13.5" hidden="1" customHeight="1" x14ac:dyDescent="0.25">
      <c r="A104" s="167">
        <v>33</v>
      </c>
      <c r="B104" s="847"/>
      <c r="C104" s="849"/>
      <c r="D104" s="848"/>
      <c r="E104" s="455"/>
      <c r="F104" s="460"/>
      <c r="G104" s="105" t="str">
        <f>IF(B104="","","40-030-183")</f>
        <v/>
      </c>
      <c r="H104" s="672">
        <f t="shared" si="89"/>
        <v>93.75</v>
      </c>
      <c r="I104" s="673">
        <f t="shared" si="90"/>
        <v>101.75</v>
      </c>
      <c r="J104" s="440"/>
      <c r="K104" s="418"/>
      <c r="L104" s="57"/>
      <c r="M104" s="442"/>
      <c r="N104" s="441"/>
      <c r="O104" s="93">
        <f t="shared" ref="O104:O107" si="130">(N104+M104)</f>
        <v>0</v>
      </c>
      <c r="P104" s="94">
        <f t="shared" si="91"/>
        <v>0</v>
      </c>
      <c r="Q104" s="94">
        <f t="shared" si="104"/>
        <v>0</v>
      </c>
      <c r="R104" s="95">
        <f t="shared" ref="R104:R107" si="131">Q104+P104</f>
        <v>0</v>
      </c>
      <c r="S104" s="102"/>
      <c r="T104" s="309"/>
      <c r="U104" s="116"/>
      <c r="V104" s="96">
        <f t="shared" si="106"/>
        <v>0</v>
      </c>
      <c r="W104" s="97">
        <f t="shared" si="107"/>
        <v>0</v>
      </c>
      <c r="X104" s="98">
        <f t="shared" ref="X104:X107" si="132">W104+V104</f>
        <v>0</v>
      </c>
      <c r="Y104" s="57"/>
      <c r="Z104" s="189"/>
      <c r="AA104" s="99">
        <f t="shared" si="109"/>
        <v>0</v>
      </c>
      <c r="AB104" s="100">
        <f t="shared" ref="AB104:AB107" si="133">AA104+Z104</f>
        <v>0</v>
      </c>
      <c r="AC104" s="57"/>
      <c r="AD104" s="101">
        <f t="shared" si="111"/>
        <v>0</v>
      </c>
      <c r="AE104" s="102"/>
      <c r="AF104" s="101">
        <f t="shared" si="112"/>
        <v>0</v>
      </c>
      <c r="AG104" s="102"/>
      <c r="AH104" s="103">
        <f t="shared" ref="AH104:AH107" si="134">AF104+Z104+V104+P104</f>
        <v>0</v>
      </c>
      <c r="AI104" s="725"/>
      <c r="AK104" s="148"/>
    </row>
    <row r="105" spans="1:38" s="192" customFormat="1" ht="13.5" hidden="1" customHeight="1" x14ac:dyDescent="0.25">
      <c r="A105" s="167">
        <v>34</v>
      </c>
      <c r="B105" s="847"/>
      <c r="C105" s="849"/>
      <c r="D105" s="848"/>
      <c r="E105" s="455"/>
      <c r="F105" s="460"/>
      <c r="G105" s="105" t="str">
        <f>IF(B105="","","40-030-184")</f>
        <v/>
      </c>
      <c r="H105" s="672">
        <f t="shared" si="89"/>
        <v>93.75</v>
      </c>
      <c r="I105" s="673">
        <f t="shared" si="90"/>
        <v>101.75</v>
      </c>
      <c r="J105" s="417"/>
      <c r="K105" s="418"/>
      <c r="L105" s="102"/>
      <c r="M105" s="422"/>
      <c r="N105" s="418"/>
      <c r="O105" s="93">
        <f t="shared" si="130"/>
        <v>0</v>
      </c>
      <c r="P105" s="94">
        <f t="shared" si="91"/>
        <v>0</v>
      </c>
      <c r="Q105" s="94">
        <f>P105*$V$3</f>
        <v>0</v>
      </c>
      <c r="R105" s="95">
        <f t="shared" si="131"/>
        <v>0</v>
      </c>
      <c r="S105" s="102"/>
      <c r="T105" s="308"/>
      <c r="U105" s="115"/>
      <c r="V105" s="96">
        <f>(T105+U105)*(1+$X$4)</f>
        <v>0</v>
      </c>
      <c r="W105" s="97">
        <f>V105*$X$3</f>
        <v>0</v>
      </c>
      <c r="X105" s="98">
        <f t="shared" si="132"/>
        <v>0</v>
      </c>
      <c r="Y105" s="102"/>
      <c r="Z105" s="188"/>
      <c r="AA105" s="99">
        <f>Z105*$V$4</f>
        <v>0</v>
      </c>
      <c r="AB105" s="100">
        <f t="shared" si="133"/>
        <v>0</v>
      </c>
      <c r="AC105" s="102"/>
      <c r="AD105" s="101">
        <f t="shared" si="111"/>
        <v>0</v>
      </c>
      <c r="AE105" s="102"/>
      <c r="AF105" s="101">
        <f t="shared" si="112"/>
        <v>0</v>
      </c>
      <c r="AG105" s="102"/>
      <c r="AH105" s="103">
        <f t="shared" si="134"/>
        <v>0</v>
      </c>
      <c r="AI105" s="725"/>
      <c r="AK105" s="148"/>
    </row>
    <row r="106" spans="1:38" s="192" customFormat="1" ht="13.5" hidden="1" customHeight="1" x14ac:dyDescent="0.25">
      <c r="A106" s="167">
        <v>35</v>
      </c>
      <c r="B106" s="847"/>
      <c r="C106" s="849"/>
      <c r="D106" s="848"/>
      <c r="E106" s="455"/>
      <c r="F106" s="460"/>
      <c r="G106" s="105" t="str">
        <f>IF(B106="","","40-030-185")</f>
        <v/>
      </c>
      <c r="H106" s="672">
        <f t="shared" si="89"/>
        <v>93.75</v>
      </c>
      <c r="I106" s="673">
        <f t="shared" si="90"/>
        <v>101.75</v>
      </c>
      <c r="J106" s="417"/>
      <c r="K106" s="418"/>
      <c r="L106" s="102"/>
      <c r="M106" s="422"/>
      <c r="N106" s="418"/>
      <c r="O106" s="93">
        <f t="shared" si="130"/>
        <v>0</v>
      </c>
      <c r="P106" s="94">
        <f t="shared" si="91"/>
        <v>0</v>
      </c>
      <c r="Q106" s="94">
        <f>P106*$V$3</f>
        <v>0</v>
      </c>
      <c r="R106" s="95">
        <f t="shared" si="131"/>
        <v>0</v>
      </c>
      <c r="S106" s="102"/>
      <c r="T106" s="308"/>
      <c r="U106" s="115"/>
      <c r="V106" s="96">
        <f>(T106+U106)*(1+$X$4)</f>
        <v>0</v>
      </c>
      <c r="W106" s="97">
        <f>V106*$X$3</f>
        <v>0</v>
      </c>
      <c r="X106" s="98">
        <f t="shared" si="132"/>
        <v>0</v>
      </c>
      <c r="Y106" s="102"/>
      <c r="Z106" s="188"/>
      <c r="AA106" s="99">
        <f>Z106*$V$4</f>
        <v>0</v>
      </c>
      <c r="AB106" s="100">
        <f t="shared" si="133"/>
        <v>0</v>
      </c>
      <c r="AC106" s="102"/>
      <c r="AD106" s="101">
        <f t="shared" si="111"/>
        <v>0</v>
      </c>
      <c r="AE106" s="102"/>
      <c r="AF106" s="101">
        <f t="shared" si="112"/>
        <v>0</v>
      </c>
      <c r="AG106" s="102"/>
      <c r="AH106" s="103">
        <f t="shared" si="134"/>
        <v>0</v>
      </c>
      <c r="AI106" s="725"/>
      <c r="AK106" s="148"/>
    </row>
    <row r="107" spans="1:38" s="192" customFormat="1" ht="13.5" hidden="1" customHeight="1" x14ac:dyDescent="0.25">
      <c r="A107" s="167">
        <v>36</v>
      </c>
      <c r="B107" s="847"/>
      <c r="C107" s="849"/>
      <c r="D107" s="848"/>
      <c r="E107" s="455"/>
      <c r="F107" s="460"/>
      <c r="G107" s="105" t="str">
        <f>IF(B107="","","40-030-186")</f>
        <v/>
      </c>
      <c r="H107" s="672">
        <f t="shared" si="89"/>
        <v>93.75</v>
      </c>
      <c r="I107" s="673">
        <f t="shared" si="90"/>
        <v>101.75</v>
      </c>
      <c r="J107" s="417"/>
      <c r="K107" s="418"/>
      <c r="L107" s="102"/>
      <c r="M107" s="422"/>
      <c r="N107" s="418"/>
      <c r="O107" s="93">
        <f t="shared" si="130"/>
        <v>0</v>
      </c>
      <c r="P107" s="94">
        <f t="shared" si="91"/>
        <v>0</v>
      </c>
      <c r="Q107" s="94">
        <f>P107*$V$3</f>
        <v>0</v>
      </c>
      <c r="R107" s="95">
        <f t="shared" si="131"/>
        <v>0</v>
      </c>
      <c r="S107" s="102"/>
      <c r="T107" s="308"/>
      <c r="U107" s="115"/>
      <c r="V107" s="96">
        <f>(T107+U107)*(1+$X$4)</f>
        <v>0</v>
      </c>
      <c r="W107" s="97">
        <f>V107*$X$3</f>
        <v>0</v>
      </c>
      <c r="X107" s="98">
        <f t="shared" si="132"/>
        <v>0</v>
      </c>
      <c r="Y107" s="102"/>
      <c r="Z107" s="188"/>
      <c r="AA107" s="99">
        <f>Z107*$V$4</f>
        <v>0</v>
      </c>
      <c r="AB107" s="100">
        <f t="shared" si="133"/>
        <v>0</v>
      </c>
      <c r="AC107" s="102"/>
      <c r="AD107" s="101">
        <f t="shared" si="111"/>
        <v>0</v>
      </c>
      <c r="AE107" s="102"/>
      <c r="AF107" s="101">
        <f t="shared" si="112"/>
        <v>0</v>
      </c>
      <c r="AG107" s="102"/>
      <c r="AH107" s="103">
        <f t="shared" si="134"/>
        <v>0</v>
      </c>
      <c r="AI107" s="725"/>
      <c r="AK107" s="148"/>
      <c r="AL107" s="753"/>
    </row>
    <row r="108" spans="1:38" s="192" customFormat="1" ht="13.5" hidden="1" customHeight="1" x14ac:dyDescent="0.25">
      <c r="A108" s="167">
        <v>37</v>
      </c>
      <c r="B108" s="847"/>
      <c r="C108" s="849"/>
      <c r="D108" s="848"/>
      <c r="E108" s="455"/>
      <c r="F108" s="455"/>
      <c r="G108" s="105" t="str">
        <f>IF(B108="","","40-030-187")</f>
        <v/>
      </c>
      <c r="H108" s="672">
        <f t="shared" si="89"/>
        <v>93.75</v>
      </c>
      <c r="I108" s="673">
        <f t="shared" si="90"/>
        <v>101.75</v>
      </c>
      <c r="J108" s="417"/>
      <c r="K108" s="418"/>
      <c r="L108" s="102"/>
      <c r="M108" s="422"/>
      <c r="N108" s="418"/>
      <c r="O108" s="93">
        <f t="shared" si="78"/>
        <v>0</v>
      </c>
      <c r="P108" s="94">
        <f t="shared" si="91"/>
        <v>0</v>
      </c>
      <c r="Q108" s="94">
        <f t="shared" si="79"/>
        <v>0</v>
      </c>
      <c r="R108" s="95">
        <f t="shared" si="80"/>
        <v>0</v>
      </c>
      <c r="S108" s="102"/>
      <c r="T108" s="308"/>
      <c r="U108" s="115"/>
      <c r="V108" s="96">
        <f t="shared" si="81"/>
        <v>0</v>
      </c>
      <c r="W108" s="97">
        <f t="shared" si="82"/>
        <v>0</v>
      </c>
      <c r="X108" s="98">
        <f t="shared" si="83"/>
        <v>0</v>
      </c>
      <c r="Y108" s="102"/>
      <c r="Z108" s="188"/>
      <c r="AA108" s="99">
        <f t="shared" si="84"/>
        <v>0</v>
      </c>
      <c r="AB108" s="100">
        <f t="shared" si="85"/>
        <v>0</v>
      </c>
      <c r="AC108" s="102"/>
      <c r="AD108" s="101">
        <f t="shared" si="86"/>
        <v>0</v>
      </c>
      <c r="AE108" s="102"/>
      <c r="AF108" s="101">
        <f t="shared" si="87"/>
        <v>0</v>
      </c>
      <c r="AG108" s="102"/>
      <c r="AH108" s="103">
        <f t="shared" si="88"/>
        <v>0</v>
      </c>
      <c r="AI108" s="725"/>
      <c r="AK108" s="148"/>
    </row>
    <row r="109" spans="1:38" s="192" customFormat="1" ht="13.5" hidden="1" customHeight="1" x14ac:dyDescent="0.25">
      <c r="A109" s="167">
        <v>38</v>
      </c>
      <c r="B109" s="847"/>
      <c r="C109" s="849"/>
      <c r="D109" s="848"/>
      <c r="E109" s="455"/>
      <c r="F109" s="460"/>
      <c r="G109" s="105" t="str">
        <f>IF(B109="","","40-030-188")</f>
        <v/>
      </c>
      <c r="H109" s="672">
        <f t="shared" si="89"/>
        <v>93.75</v>
      </c>
      <c r="I109" s="673">
        <f t="shared" si="90"/>
        <v>101.75</v>
      </c>
      <c r="J109" s="417"/>
      <c r="K109" s="418"/>
      <c r="L109" s="102"/>
      <c r="M109" s="422"/>
      <c r="N109" s="418"/>
      <c r="O109" s="93">
        <f t="shared" si="78"/>
        <v>0</v>
      </c>
      <c r="P109" s="94">
        <f t="shared" si="91"/>
        <v>0</v>
      </c>
      <c r="Q109" s="94">
        <f t="shared" si="79"/>
        <v>0</v>
      </c>
      <c r="R109" s="95">
        <f t="shared" si="80"/>
        <v>0</v>
      </c>
      <c r="S109" s="102"/>
      <c r="T109" s="308"/>
      <c r="U109" s="115"/>
      <c r="V109" s="96">
        <f t="shared" si="81"/>
        <v>0</v>
      </c>
      <c r="W109" s="97">
        <f t="shared" si="82"/>
        <v>0</v>
      </c>
      <c r="X109" s="98">
        <f t="shared" si="83"/>
        <v>0</v>
      </c>
      <c r="Y109" s="102"/>
      <c r="Z109" s="188"/>
      <c r="AA109" s="99">
        <f t="shared" si="84"/>
        <v>0</v>
      </c>
      <c r="AB109" s="100">
        <f t="shared" si="85"/>
        <v>0</v>
      </c>
      <c r="AC109" s="102"/>
      <c r="AD109" s="101">
        <f t="shared" si="86"/>
        <v>0</v>
      </c>
      <c r="AE109" s="102"/>
      <c r="AF109" s="101">
        <f t="shared" si="87"/>
        <v>0</v>
      </c>
      <c r="AG109" s="102"/>
      <c r="AH109" s="103">
        <f t="shared" si="88"/>
        <v>0</v>
      </c>
      <c r="AI109" s="725"/>
      <c r="AK109" s="148"/>
    </row>
    <row r="110" spans="1:38" s="192" customFormat="1" ht="13.5" hidden="1" customHeight="1" x14ac:dyDescent="0.25">
      <c r="A110" s="167">
        <v>39</v>
      </c>
      <c r="B110" s="847"/>
      <c r="C110" s="849"/>
      <c r="D110" s="848"/>
      <c r="E110" s="455"/>
      <c r="F110" s="460"/>
      <c r="G110" s="105" t="str">
        <f>IF(B110="","","40-030-189")</f>
        <v/>
      </c>
      <c r="H110" s="672">
        <f t="shared" si="89"/>
        <v>93.75</v>
      </c>
      <c r="I110" s="673">
        <f t="shared" si="90"/>
        <v>101.75</v>
      </c>
      <c r="J110" s="417"/>
      <c r="K110" s="418"/>
      <c r="L110" s="102"/>
      <c r="M110" s="422"/>
      <c r="N110" s="418"/>
      <c r="O110" s="93">
        <f t="shared" si="78"/>
        <v>0</v>
      </c>
      <c r="P110" s="94">
        <f t="shared" si="91"/>
        <v>0</v>
      </c>
      <c r="Q110" s="94">
        <f t="shared" si="79"/>
        <v>0</v>
      </c>
      <c r="R110" s="95">
        <f t="shared" si="80"/>
        <v>0</v>
      </c>
      <c r="S110" s="102"/>
      <c r="T110" s="308"/>
      <c r="U110" s="115"/>
      <c r="V110" s="96">
        <f t="shared" si="81"/>
        <v>0</v>
      </c>
      <c r="W110" s="97">
        <f t="shared" si="82"/>
        <v>0</v>
      </c>
      <c r="X110" s="98">
        <f t="shared" si="83"/>
        <v>0</v>
      </c>
      <c r="Y110" s="102"/>
      <c r="Z110" s="188"/>
      <c r="AA110" s="99">
        <f t="shared" si="84"/>
        <v>0</v>
      </c>
      <c r="AB110" s="100">
        <f t="shared" si="85"/>
        <v>0</v>
      </c>
      <c r="AC110" s="102"/>
      <c r="AD110" s="101">
        <f t="shared" si="86"/>
        <v>0</v>
      </c>
      <c r="AE110" s="102"/>
      <c r="AF110" s="101">
        <f t="shared" si="87"/>
        <v>0</v>
      </c>
      <c r="AG110" s="102"/>
      <c r="AH110" s="103">
        <f t="shared" si="88"/>
        <v>0</v>
      </c>
      <c r="AI110" s="725"/>
      <c r="AK110" s="148"/>
    </row>
    <row r="111" spans="1:38" s="192" customFormat="1" ht="13.5" hidden="1" customHeight="1" x14ac:dyDescent="0.25">
      <c r="A111" s="167">
        <v>40</v>
      </c>
      <c r="B111" s="847"/>
      <c r="C111" s="849"/>
      <c r="D111" s="848"/>
      <c r="E111" s="455"/>
      <c r="F111" s="460"/>
      <c r="G111" s="105" t="str">
        <f>IF(B111="","","40-030-190")</f>
        <v/>
      </c>
      <c r="H111" s="672">
        <f t="shared" si="89"/>
        <v>93.75</v>
      </c>
      <c r="I111" s="673">
        <f t="shared" si="90"/>
        <v>101.75</v>
      </c>
      <c r="J111" s="417"/>
      <c r="K111" s="418"/>
      <c r="L111" s="102"/>
      <c r="M111" s="422"/>
      <c r="N111" s="418"/>
      <c r="O111" s="93">
        <f t="shared" si="78"/>
        <v>0</v>
      </c>
      <c r="P111" s="94">
        <f t="shared" si="91"/>
        <v>0</v>
      </c>
      <c r="Q111" s="94">
        <f t="shared" si="79"/>
        <v>0</v>
      </c>
      <c r="R111" s="95">
        <f t="shared" si="80"/>
        <v>0</v>
      </c>
      <c r="S111" s="102"/>
      <c r="T111" s="308"/>
      <c r="U111" s="115"/>
      <c r="V111" s="96">
        <f t="shared" si="81"/>
        <v>0</v>
      </c>
      <c r="W111" s="97">
        <f t="shared" si="82"/>
        <v>0</v>
      </c>
      <c r="X111" s="98">
        <f t="shared" si="83"/>
        <v>0</v>
      </c>
      <c r="Y111" s="102"/>
      <c r="Z111" s="188"/>
      <c r="AA111" s="99">
        <f t="shared" si="84"/>
        <v>0</v>
      </c>
      <c r="AB111" s="100">
        <f t="shared" si="85"/>
        <v>0</v>
      </c>
      <c r="AC111" s="102"/>
      <c r="AD111" s="101">
        <f t="shared" si="86"/>
        <v>0</v>
      </c>
      <c r="AE111" s="102"/>
      <c r="AF111" s="101">
        <f t="shared" si="87"/>
        <v>0</v>
      </c>
      <c r="AG111" s="102"/>
      <c r="AH111" s="103">
        <f t="shared" si="88"/>
        <v>0</v>
      </c>
      <c r="AI111" s="725"/>
      <c r="AK111" s="148"/>
    </row>
    <row r="112" spans="1:38" s="192" customFormat="1" ht="13.5" hidden="1" customHeight="1" x14ac:dyDescent="0.25">
      <c r="A112" s="167">
        <v>41</v>
      </c>
      <c r="B112" s="847"/>
      <c r="C112" s="849"/>
      <c r="D112" s="848"/>
      <c r="E112" s="455"/>
      <c r="F112" s="460"/>
      <c r="G112" s="105" t="str">
        <f>IF(B112="","","40-030-191")</f>
        <v/>
      </c>
      <c r="H112" s="672">
        <f t="shared" si="89"/>
        <v>93.75</v>
      </c>
      <c r="I112" s="673">
        <f t="shared" si="90"/>
        <v>101.75</v>
      </c>
      <c r="J112" s="417"/>
      <c r="K112" s="418"/>
      <c r="L112" s="102"/>
      <c r="M112" s="422"/>
      <c r="N112" s="418"/>
      <c r="O112" s="93">
        <f t="shared" ref="O112:O114" si="135">(N112+M112)</f>
        <v>0</v>
      </c>
      <c r="P112" s="94">
        <f t="shared" si="91"/>
        <v>0</v>
      </c>
      <c r="Q112" s="94">
        <f t="shared" si="79"/>
        <v>0</v>
      </c>
      <c r="R112" s="95">
        <f t="shared" ref="R112:R114" si="136">Q112+P112</f>
        <v>0</v>
      </c>
      <c r="S112" s="102"/>
      <c r="T112" s="308"/>
      <c r="U112" s="115"/>
      <c r="V112" s="96">
        <f t="shared" si="81"/>
        <v>0</v>
      </c>
      <c r="W112" s="97">
        <f t="shared" si="82"/>
        <v>0</v>
      </c>
      <c r="X112" s="98">
        <f t="shared" ref="X112:X114" si="137">W112+V112</f>
        <v>0</v>
      </c>
      <c r="Y112" s="102"/>
      <c r="Z112" s="188"/>
      <c r="AA112" s="99">
        <f t="shared" si="84"/>
        <v>0</v>
      </c>
      <c r="AB112" s="100">
        <f t="shared" ref="AB112:AB114" si="138">AA112+Z112</f>
        <v>0</v>
      </c>
      <c r="AC112" s="102"/>
      <c r="AD112" s="101">
        <f t="shared" si="86"/>
        <v>0</v>
      </c>
      <c r="AE112" s="102"/>
      <c r="AF112" s="101">
        <f t="shared" si="87"/>
        <v>0</v>
      </c>
      <c r="AG112" s="102"/>
      <c r="AH112" s="103">
        <f t="shared" ref="AH112:AH114" si="139">AF112+Z112+V112+P112</f>
        <v>0</v>
      </c>
      <c r="AI112" s="725"/>
      <c r="AK112" s="148"/>
    </row>
    <row r="113" spans="1:38" s="192" customFormat="1" ht="13.5" hidden="1" customHeight="1" x14ac:dyDescent="0.25">
      <c r="A113" s="167">
        <v>42</v>
      </c>
      <c r="B113" s="847"/>
      <c r="C113" s="849"/>
      <c r="D113" s="848"/>
      <c r="E113" s="455"/>
      <c r="F113" s="460"/>
      <c r="G113" s="105" t="str">
        <f>IF(B113="","","40-030-192")</f>
        <v/>
      </c>
      <c r="H113" s="672">
        <f t="shared" si="89"/>
        <v>93.75</v>
      </c>
      <c r="I113" s="673">
        <f t="shared" si="90"/>
        <v>101.75</v>
      </c>
      <c r="J113" s="417"/>
      <c r="K113" s="418"/>
      <c r="L113" s="102"/>
      <c r="M113" s="422"/>
      <c r="N113" s="418"/>
      <c r="O113" s="93">
        <f t="shared" si="135"/>
        <v>0</v>
      </c>
      <c r="P113" s="94">
        <f t="shared" si="91"/>
        <v>0</v>
      </c>
      <c r="Q113" s="94">
        <f t="shared" ref="Q113:Q117" si="140">P113*$V$3</f>
        <v>0</v>
      </c>
      <c r="R113" s="95">
        <f t="shared" si="136"/>
        <v>0</v>
      </c>
      <c r="S113" s="102"/>
      <c r="T113" s="308"/>
      <c r="U113" s="115"/>
      <c r="V113" s="96">
        <f t="shared" ref="V113:V117" si="141">(T113+U113)*(1+$X$4)</f>
        <v>0</v>
      </c>
      <c r="W113" s="97">
        <f t="shared" ref="W113:W117" si="142">V113*$X$3</f>
        <v>0</v>
      </c>
      <c r="X113" s="98">
        <f t="shared" si="137"/>
        <v>0</v>
      </c>
      <c r="Y113" s="102"/>
      <c r="Z113" s="188"/>
      <c r="AA113" s="99">
        <f t="shared" ref="AA113:AA117" si="143">Z113*$V$4</f>
        <v>0</v>
      </c>
      <c r="AB113" s="100">
        <f t="shared" si="138"/>
        <v>0</v>
      </c>
      <c r="AC113" s="102"/>
      <c r="AD113" s="101">
        <f t="shared" ref="AD113:AD117" si="144">Z113+V113+P113</f>
        <v>0</v>
      </c>
      <c r="AE113" s="102"/>
      <c r="AF113" s="101">
        <f t="shared" ref="AF113:AF117" si="145">W113+AA113+Q113</f>
        <v>0</v>
      </c>
      <c r="AG113" s="102"/>
      <c r="AH113" s="103">
        <f t="shared" si="139"/>
        <v>0</v>
      </c>
      <c r="AI113" s="725"/>
      <c r="AK113" s="148"/>
    </row>
    <row r="114" spans="1:38" s="192" customFormat="1" ht="13.5" hidden="1" customHeight="1" x14ac:dyDescent="0.25">
      <c r="A114" s="167">
        <v>43</v>
      </c>
      <c r="B114" s="847"/>
      <c r="C114" s="849"/>
      <c r="D114" s="848"/>
      <c r="E114" s="455"/>
      <c r="F114" s="460"/>
      <c r="G114" s="105" t="str">
        <f>IF(B114="","","40-030-193")</f>
        <v/>
      </c>
      <c r="H114" s="672">
        <f t="shared" si="89"/>
        <v>93.75</v>
      </c>
      <c r="I114" s="673">
        <f t="shared" si="90"/>
        <v>101.75</v>
      </c>
      <c r="J114" s="417"/>
      <c r="K114" s="418"/>
      <c r="L114" s="102"/>
      <c r="M114" s="422"/>
      <c r="N114" s="418"/>
      <c r="O114" s="93">
        <f t="shared" si="135"/>
        <v>0</v>
      </c>
      <c r="P114" s="94">
        <f t="shared" si="91"/>
        <v>0</v>
      </c>
      <c r="Q114" s="94">
        <f t="shared" si="140"/>
        <v>0</v>
      </c>
      <c r="R114" s="95">
        <f t="shared" si="136"/>
        <v>0</v>
      </c>
      <c r="S114" s="102"/>
      <c r="T114" s="308"/>
      <c r="U114" s="115"/>
      <c r="V114" s="96">
        <f t="shared" si="141"/>
        <v>0</v>
      </c>
      <c r="W114" s="97">
        <f t="shared" si="142"/>
        <v>0</v>
      </c>
      <c r="X114" s="98">
        <f t="shared" si="137"/>
        <v>0</v>
      </c>
      <c r="Y114" s="102"/>
      <c r="Z114" s="188"/>
      <c r="AA114" s="99">
        <f t="shared" si="143"/>
        <v>0</v>
      </c>
      <c r="AB114" s="100">
        <f t="shared" si="138"/>
        <v>0</v>
      </c>
      <c r="AC114" s="102"/>
      <c r="AD114" s="101">
        <f t="shared" si="144"/>
        <v>0</v>
      </c>
      <c r="AE114" s="102"/>
      <c r="AF114" s="101">
        <f t="shared" si="145"/>
        <v>0</v>
      </c>
      <c r="AG114" s="102"/>
      <c r="AH114" s="103">
        <f t="shared" si="139"/>
        <v>0</v>
      </c>
      <c r="AI114" s="725"/>
      <c r="AK114" s="148"/>
    </row>
    <row r="115" spans="1:38" s="192" customFormat="1" ht="13.5" hidden="1" customHeight="1" x14ac:dyDescent="0.25">
      <c r="A115" s="167">
        <v>44</v>
      </c>
      <c r="B115" s="847"/>
      <c r="C115" s="849"/>
      <c r="D115" s="848"/>
      <c r="E115" s="455"/>
      <c r="F115" s="460"/>
      <c r="G115" s="105" t="str">
        <f>IF(B115="","","40-030-194")</f>
        <v/>
      </c>
      <c r="H115" s="672">
        <f t="shared" si="89"/>
        <v>93.75</v>
      </c>
      <c r="I115" s="673">
        <f t="shared" si="90"/>
        <v>101.75</v>
      </c>
      <c r="J115" s="417"/>
      <c r="K115" s="418"/>
      <c r="L115" s="102"/>
      <c r="M115" s="422"/>
      <c r="N115" s="418"/>
      <c r="O115" s="93">
        <f>(N115+M115)</f>
        <v>0</v>
      </c>
      <c r="P115" s="94">
        <f t="shared" si="91"/>
        <v>0</v>
      </c>
      <c r="Q115" s="94">
        <f t="shared" si="140"/>
        <v>0</v>
      </c>
      <c r="R115" s="95">
        <f>Q115+P115</f>
        <v>0</v>
      </c>
      <c r="S115" s="102"/>
      <c r="T115" s="308"/>
      <c r="U115" s="115"/>
      <c r="V115" s="96">
        <f t="shared" si="141"/>
        <v>0</v>
      </c>
      <c r="W115" s="97">
        <f t="shared" si="142"/>
        <v>0</v>
      </c>
      <c r="X115" s="98">
        <f>W115+V115</f>
        <v>0</v>
      </c>
      <c r="Y115" s="102"/>
      <c r="Z115" s="188"/>
      <c r="AA115" s="99">
        <f t="shared" si="143"/>
        <v>0</v>
      </c>
      <c r="AB115" s="100">
        <f>AA115+Z115</f>
        <v>0</v>
      </c>
      <c r="AC115" s="102"/>
      <c r="AD115" s="101">
        <f t="shared" si="144"/>
        <v>0</v>
      </c>
      <c r="AE115" s="102"/>
      <c r="AF115" s="101">
        <f t="shared" si="145"/>
        <v>0</v>
      </c>
      <c r="AG115" s="102"/>
      <c r="AH115" s="103">
        <f>AF115+Z115+V115+P115</f>
        <v>0</v>
      </c>
      <c r="AI115" s="725"/>
      <c r="AK115" s="148"/>
    </row>
    <row r="116" spans="1:38" s="192" customFormat="1" ht="13.5" hidden="1" customHeight="1" x14ac:dyDescent="0.25">
      <c r="A116" s="167">
        <v>45</v>
      </c>
      <c r="B116" s="847"/>
      <c r="C116" s="849"/>
      <c r="D116" s="848"/>
      <c r="E116" s="455"/>
      <c r="F116" s="455"/>
      <c r="G116" s="105" t="str">
        <f>IF(B116="","","40-030-195")</f>
        <v/>
      </c>
      <c r="H116" s="672">
        <f t="shared" si="89"/>
        <v>93.75</v>
      </c>
      <c r="I116" s="673">
        <f t="shared" si="90"/>
        <v>101.75</v>
      </c>
      <c r="J116" s="417"/>
      <c r="K116" s="418"/>
      <c r="L116" s="57"/>
      <c r="M116" s="422"/>
      <c r="N116" s="418"/>
      <c r="O116" s="86">
        <f>(N116+M116)</f>
        <v>0</v>
      </c>
      <c r="P116" s="94">
        <f t="shared" si="91"/>
        <v>0</v>
      </c>
      <c r="Q116" s="94">
        <f t="shared" si="140"/>
        <v>0</v>
      </c>
      <c r="R116" s="95">
        <f>Q116+P116</f>
        <v>0</v>
      </c>
      <c r="S116" s="57"/>
      <c r="T116" s="456"/>
      <c r="U116" s="457"/>
      <c r="V116" s="96">
        <f t="shared" si="141"/>
        <v>0</v>
      </c>
      <c r="W116" s="97">
        <f t="shared" si="142"/>
        <v>0</v>
      </c>
      <c r="X116" s="98">
        <f>W116+V116</f>
        <v>0</v>
      </c>
      <c r="Y116" s="102"/>
      <c r="Z116" s="458"/>
      <c r="AA116" s="113">
        <f t="shared" si="143"/>
        <v>0</v>
      </c>
      <c r="AB116" s="100">
        <f>AA116+Z116</f>
        <v>0</v>
      </c>
      <c r="AC116" s="102"/>
      <c r="AD116" s="101">
        <f t="shared" si="144"/>
        <v>0</v>
      </c>
      <c r="AE116" s="102"/>
      <c r="AF116" s="101">
        <f t="shared" si="145"/>
        <v>0</v>
      </c>
      <c r="AG116" s="102"/>
      <c r="AH116" s="103">
        <f>AF116+Z116+V116+P116</f>
        <v>0</v>
      </c>
      <c r="AI116" s="725"/>
      <c r="AK116" s="148"/>
    </row>
    <row r="117" spans="1:38" s="192" customFormat="1" ht="13.5" hidden="1" customHeight="1" x14ac:dyDescent="0.25">
      <c r="A117" s="167">
        <v>46</v>
      </c>
      <c r="B117" s="847"/>
      <c r="C117" s="849"/>
      <c r="D117" s="848"/>
      <c r="E117" s="455"/>
      <c r="F117" s="460"/>
      <c r="G117" s="105" t="str">
        <f>IF(B117="","","40-030-196")</f>
        <v/>
      </c>
      <c r="H117" s="672">
        <f t="shared" si="89"/>
        <v>93.75</v>
      </c>
      <c r="I117" s="673">
        <f t="shared" si="90"/>
        <v>101.75</v>
      </c>
      <c r="J117" s="440"/>
      <c r="K117" s="418"/>
      <c r="L117" s="57"/>
      <c r="M117" s="442"/>
      <c r="N117" s="441"/>
      <c r="O117" s="93">
        <f t="shared" ref="O117" si="146">(N117+M117)</f>
        <v>0</v>
      </c>
      <c r="P117" s="94">
        <f t="shared" si="91"/>
        <v>0</v>
      </c>
      <c r="Q117" s="94">
        <f t="shared" si="140"/>
        <v>0</v>
      </c>
      <c r="R117" s="95">
        <f t="shared" ref="R117" si="147">Q117+P117</f>
        <v>0</v>
      </c>
      <c r="S117" s="102"/>
      <c r="T117" s="309"/>
      <c r="U117" s="116"/>
      <c r="V117" s="96">
        <f t="shared" si="141"/>
        <v>0</v>
      </c>
      <c r="W117" s="97">
        <f t="shared" si="142"/>
        <v>0</v>
      </c>
      <c r="X117" s="98">
        <f t="shared" ref="X117" si="148">W117+V117</f>
        <v>0</v>
      </c>
      <c r="Y117" s="57"/>
      <c r="Z117" s="189"/>
      <c r="AA117" s="99">
        <f t="shared" si="143"/>
        <v>0</v>
      </c>
      <c r="AB117" s="100">
        <f t="shared" ref="AB117" si="149">AA117+Z117</f>
        <v>0</v>
      </c>
      <c r="AC117" s="57"/>
      <c r="AD117" s="101">
        <f t="shared" si="144"/>
        <v>0</v>
      </c>
      <c r="AE117" s="102"/>
      <c r="AF117" s="101">
        <f t="shared" si="145"/>
        <v>0</v>
      </c>
      <c r="AG117" s="102"/>
      <c r="AH117" s="103">
        <f t="shared" ref="AH117" si="150">AF117+Z117+V117+P117</f>
        <v>0</v>
      </c>
      <c r="AI117" s="725"/>
      <c r="AK117" s="148"/>
    </row>
    <row r="118" spans="1:38" s="192" customFormat="1" ht="13.5" hidden="1" customHeight="1" x14ac:dyDescent="0.25">
      <c r="A118" s="167">
        <v>47</v>
      </c>
      <c r="B118" s="847"/>
      <c r="C118" s="849"/>
      <c r="D118" s="848"/>
      <c r="E118" s="455"/>
      <c r="F118" s="460"/>
      <c r="G118" s="105" t="str">
        <f>IF(B118="","","40-030-197")</f>
        <v/>
      </c>
      <c r="H118" s="672">
        <f t="shared" si="89"/>
        <v>93.75</v>
      </c>
      <c r="I118" s="673">
        <f t="shared" si="90"/>
        <v>101.75</v>
      </c>
      <c r="J118" s="417"/>
      <c r="K118" s="418"/>
      <c r="L118" s="102"/>
      <c r="M118" s="422"/>
      <c r="N118" s="418"/>
      <c r="O118" s="93">
        <f t="shared" si="78"/>
        <v>0</v>
      </c>
      <c r="P118" s="94">
        <f t="shared" si="91"/>
        <v>0</v>
      </c>
      <c r="Q118" s="94">
        <f>P118*$V$3</f>
        <v>0</v>
      </c>
      <c r="R118" s="95">
        <f t="shared" si="80"/>
        <v>0</v>
      </c>
      <c r="S118" s="102"/>
      <c r="T118" s="308"/>
      <c r="U118" s="115"/>
      <c r="V118" s="96">
        <f>(T118+U118)*(1+$X$4)</f>
        <v>0</v>
      </c>
      <c r="W118" s="97">
        <f>V118*$X$3</f>
        <v>0</v>
      </c>
      <c r="X118" s="98">
        <f t="shared" si="83"/>
        <v>0</v>
      </c>
      <c r="Y118" s="102"/>
      <c r="Z118" s="188"/>
      <c r="AA118" s="99">
        <f>Z118*$V$4</f>
        <v>0</v>
      </c>
      <c r="AB118" s="100">
        <f t="shared" si="85"/>
        <v>0</v>
      </c>
      <c r="AC118" s="102"/>
      <c r="AD118" s="101">
        <f t="shared" si="86"/>
        <v>0</v>
      </c>
      <c r="AE118" s="102"/>
      <c r="AF118" s="101">
        <f t="shared" si="87"/>
        <v>0</v>
      </c>
      <c r="AG118" s="102"/>
      <c r="AH118" s="103">
        <f t="shared" si="88"/>
        <v>0</v>
      </c>
      <c r="AI118" s="725"/>
      <c r="AK118" s="148"/>
    </row>
    <row r="119" spans="1:38" s="192" customFormat="1" ht="13.5" hidden="1" customHeight="1" x14ac:dyDescent="0.25">
      <c r="A119" s="167">
        <v>48</v>
      </c>
      <c r="B119" s="847"/>
      <c r="C119" s="849"/>
      <c r="D119" s="848"/>
      <c r="E119" s="455"/>
      <c r="F119" s="460"/>
      <c r="G119" s="105" t="str">
        <f>IF(B119="","","40-030-198")</f>
        <v/>
      </c>
      <c r="H119" s="672">
        <f t="shared" si="89"/>
        <v>93.75</v>
      </c>
      <c r="I119" s="673">
        <f t="shared" si="90"/>
        <v>101.75</v>
      </c>
      <c r="J119" s="417"/>
      <c r="K119" s="418"/>
      <c r="L119" s="102"/>
      <c r="M119" s="422"/>
      <c r="N119" s="418"/>
      <c r="O119" s="93">
        <f t="shared" si="78"/>
        <v>0</v>
      </c>
      <c r="P119" s="94">
        <f t="shared" si="91"/>
        <v>0</v>
      </c>
      <c r="Q119" s="94">
        <f>P119*$V$3</f>
        <v>0</v>
      </c>
      <c r="R119" s="95">
        <f t="shared" si="80"/>
        <v>0</v>
      </c>
      <c r="S119" s="102"/>
      <c r="T119" s="308"/>
      <c r="U119" s="115"/>
      <c r="V119" s="96">
        <f>(T119+U119)*(1+$X$4)</f>
        <v>0</v>
      </c>
      <c r="W119" s="97">
        <f>V119*$X$3</f>
        <v>0</v>
      </c>
      <c r="X119" s="98">
        <f t="shared" si="83"/>
        <v>0</v>
      </c>
      <c r="Y119" s="102"/>
      <c r="Z119" s="188"/>
      <c r="AA119" s="99">
        <f>Z119*$V$4</f>
        <v>0</v>
      </c>
      <c r="AB119" s="100">
        <f t="shared" si="85"/>
        <v>0</v>
      </c>
      <c r="AC119" s="102"/>
      <c r="AD119" s="101">
        <f t="shared" si="86"/>
        <v>0</v>
      </c>
      <c r="AE119" s="102"/>
      <c r="AF119" s="101">
        <f t="shared" si="87"/>
        <v>0</v>
      </c>
      <c r="AG119" s="102"/>
      <c r="AH119" s="103">
        <f t="shared" si="88"/>
        <v>0</v>
      </c>
      <c r="AI119" s="725"/>
      <c r="AK119" s="148"/>
    </row>
    <row r="120" spans="1:38" s="192" customFormat="1" ht="13.5" hidden="1" customHeight="1" x14ac:dyDescent="0.25">
      <c r="A120" s="167">
        <v>49</v>
      </c>
      <c r="B120" s="847"/>
      <c r="C120" s="849"/>
      <c r="D120" s="848"/>
      <c r="E120" s="455"/>
      <c r="F120" s="460"/>
      <c r="G120" s="105" t="str">
        <f>IF(B120="","","40-030-199")</f>
        <v/>
      </c>
      <c r="H120" s="672">
        <f t="shared" si="89"/>
        <v>93.75</v>
      </c>
      <c r="I120" s="673">
        <f t="shared" si="90"/>
        <v>101.75</v>
      </c>
      <c r="J120" s="417"/>
      <c r="K120" s="418"/>
      <c r="L120" s="102"/>
      <c r="M120" s="422"/>
      <c r="N120" s="418"/>
      <c r="O120" s="93">
        <f t="shared" si="78"/>
        <v>0</v>
      </c>
      <c r="P120" s="94">
        <f t="shared" si="91"/>
        <v>0</v>
      </c>
      <c r="Q120" s="94">
        <f>P120*$V$3</f>
        <v>0</v>
      </c>
      <c r="R120" s="95">
        <f t="shared" si="80"/>
        <v>0</v>
      </c>
      <c r="S120" s="102"/>
      <c r="T120" s="308"/>
      <c r="U120" s="115"/>
      <c r="V120" s="96">
        <f>(T120+U120)*(1+$X$4)</f>
        <v>0</v>
      </c>
      <c r="W120" s="97">
        <f>V120*$X$3</f>
        <v>0</v>
      </c>
      <c r="X120" s="98">
        <f t="shared" si="83"/>
        <v>0</v>
      </c>
      <c r="Y120" s="102"/>
      <c r="Z120" s="188"/>
      <c r="AA120" s="99">
        <f>Z120*$V$4</f>
        <v>0</v>
      </c>
      <c r="AB120" s="100">
        <f t="shared" si="85"/>
        <v>0</v>
      </c>
      <c r="AC120" s="102"/>
      <c r="AD120" s="101">
        <f t="shared" si="86"/>
        <v>0</v>
      </c>
      <c r="AE120" s="102"/>
      <c r="AF120" s="101">
        <f t="shared" si="87"/>
        <v>0</v>
      </c>
      <c r="AG120" s="102"/>
      <c r="AH120" s="103">
        <f t="shared" si="88"/>
        <v>0</v>
      </c>
      <c r="AI120" s="725"/>
      <c r="AK120" s="148"/>
      <c r="AL120" s="753"/>
    </row>
    <row r="121" spans="1:38" s="192" customFormat="1" ht="15" customHeight="1" x14ac:dyDescent="0.25">
      <c r="A121" s="168">
        <v>50</v>
      </c>
      <c r="B121" s="842"/>
      <c r="C121" s="843"/>
      <c r="D121" s="844"/>
      <c r="E121" s="455"/>
      <c r="F121" s="460"/>
      <c r="G121" s="106" t="str">
        <f>IF(B121="","","40-030-200")</f>
        <v/>
      </c>
      <c r="H121" s="672">
        <f t="shared" si="89"/>
        <v>93.75</v>
      </c>
      <c r="I121" s="673">
        <f t="shared" si="90"/>
        <v>101.75</v>
      </c>
      <c r="J121" s="419"/>
      <c r="K121" s="418"/>
      <c r="L121" s="57"/>
      <c r="M121" s="423"/>
      <c r="N121" s="420"/>
      <c r="O121" s="59">
        <f t="shared" si="78"/>
        <v>0</v>
      </c>
      <c r="P121" s="60">
        <f t="shared" si="91"/>
        <v>0</v>
      </c>
      <c r="Q121" s="60">
        <f>P121*$V$3</f>
        <v>0</v>
      </c>
      <c r="R121" s="61">
        <f t="shared" si="80"/>
        <v>0</v>
      </c>
      <c r="S121" s="102"/>
      <c r="T121" s="310"/>
      <c r="U121" s="117"/>
      <c r="V121" s="62">
        <f>(T121+U121)*(1+$X$4)</f>
        <v>0</v>
      </c>
      <c r="W121" s="63">
        <f>V121*$X$3</f>
        <v>0</v>
      </c>
      <c r="X121" s="64">
        <f t="shared" si="83"/>
        <v>0</v>
      </c>
      <c r="Y121" s="57"/>
      <c r="Z121" s="190"/>
      <c r="AA121" s="65">
        <f>Z121*$V$4</f>
        <v>0</v>
      </c>
      <c r="AB121" s="66">
        <f t="shared" si="85"/>
        <v>0</v>
      </c>
      <c r="AC121" s="102"/>
      <c r="AD121" s="67">
        <f t="shared" si="86"/>
        <v>0</v>
      </c>
      <c r="AE121" s="102"/>
      <c r="AF121" s="67">
        <f t="shared" si="87"/>
        <v>0</v>
      </c>
      <c r="AG121" s="102"/>
      <c r="AH121" s="69">
        <f t="shared" si="88"/>
        <v>0</v>
      </c>
      <c r="AI121" s="725"/>
      <c r="AK121" s="125">
        <f>SUM(AH72:AH121)</f>
        <v>80127.360000000015</v>
      </c>
    </row>
    <row r="122" spans="1:38" s="192" customFormat="1" ht="3.95" customHeight="1" x14ac:dyDescent="0.25">
      <c r="A122" s="764"/>
      <c r="B122" s="68"/>
      <c r="C122" s="68"/>
      <c r="D122" s="68"/>
      <c r="E122" s="126"/>
      <c r="F122" s="765"/>
      <c r="G122" s="68"/>
      <c r="H122" s="675"/>
      <c r="I122" s="675"/>
      <c r="J122" s="766"/>
      <c r="K122" s="138"/>
      <c r="L122" s="102"/>
      <c r="M122" s="767"/>
      <c r="N122" s="138"/>
      <c r="O122" s="138"/>
      <c r="P122" s="138"/>
      <c r="Q122" s="138"/>
      <c r="R122" s="138"/>
      <c r="S122" s="767"/>
      <c r="T122" s="126"/>
      <c r="U122" s="126"/>
      <c r="V122" s="126"/>
      <c r="W122" s="126"/>
      <c r="X122" s="126"/>
      <c r="Y122" s="102"/>
      <c r="Z122" s="126"/>
      <c r="AA122" s="126"/>
      <c r="AB122" s="127"/>
      <c r="AC122" s="102"/>
      <c r="AD122" s="128"/>
      <c r="AE122" s="68"/>
      <c r="AF122" s="127"/>
      <c r="AG122" s="102"/>
      <c r="AH122" s="129"/>
      <c r="AI122" s="725"/>
      <c r="AK122" s="148"/>
    </row>
    <row r="123" spans="1:38" s="192" customFormat="1" ht="13.5" customHeight="1" thickBot="1" x14ac:dyDescent="0.3">
      <c r="A123" s="704" t="s">
        <v>700</v>
      </c>
      <c r="B123" s="705"/>
      <c r="C123" s="705"/>
      <c r="D123" s="706"/>
      <c r="E123" s="707"/>
      <c r="F123" s="763"/>
      <c r="G123" s="742" t="s">
        <v>519</v>
      </c>
      <c r="H123" s="670"/>
      <c r="I123" s="671"/>
      <c r="J123" s="745" t="s">
        <v>7</v>
      </c>
      <c r="K123" s="746" t="s">
        <v>12</v>
      </c>
      <c r="L123" s="132"/>
      <c r="M123" s="747" t="s">
        <v>13</v>
      </c>
      <c r="N123" s="139" t="s">
        <v>14</v>
      </c>
      <c r="O123" s="139" t="s">
        <v>15</v>
      </c>
      <c r="P123" s="139" t="s">
        <v>16</v>
      </c>
      <c r="Q123" s="139" t="s">
        <v>9</v>
      </c>
      <c r="R123" s="140" t="s">
        <v>10</v>
      </c>
      <c r="S123" s="132"/>
      <c r="T123" s="748" t="s">
        <v>3</v>
      </c>
      <c r="U123" s="136" t="s">
        <v>559</v>
      </c>
      <c r="V123" s="136" t="s">
        <v>17</v>
      </c>
      <c r="W123" s="136" t="s">
        <v>9</v>
      </c>
      <c r="X123" s="137" t="s">
        <v>10</v>
      </c>
      <c r="Y123" s="749"/>
      <c r="Z123" s="750" t="s">
        <v>18</v>
      </c>
      <c r="AA123" s="130" t="s">
        <v>9</v>
      </c>
      <c r="AB123" s="131" t="s">
        <v>10</v>
      </c>
      <c r="AC123" s="132"/>
      <c r="AD123" s="133" t="s">
        <v>16</v>
      </c>
      <c r="AE123" s="132"/>
      <c r="AF123" s="133" t="s">
        <v>9</v>
      </c>
      <c r="AG123" s="132"/>
      <c r="AH123" s="135" t="s">
        <v>10</v>
      </c>
      <c r="AI123" s="725"/>
      <c r="AK123" s="148"/>
    </row>
    <row r="124" spans="1:38" s="192" customFormat="1" ht="13.5" customHeight="1" thickTop="1" x14ac:dyDescent="0.25">
      <c r="A124" s="169">
        <v>1</v>
      </c>
      <c r="B124" s="845"/>
      <c r="C124" s="850"/>
      <c r="D124" s="846"/>
      <c r="E124" s="454"/>
      <c r="F124" s="454"/>
      <c r="G124" s="663" t="str">
        <f>IF(B124="","","50-030-201")</f>
        <v/>
      </c>
      <c r="H124" s="672">
        <f>IF(E124="",$R$4,VLOOKUP(E124,$A$308:$B$321,2,FALSE))</f>
        <v>93.75</v>
      </c>
      <c r="I124" s="673">
        <f>IF(F124="",($R$4+$O$4),(VLOOKUP(F124,$A$292:$B$305,2,FALSE))+$O$4)</f>
        <v>101.75</v>
      </c>
      <c r="J124" s="415"/>
      <c r="K124" s="690"/>
      <c r="L124" s="57"/>
      <c r="M124" s="421"/>
      <c r="N124" s="416"/>
      <c r="O124" s="70">
        <f t="shared" ref="O124:O166" si="151">(N124+M124)</f>
        <v>0</v>
      </c>
      <c r="P124" s="94">
        <f>(M124*H124)+(N124*I124)</f>
        <v>0</v>
      </c>
      <c r="Q124" s="71">
        <f t="shared" ref="Q124:Q169" si="152">P124*$V$3</f>
        <v>0</v>
      </c>
      <c r="R124" s="72">
        <f t="shared" ref="R124:R166" si="153">Q124+P124</f>
        <v>0</v>
      </c>
      <c r="S124" s="57"/>
      <c r="T124" s="307"/>
      <c r="U124" s="114"/>
      <c r="V124" s="73">
        <f t="shared" ref="V124:V169" si="154">(T124+U124)*(1+$X$4)</f>
        <v>0</v>
      </c>
      <c r="W124" s="74">
        <f t="shared" ref="W124:W169" si="155">V124*$X$3</f>
        <v>0</v>
      </c>
      <c r="X124" s="75">
        <f t="shared" ref="X124:X166" si="156">W124+V124</f>
        <v>0</v>
      </c>
      <c r="Y124" s="57"/>
      <c r="Z124" s="187"/>
      <c r="AA124" s="76">
        <f t="shared" ref="AA124:AA169" si="157">Z124*$V$4</f>
        <v>0</v>
      </c>
      <c r="AB124" s="77">
        <f t="shared" ref="AB124:AB166" si="158">AA124+Z124</f>
        <v>0</v>
      </c>
      <c r="AC124" s="57"/>
      <c r="AD124" s="56">
        <f t="shared" ref="AD124:AD173" si="159">Z124+V124+P124</f>
        <v>0</v>
      </c>
      <c r="AE124" s="57"/>
      <c r="AF124" s="78">
        <f t="shared" ref="AF124:AF173" si="160">W124+AA124+Q124</f>
        <v>0</v>
      </c>
      <c r="AG124" s="57"/>
      <c r="AH124" s="79">
        <f t="shared" ref="AH124:AH166" si="161">AF124+Z124+V124+P124</f>
        <v>0</v>
      </c>
      <c r="AI124" s="725"/>
      <c r="AK124" s="148"/>
    </row>
    <row r="125" spans="1:38" s="192" customFormat="1" ht="13.5" customHeight="1" x14ac:dyDescent="0.25">
      <c r="A125" s="167">
        <v>2</v>
      </c>
      <c r="B125" s="847"/>
      <c r="C125" s="849"/>
      <c r="D125" s="848"/>
      <c r="E125" s="455"/>
      <c r="F125" s="460"/>
      <c r="G125" s="105" t="str">
        <f>IF(B125="","","50-030-202")</f>
        <v/>
      </c>
      <c r="H125" s="672">
        <f t="shared" ref="H125:H173" si="162">IF(E125="",$R$4,VLOOKUP(E125,$A$308:$B$321,2,FALSE))</f>
        <v>93.75</v>
      </c>
      <c r="I125" s="673">
        <f t="shared" ref="I125:I173" si="163">IF(F125="",($R$4+$O$4),(VLOOKUP(F125,$A$292:$B$305,2,FALSE))+$O$4)</f>
        <v>101.75</v>
      </c>
      <c r="J125" s="417"/>
      <c r="K125" s="418"/>
      <c r="L125" s="102"/>
      <c r="M125" s="422"/>
      <c r="N125" s="418"/>
      <c r="O125" s="93">
        <f t="shared" si="151"/>
        <v>0</v>
      </c>
      <c r="P125" s="94">
        <f t="shared" ref="P125:P173" si="164">(M125*H125)+(N125*I125)</f>
        <v>0</v>
      </c>
      <c r="Q125" s="94">
        <f t="shared" si="152"/>
        <v>0</v>
      </c>
      <c r="R125" s="95">
        <f t="shared" si="153"/>
        <v>0</v>
      </c>
      <c r="S125" s="102"/>
      <c r="T125" s="308"/>
      <c r="U125" s="115"/>
      <c r="V125" s="96">
        <f t="shared" si="154"/>
        <v>0</v>
      </c>
      <c r="W125" s="97">
        <f t="shared" si="155"/>
        <v>0</v>
      </c>
      <c r="X125" s="98">
        <f t="shared" si="156"/>
        <v>0</v>
      </c>
      <c r="Y125" s="102"/>
      <c r="Z125" s="188"/>
      <c r="AA125" s="99">
        <f t="shared" si="157"/>
        <v>0</v>
      </c>
      <c r="AB125" s="100">
        <f t="shared" si="158"/>
        <v>0</v>
      </c>
      <c r="AC125" s="102"/>
      <c r="AD125" s="101">
        <f t="shared" si="159"/>
        <v>0</v>
      </c>
      <c r="AE125" s="102"/>
      <c r="AF125" s="101">
        <f t="shared" si="160"/>
        <v>0</v>
      </c>
      <c r="AG125" s="102"/>
      <c r="AH125" s="103">
        <f t="shared" si="161"/>
        <v>0</v>
      </c>
      <c r="AI125" s="725"/>
      <c r="AK125" s="148"/>
    </row>
    <row r="126" spans="1:38" s="192" customFormat="1" ht="13.5" customHeight="1" x14ac:dyDescent="0.25">
      <c r="A126" s="167">
        <v>3</v>
      </c>
      <c r="B126" s="847"/>
      <c r="C126" s="849"/>
      <c r="D126" s="848"/>
      <c r="E126" s="455"/>
      <c r="F126" s="460"/>
      <c r="G126" s="105" t="str">
        <f>IF(B126="","","50-030-203")</f>
        <v/>
      </c>
      <c r="H126" s="672">
        <f t="shared" si="162"/>
        <v>93.75</v>
      </c>
      <c r="I126" s="673">
        <f t="shared" si="163"/>
        <v>101.75</v>
      </c>
      <c r="J126" s="417"/>
      <c r="K126" s="418"/>
      <c r="L126" s="102"/>
      <c r="M126" s="422"/>
      <c r="N126" s="418"/>
      <c r="O126" s="93">
        <f t="shared" si="151"/>
        <v>0</v>
      </c>
      <c r="P126" s="94">
        <f t="shared" si="164"/>
        <v>0</v>
      </c>
      <c r="Q126" s="94">
        <f t="shared" si="152"/>
        <v>0</v>
      </c>
      <c r="R126" s="95">
        <f t="shared" si="153"/>
        <v>0</v>
      </c>
      <c r="S126" s="102"/>
      <c r="T126" s="308"/>
      <c r="U126" s="115"/>
      <c r="V126" s="96">
        <f t="shared" si="154"/>
        <v>0</v>
      </c>
      <c r="W126" s="97">
        <f t="shared" si="155"/>
        <v>0</v>
      </c>
      <c r="X126" s="98">
        <f t="shared" si="156"/>
        <v>0</v>
      </c>
      <c r="Y126" s="102"/>
      <c r="Z126" s="188"/>
      <c r="AA126" s="99">
        <f t="shared" si="157"/>
        <v>0</v>
      </c>
      <c r="AB126" s="100">
        <f t="shared" si="158"/>
        <v>0</v>
      </c>
      <c r="AC126" s="102"/>
      <c r="AD126" s="101">
        <f t="shared" si="159"/>
        <v>0</v>
      </c>
      <c r="AE126" s="102"/>
      <c r="AF126" s="101">
        <f t="shared" si="160"/>
        <v>0</v>
      </c>
      <c r="AG126" s="102"/>
      <c r="AH126" s="103">
        <f t="shared" si="161"/>
        <v>0</v>
      </c>
      <c r="AI126" s="725"/>
      <c r="AK126" s="148"/>
    </row>
    <row r="127" spans="1:38" s="192" customFormat="1" ht="13.5" customHeight="1" x14ac:dyDescent="0.25">
      <c r="A127" s="167">
        <v>4</v>
      </c>
      <c r="B127" s="847"/>
      <c r="C127" s="849"/>
      <c r="D127" s="848"/>
      <c r="E127" s="455"/>
      <c r="F127" s="460"/>
      <c r="G127" s="105" t="str">
        <f>IF(B127="","","50-030-204")</f>
        <v/>
      </c>
      <c r="H127" s="672">
        <f t="shared" si="162"/>
        <v>93.75</v>
      </c>
      <c r="I127" s="673">
        <f t="shared" si="163"/>
        <v>101.75</v>
      </c>
      <c r="J127" s="417"/>
      <c r="K127" s="418"/>
      <c r="L127" s="102"/>
      <c r="M127" s="422"/>
      <c r="N127" s="418"/>
      <c r="O127" s="93">
        <f t="shared" ref="O127:O131" si="165">(N127+M127)</f>
        <v>0</v>
      </c>
      <c r="P127" s="94">
        <f t="shared" si="164"/>
        <v>0</v>
      </c>
      <c r="Q127" s="94">
        <f t="shared" ref="Q127:Q134" si="166">P127*$V$3</f>
        <v>0</v>
      </c>
      <c r="R127" s="95">
        <f t="shared" ref="R127:R131" si="167">Q127+P127</f>
        <v>0</v>
      </c>
      <c r="S127" s="102"/>
      <c r="T127" s="308"/>
      <c r="U127" s="115"/>
      <c r="V127" s="96">
        <f t="shared" ref="V127:V134" si="168">(T127+U127)*(1+$X$4)</f>
        <v>0</v>
      </c>
      <c r="W127" s="97">
        <f t="shared" ref="W127:W134" si="169">V127*$X$3</f>
        <v>0</v>
      </c>
      <c r="X127" s="98">
        <f t="shared" ref="X127:X131" si="170">W127+V127</f>
        <v>0</v>
      </c>
      <c r="Y127" s="102"/>
      <c r="Z127" s="188"/>
      <c r="AA127" s="99">
        <f t="shared" ref="AA127:AA134" si="171">Z127*$V$4</f>
        <v>0</v>
      </c>
      <c r="AB127" s="100">
        <f t="shared" ref="AB127:AB131" si="172">AA127+Z127</f>
        <v>0</v>
      </c>
      <c r="AC127" s="102"/>
      <c r="AD127" s="101">
        <f t="shared" ref="AD127:AD134" si="173">Z127+V127+P127</f>
        <v>0</v>
      </c>
      <c r="AE127" s="102"/>
      <c r="AF127" s="101">
        <f t="shared" ref="AF127:AF134" si="174">W127+AA127+Q127</f>
        <v>0</v>
      </c>
      <c r="AG127" s="102"/>
      <c r="AH127" s="103">
        <f t="shared" ref="AH127:AH131" si="175">AF127+Z127+V127+P127</f>
        <v>0</v>
      </c>
      <c r="AI127" s="725"/>
      <c r="AK127" s="148"/>
    </row>
    <row r="128" spans="1:38" s="192" customFormat="1" ht="13.5" hidden="1" customHeight="1" x14ac:dyDescent="0.25">
      <c r="A128" s="459">
        <v>5</v>
      </c>
      <c r="B128" s="847"/>
      <c r="C128" s="849"/>
      <c r="D128" s="848"/>
      <c r="E128" s="460"/>
      <c r="F128" s="460"/>
      <c r="G128" s="105" t="str">
        <f>IF(B128="","","50-030-205")</f>
        <v/>
      </c>
      <c r="H128" s="672">
        <f t="shared" si="162"/>
        <v>93.75</v>
      </c>
      <c r="I128" s="673">
        <f t="shared" si="163"/>
        <v>101.75</v>
      </c>
      <c r="J128" s="417"/>
      <c r="K128" s="418"/>
      <c r="L128" s="102"/>
      <c r="M128" s="422"/>
      <c r="N128" s="418"/>
      <c r="O128" s="86">
        <f t="shared" si="165"/>
        <v>0</v>
      </c>
      <c r="P128" s="94">
        <f t="shared" si="164"/>
        <v>0</v>
      </c>
      <c r="Q128" s="94">
        <f t="shared" si="166"/>
        <v>0</v>
      </c>
      <c r="R128" s="95">
        <f t="shared" si="167"/>
        <v>0</v>
      </c>
      <c r="S128" s="102"/>
      <c r="T128" s="456"/>
      <c r="U128" s="457"/>
      <c r="V128" s="96">
        <f t="shared" si="168"/>
        <v>0</v>
      </c>
      <c r="W128" s="97">
        <f t="shared" si="169"/>
        <v>0</v>
      </c>
      <c r="X128" s="98">
        <f t="shared" si="170"/>
        <v>0</v>
      </c>
      <c r="Y128" s="102"/>
      <c r="Z128" s="191"/>
      <c r="AA128" s="113">
        <f t="shared" si="171"/>
        <v>0</v>
      </c>
      <c r="AB128" s="100">
        <f t="shared" si="172"/>
        <v>0</v>
      </c>
      <c r="AC128" s="102"/>
      <c r="AD128" s="101">
        <f t="shared" si="173"/>
        <v>0</v>
      </c>
      <c r="AE128" s="102"/>
      <c r="AF128" s="101">
        <f t="shared" si="174"/>
        <v>0</v>
      </c>
      <c r="AG128" s="57"/>
      <c r="AH128" s="103">
        <f t="shared" si="175"/>
        <v>0</v>
      </c>
      <c r="AI128" s="725"/>
      <c r="AK128" s="148"/>
    </row>
    <row r="129" spans="1:38" s="192" customFormat="1" ht="13.5" hidden="1" customHeight="1" x14ac:dyDescent="0.25">
      <c r="A129" s="167">
        <v>6</v>
      </c>
      <c r="B129" s="847"/>
      <c r="C129" s="849"/>
      <c r="D129" s="848"/>
      <c r="E129" s="455"/>
      <c r="F129" s="455"/>
      <c r="G129" s="105" t="str">
        <f>IF(B129="","","50-030-206")</f>
        <v/>
      </c>
      <c r="H129" s="672">
        <f t="shared" si="162"/>
        <v>93.75</v>
      </c>
      <c r="I129" s="673">
        <f t="shared" si="163"/>
        <v>101.75</v>
      </c>
      <c r="J129" s="440"/>
      <c r="K129" s="418"/>
      <c r="L129" s="102"/>
      <c r="M129" s="442"/>
      <c r="N129" s="441"/>
      <c r="O129" s="93">
        <f t="shared" si="165"/>
        <v>0</v>
      </c>
      <c r="P129" s="94">
        <f t="shared" si="164"/>
        <v>0</v>
      </c>
      <c r="Q129" s="94">
        <f t="shared" si="166"/>
        <v>0</v>
      </c>
      <c r="R129" s="95">
        <f t="shared" si="167"/>
        <v>0</v>
      </c>
      <c r="S129" s="102"/>
      <c r="T129" s="309"/>
      <c r="U129" s="116"/>
      <c r="V129" s="96">
        <f t="shared" si="168"/>
        <v>0</v>
      </c>
      <c r="W129" s="97">
        <f t="shared" si="169"/>
        <v>0</v>
      </c>
      <c r="X129" s="98">
        <f t="shared" si="170"/>
        <v>0</v>
      </c>
      <c r="Y129" s="102"/>
      <c r="Z129" s="461"/>
      <c r="AA129" s="99">
        <f t="shared" si="171"/>
        <v>0</v>
      </c>
      <c r="AB129" s="100">
        <f t="shared" si="172"/>
        <v>0</v>
      </c>
      <c r="AC129" s="102"/>
      <c r="AD129" s="101">
        <f t="shared" si="173"/>
        <v>0</v>
      </c>
      <c r="AE129" s="57"/>
      <c r="AF129" s="101">
        <f t="shared" si="174"/>
        <v>0</v>
      </c>
      <c r="AG129" s="102"/>
      <c r="AH129" s="103">
        <f t="shared" si="175"/>
        <v>0</v>
      </c>
      <c r="AI129" s="725"/>
      <c r="AK129" s="148"/>
    </row>
    <row r="130" spans="1:38" s="192" customFormat="1" ht="13.5" hidden="1" customHeight="1" x14ac:dyDescent="0.25">
      <c r="A130" s="167">
        <v>7</v>
      </c>
      <c r="B130" s="847"/>
      <c r="C130" s="849"/>
      <c r="D130" s="848"/>
      <c r="E130" s="455"/>
      <c r="F130" s="460"/>
      <c r="G130" s="105" t="str">
        <f>IF(B130="","","50-030-207")</f>
        <v/>
      </c>
      <c r="H130" s="672">
        <f t="shared" si="162"/>
        <v>93.75</v>
      </c>
      <c r="I130" s="673">
        <f t="shared" si="163"/>
        <v>101.75</v>
      </c>
      <c r="J130" s="417"/>
      <c r="K130" s="418"/>
      <c r="L130" s="102"/>
      <c r="M130" s="422"/>
      <c r="N130" s="418"/>
      <c r="O130" s="93">
        <f t="shared" si="165"/>
        <v>0</v>
      </c>
      <c r="P130" s="94">
        <f t="shared" si="164"/>
        <v>0</v>
      </c>
      <c r="Q130" s="94">
        <f t="shared" si="166"/>
        <v>0</v>
      </c>
      <c r="R130" s="95">
        <f t="shared" si="167"/>
        <v>0</v>
      </c>
      <c r="S130" s="102"/>
      <c r="T130" s="308"/>
      <c r="U130" s="115"/>
      <c r="V130" s="96">
        <f t="shared" si="168"/>
        <v>0</v>
      </c>
      <c r="W130" s="97">
        <f t="shared" si="169"/>
        <v>0</v>
      </c>
      <c r="X130" s="98">
        <f t="shared" si="170"/>
        <v>0</v>
      </c>
      <c r="Y130" s="102"/>
      <c r="Z130" s="188"/>
      <c r="AA130" s="99">
        <f t="shared" si="171"/>
        <v>0</v>
      </c>
      <c r="AB130" s="100">
        <f t="shared" si="172"/>
        <v>0</v>
      </c>
      <c r="AC130" s="102"/>
      <c r="AD130" s="101">
        <f t="shared" si="173"/>
        <v>0</v>
      </c>
      <c r="AE130" s="102"/>
      <c r="AF130" s="101">
        <f t="shared" si="174"/>
        <v>0</v>
      </c>
      <c r="AG130" s="102"/>
      <c r="AH130" s="103">
        <f t="shared" si="175"/>
        <v>0</v>
      </c>
      <c r="AI130" s="725"/>
      <c r="AK130" s="148"/>
    </row>
    <row r="131" spans="1:38" s="192" customFormat="1" ht="13.5" hidden="1" customHeight="1" x14ac:dyDescent="0.25">
      <c r="A131" s="167">
        <v>8</v>
      </c>
      <c r="B131" s="847"/>
      <c r="C131" s="849"/>
      <c r="D131" s="848"/>
      <c r="E131" s="455"/>
      <c r="F131" s="460"/>
      <c r="G131" s="105" t="str">
        <f>IF(B131="","","50-030-208")</f>
        <v/>
      </c>
      <c r="H131" s="672">
        <f t="shared" si="162"/>
        <v>93.75</v>
      </c>
      <c r="I131" s="673">
        <f t="shared" si="163"/>
        <v>101.75</v>
      </c>
      <c r="J131" s="417"/>
      <c r="K131" s="418"/>
      <c r="L131" s="102"/>
      <c r="M131" s="422"/>
      <c r="N131" s="418"/>
      <c r="O131" s="93">
        <f t="shared" si="165"/>
        <v>0</v>
      </c>
      <c r="P131" s="94">
        <f t="shared" si="164"/>
        <v>0</v>
      </c>
      <c r="Q131" s="94">
        <f t="shared" si="166"/>
        <v>0</v>
      </c>
      <c r="R131" s="95">
        <f t="shared" si="167"/>
        <v>0</v>
      </c>
      <c r="S131" s="102"/>
      <c r="T131" s="308"/>
      <c r="U131" s="115"/>
      <c r="V131" s="96">
        <f t="shared" si="168"/>
        <v>0</v>
      </c>
      <c r="W131" s="97">
        <f t="shared" si="169"/>
        <v>0</v>
      </c>
      <c r="X131" s="98">
        <f t="shared" si="170"/>
        <v>0</v>
      </c>
      <c r="Y131" s="102"/>
      <c r="Z131" s="188"/>
      <c r="AA131" s="99">
        <f t="shared" si="171"/>
        <v>0</v>
      </c>
      <c r="AB131" s="100">
        <f t="shared" si="172"/>
        <v>0</v>
      </c>
      <c r="AC131" s="102"/>
      <c r="AD131" s="101">
        <f t="shared" si="173"/>
        <v>0</v>
      </c>
      <c r="AE131" s="102"/>
      <c r="AF131" s="101">
        <f t="shared" si="174"/>
        <v>0</v>
      </c>
      <c r="AG131" s="102"/>
      <c r="AH131" s="103">
        <f t="shared" si="175"/>
        <v>0</v>
      </c>
      <c r="AI131" s="725"/>
      <c r="AK131" s="148"/>
    </row>
    <row r="132" spans="1:38" s="192" customFormat="1" ht="13.5" hidden="1" customHeight="1" x14ac:dyDescent="0.25">
      <c r="A132" s="167">
        <v>9</v>
      </c>
      <c r="B132" s="847"/>
      <c r="C132" s="849"/>
      <c r="D132" s="848"/>
      <c r="E132" s="455"/>
      <c r="F132" s="460"/>
      <c r="G132" s="105" t="str">
        <f>IF(B132="","","50-030-209")</f>
        <v/>
      </c>
      <c r="H132" s="672">
        <f t="shared" si="162"/>
        <v>93.75</v>
      </c>
      <c r="I132" s="673">
        <f t="shared" si="163"/>
        <v>101.75</v>
      </c>
      <c r="J132" s="417"/>
      <c r="K132" s="418"/>
      <c r="L132" s="102"/>
      <c r="M132" s="422"/>
      <c r="N132" s="418"/>
      <c r="O132" s="93">
        <f>(N132+M132)</f>
        <v>0</v>
      </c>
      <c r="P132" s="94">
        <f t="shared" si="164"/>
        <v>0</v>
      </c>
      <c r="Q132" s="94">
        <f t="shared" si="166"/>
        <v>0</v>
      </c>
      <c r="R132" s="95">
        <f>Q132+P132</f>
        <v>0</v>
      </c>
      <c r="S132" s="102"/>
      <c r="T132" s="308"/>
      <c r="U132" s="115"/>
      <c r="V132" s="96">
        <f t="shared" si="168"/>
        <v>0</v>
      </c>
      <c r="W132" s="97">
        <f t="shared" si="169"/>
        <v>0</v>
      </c>
      <c r="X132" s="98">
        <f>W132+V132</f>
        <v>0</v>
      </c>
      <c r="Y132" s="102"/>
      <c r="Z132" s="188"/>
      <c r="AA132" s="99">
        <f t="shared" si="171"/>
        <v>0</v>
      </c>
      <c r="AB132" s="100">
        <f>AA132+Z132</f>
        <v>0</v>
      </c>
      <c r="AC132" s="102"/>
      <c r="AD132" s="101">
        <f t="shared" si="173"/>
        <v>0</v>
      </c>
      <c r="AE132" s="102"/>
      <c r="AF132" s="101">
        <f t="shared" si="174"/>
        <v>0</v>
      </c>
      <c r="AG132" s="102"/>
      <c r="AH132" s="103">
        <f>AF132+Z132+V132+P132</f>
        <v>0</v>
      </c>
      <c r="AI132" s="725"/>
      <c r="AK132" s="148"/>
    </row>
    <row r="133" spans="1:38" s="192" customFormat="1" ht="13.5" hidden="1" customHeight="1" x14ac:dyDescent="0.25">
      <c r="A133" s="167">
        <v>10</v>
      </c>
      <c r="B133" s="847"/>
      <c r="C133" s="849"/>
      <c r="D133" s="848"/>
      <c r="E133" s="455"/>
      <c r="F133" s="460"/>
      <c r="G133" s="105" t="str">
        <f>IF(B133="","","50-030-210")</f>
        <v/>
      </c>
      <c r="H133" s="672">
        <f t="shared" si="162"/>
        <v>93.75</v>
      </c>
      <c r="I133" s="673">
        <f t="shared" si="163"/>
        <v>101.75</v>
      </c>
      <c r="J133" s="417"/>
      <c r="K133" s="418"/>
      <c r="L133" s="57"/>
      <c r="M133" s="422"/>
      <c r="N133" s="418"/>
      <c r="O133" s="86">
        <f>(N133+M133)</f>
        <v>0</v>
      </c>
      <c r="P133" s="94">
        <f t="shared" si="164"/>
        <v>0</v>
      </c>
      <c r="Q133" s="94">
        <f t="shared" si="166"/>
        <v>0</v>
      </c>
      <c r="R133" s="95">
        <f>Q133+P133</f>
        <v>0</v>
      </c>
      <c r="S133" s="57"/>
      <c r="T133" s="308"/>
      <c r="U133" s="115"/>
      <c r="V133" s="96">
        <f t="shared" si="168"/>
        <v>0</v>
      </c>
      <c r="W133" s="97">
        <f t="shared" si="169"/>
        <v>0</v>
      </c>
      <c r="X133" s="98">
        <f>W133+V133</f>
        <v>0</v>
      </c>
      <c r="Y133" s="102"/>
      <c r="Z133" s="188"/>
      <c r="AA133" s="113">
        <f t="shared" si="171"/>
        <v>0</v>
      </c>
      <c r="AB133" s="100">
        <f>AA133+Z133</f>
        <v>0</v>
      </c>
      <c r="AC133" s="102"/>
      <c r="AD133" s="101">
        <f t="shared" si="173"/>
        <v>0</v>
      </c>
      <c r="AE133" s="102"/>
      <c r="AF133" s="101">
        <f t="shared" si="174"/>
        <v>0</v>
      </c>
      <c r="AG133" s="102"/>
      <c r="AH133" s="103">
        <f>AF133+Z133+V133+P133</f>
        <v>0</v>
      </c>
      <c r="AI133" s="725"/>
      <c r="AK133" s="148"/>
    </row>
    <row r="134" spans="1:38" s="192" customFormat="1" ht="13.5" hidden="1" customHeight="1" x14ac:dyDescent="0.25">
      <c r="A134" s="167">
        <v>11</v>
      </c>
      <c r="B134" s="847"/>
      <c r="C134" s="849"/>
      <c r="D134" s="848"/>
      <c r="E134" s="455"/>
      <c r="F134" s="460"/>
      <c r="G134" s="105" t="str">
        <f>IF(B134="","","50-030-211")</f>
        <v/>
      </c>
      <c r="H134" s="672">
        <f t="shared" si="162"/>
        <v>93.75</v>
      </c>
      <c r="I134" s="673">
        <f t="shared" si="163"/>
        <v>101.75</v>
      </c>
      <c r="J134" s="417"/>
      <c r="K134" s="418"/>
      <c r="L134" s="57"/>
      <c r="M134" s="422"/>
      <c r="N134" s="418"/>
      <c r="O134" s="93">
        <f t="shared" ref="O134" si="176">(N134+M134)</f>
        <v>0</v>
      </c>
      <c r="P134" s="94">
        <f t="shared" si="164"/>
        <v>0</v>
      </c>
      <c r="Q134" s="94">
        <f t="shared" si="166"/>
        <v>0</v>
      </c>
      <c r="R134" s="95">
        <f t="shared" ref="R134" si="177">Q134+P134</f>
        <v>0</v>
      </c>
      <c r="S134" s="102"/>
      <c r="T134" s="308"/>
      <c r="U134" s="115"/>
      <c r="V134" s="96">
        <f t="shared" si="168"/>
        <v>0</v>
      </c>
      <c r="W134" s="97">
        <f t="shared" si="169"/>
        <v>0</v>
      </c>
      <c r="X134" s="98">
        <f t="shared" ref="X134" si="178">W134+V134</f>
        <v>0</v>
      </c>
      <c r="Y134" s="57"/>
      <c r="Z134" s="188"/>
      <c r="AA134" s="99">
        <f t="shared" si="171"/>
        <v>0</v>
      </c>
      <c r="AB134" s="100">
        <f t="shared" ref="AB134" si="179">AA134+Z134</f>
        <v>0</v>
      </c>
      <c r="AC134" s="57"/>
      <c r="AD134" s="101">
        <f t="shared" si="173"/>
        <v>0</v>
      </c>
      <c r="AE134" s="102"/>
      <c r="AF134" s="101">
        <f t="shared" si="174"/>
        <v>0</v>
      </c>
      <c r="AG134" s="102"/>
      <c r="AH134" s="103">
        <f t="shared" ref="AH134" si="180">AF134+Z134+V134+P134</f>
        <v>0</v>
      </c>
      <c r="AI134" s="725"/>
      <c r="AK134" s="148"/>
    </row>
    <row r="135" spans="1:38" s="192" customFormat="1" ht="13.5" hidden="1" customHeight="1" x14ac:dyDescent="0.25">
      <c r="A135" s="167">
        <v>12</v>
      </c>
      <c r="B135" s="847"/>
      <c r="C135" s="849"/>
      <c r="D135" s="848"/>
      <c r="E135" s="455"/>
      <c r="F135" s="460"/>
      <c r="G135" s="105" t="str">
        <f>IF(B135="","","50-030-212")</f>
        <v/>
      </c>
      <c r="H135" s="672">
        <f t="shared" si="162"/>
        <v>93.75</v>
      </c>
      <c r="I135" s="673">
        <f t="shared" si="163"/>
        <v>101.75</v>
      </c>
      <c r="J135" s="417"/>
      <c r="K135" s="418"/>
      <c r="L135" s="102"/>
      <c r="M135" s="422"/>
      <c r="N135" s="418"/>
      <c r="O135" s="93">
        <f t="shared" si="151"/>
        <v>0</v>
      </c>
      <c r="P135" s="94">
        <f t="shared" si="164"/>
        <v>0</v>
      </c>
      <c r="Q135" s="94">
        <f t="shared" si="152"/>
        <v>0</v>
      </c>
      <c r="R135" s="95">
        <f t="shared" si="153"/>
        <v>0</v>
      </c>
      <c r="S135" s="102"/>
      <c r="T135" s="308"/>
      <c r="U135" s="115"/>
      <c r="V135" s="96">
        <f t="shared" si="154"/>
        <v>0</v>
      </c>
      <c r="W135" s="97">
        <f t="shared" si="155"/>
        <v>0</v>
      </c>
      <c r="X135" s="98">
        <f t="shared" si="156"/>
        <v>0</v>
      </c>
      <c r="Y135" s="102"/>
      <c r="Z135" s="188"/>
      <c r="AA135" s="99">
        <f t="shared" si="157"/>
        <v>0</v>
      </c>
      <c r="AB135" s="100">
        <f t="shared" si="158"/>
        <v>0</v>
      </c>
      <c r="AC135" s="102"/>
      <c r="AD135" s="101">
        <f t="shared" si="159"/>
        <v>0</v>
      </c>
      <c r="AE135" s="102"/>
      <c r="AF135" s="101">
        <f t="shared" si="160"/>
        <v>0</v>
      </c>
      <c r="AG135" s="102"/>
      <c r="AH135" s="103">
        <f t="shared" si="161"/>
        <v>0</v>
      </c>
      <c r="AI135" s="725"/>
      <c r="AK135" s="148"/>
    </row>
    <row r="136" spans="1:38" s="192" customFormat="1" ht="13.5" hidden="1" customHeight="1" x14ac:dyDescent="0.25">
      <c r="A136" s="459">
        <v>13</v>
      </c>
      <c r="B136" s="847"/>
      <c r="C136" s="849"/>
      <c r="D136" s="848"/>
      <c r="E136" s="460"/>
      <c r="F136" s="460"/>
      <c r="G136" s="105" t="str">
        <f>IF(B136="","","50-030-213")</f>
        <v/>
      </c>
      <c r="H136" s="672">
        <f t="shared" si="162"/>
        <v>93.75</v>
      </c>
      <c r="I136" s="673">
        <f t="shared" si="163"/>
        <v>101.75</v>
      </c>
      <c r="J136" s="417"/>
      <c r="K136" s="418"/>
      <c r="L136" s="102"/>
      <c r="M136" s="422"/>
      <c r="N136" s="418"/>
      <c r="O136" s="86">
        <f t="shared" si="151"/>
        <v>0</v>
      </c>
      <c r="P136" s="94">
        <f t="shared" si="164"/>
        <v>0</v>
      </c>
      <c r="Q136" s="94">
        <f t="shared" si="152"/>
        <v>0</v>
      </c>
      <c r="R136" s="95">
        <f t="shared" si="153"/>
        <v>0</v>
      </c>
      <c r="S136" s="102"/>
      <c r="T136" s="456"/>
      <c r="U136" s="457"/>
      <c r="V136" s="96">
        <f t="shared" si="154"/>
        <v>0</v>
      </c>
      <c r="W136" s="97">
        <f t="shared" si="155"/>
        <v>0</v>
      </c>
      <c r="X136" s="98">
        <f t="shared" si="156"/>
        <v>0</v>
      </c>
      <c r="Y136" s="102"/>
      <c r="Z136" s="191"/>
      <c r="AA136" s="113">
        <f t="shared" si="157"/>
        <v>0</v>
      </c>
      <c r="AB136" s="100">
        <f t="shared" si="158"/>
        <v>0</v>
      </c>
      <c r="AC136" s="102"/>
      <c r="AD136" s="101">
        <f t="shared" si="159"/>
        <v>0</v>
      </c>
      <c r="AE136" s="102"/>
      <c r="AF136" s="101">
        <f t="shared" si="160"/>
        <v>0</v>
      </c>
      <c r="AG136" s="57"/>
      <c r="AH136" s="103">
        <f t="shared" si="161"/>
        <v>0</v>
      </c>
      <c r="AI136" s="725"/>
      <c r="AK136" s="148"/>
    </row>
    <row r="137" spans="1:38" s="192" customFormat="1" ht="13.5" hidden="1" customHeight="1" x14ac:dyDescent="0.25">
      <c r="A137" s="167">
        <v>14</v>
      </c>
      <c r="B137" s="847"/>
      <c r="C137" s="849"/>
      <c r="D137" s="848"/>
      <c r="E137" s="455"/>
      <c r="F137" s="455"/>
      <c r="G137" s="105" t="str">
        <f>IF(B137="","","50-030-214")</f>
        <v/>
      </c>
      <c r="H137" s="672">
        <f t="shared" si="162"/>
        <v>93.75</v>
      </c>
      <c r="I137" s="673">
        <f t="shared" si="163"/>
        <v>101.75</v>
      </c>
      <c r="J137" s="440"/>
      <c r="K137" s="418"/>
      <c r="L137" s="102"/>
      <c r="M137" s="442"/>
      <c r="N137" s="441"/>
      <c r="O137" s="93">
        <f t="shared" si="151"/>
        <v>0</v>
      </c>
      <c r="P137" s="94">
        <f t="shared" si="164"/>
        <v>0</v>
      </c>
      <c r="Q137" s="94">
        <f t="shared" si="152"/>
        <v>0</v>
      </c>
      <c r="R137" s="95">
        <f t="shared" si="153"/>
        <v>0</v>
      </c>
      <c r="S137" s="102"/>
      <c r="T137" s="309"/>
      <c r="U137" s="116"/>
      <c r="V137" s="96">
        <f t="shared" si="154"/>
        <v>0</v>
      </c>
      <c r="W137" s="97">
        <f t="shared" si="155"/>
        <v>0</v>
      </c>
      <c r="X137" s="98">
        <f t="shared" si="156"/>
        <v>0</v>
      </c>
      <c r="Y137" s="102"/>
      <c r="Z137" s="461"/>
      <c r="AA137" s="99">
        <f t="shared" si="157"/>
        <v>0</v>
      </c>
      <c r="AB137" s="100">
        <f t="shared" si="158"/>
        <v>0</v>
      </c>
      <c r="AC137" s="102"/>
      <c r="AD137" s="101">
        <f t="shared" si="159"/>
        <v>0</v>
      </c>
      <c r="AE137" s="57"/>
      <c r="AF137" s="101">
        <f t="shared" si="160"/>
        <v>0</v>
      </c>
      <c r="AG137" s="102"/>
      <c r="AH137" s="103">
        <f t="shared" si="161"/>
        <v>0</v>
      </c>
      <c r="AI137" s="725"/>
      <c r="AK137" s="148"/>
    </row>
    <row r="138" spans="1:38" s="192" customFormat="1" ht="13.5" hidden="1" customHeight="1" x14ac:dyDescent="0.25">
      <c r="A138" s="167">
        <v>15</v>
      </c>
      <c r="B138" s="847"/>
      <c r="C138" s="849"/>
      <c r="D138" s="848"/>
      <c r="E138" s="455"/>
      <c r="F138" s="460"/>
      <c r="G138" s="105" t="str">
        <f>IF(B138="","","50-030-215")</f>
        <v/>
      </c>
      <c r="H138" s="672">
        <f t="shared" si="162"/>
        <v>93.75</v>
      </c>
      <c r="I138" s="673">
        <f t="shared" si="163"/>
        <v>101.75</v>
      </c>
      <c r="J138" s="417"/>
      <c r="K138" s="418"/>
      <c r="L138" s="102"/>
      <c r="M138" s="422"/>
      <c r="N138" s="418"/>
      <c r="O138" s="93">
        <f t="shared" si="151"/>
        <v>0</v>
      </c>
      <c r="P138" s="94">
        <f t="shared" si="164"/>
        <v>0</v>
      </c>
      <c r="Q138" s="94">
        <f t="shared" si="152"/>
        <v>0</v>
      </c>
      <c r="R138" s="95">
        <f t="shared" si="153"/>
        <v>0</v>
      </c>
      <c r="S138" s="102"/>
      <c r="T138" s="308"/>
      <c r="U138" s="115"/>
      <c r="V138" s="96">
        <f t="shared" si="154"/>
        <v>0</v>
      </c>
      <c r="W138" s="97">
        <f t="shared" si="155"/>
        <v>0</v>
      </c>
      <c r="X138" s="98">
        <f t="shared" si="156"/>
        <v>0</v>
      </c>
      <c r="Y138" s="102"/>
      <c r="Z138" s="188"/>
      <c r="AA138" s="99">
        <f t="shared" si="157"/>
        <v>0</v>
      </c>
      <c r="AB138" s="100">
        <f t="shared" si="158"/>
        <v>0</v>
      </c>
      <c r="AC138" s="102"/>
      <c r="AD138" s="101">
        <f t="shared" si="159"/>
        <v>0</v>
      </c>
      <c r="AE138" s="102"/>
      <c r="AF138" s="101">
        <f t="shared" si="160"/>
        <v>0</v>
      </c>
      <c r="AG138" s="102"/>
      <c r="AH138" s="103">
        <f t="shared" si="161"/>
        <v>0</v>
      </c>
      <c r="AI138" s="725"/>
      <c r="AK138" s="148"/>
    </row>
    <row r="139" spans="1:38" s="192" customFormat="1" ht="13.5" hidden="1" customHeight="1" x14ac:dyDescent="0.25">
      <c r="A139" s="167">
        <v>16</v>
      </c>
      <c r="B139" s="847"/>
      <c r="C139" s="849"/>
      <c r="D139" s="848"/>
      <c r="E139" s="455"/>
      <c r="F139" s="460"/>
      <c r="G139" s="105" t="str">
        <f>IF(B139="","","50-030-216")</f>
        <v/>
      </c>
      <c r="H139" s="672">
        <f t="shared" si="162"/>
        <v>93.75</v>
      </c>
      <c r="I139" s="673">
        <f t="shared" si="163"/>
        <v>101.75</v>
      </c>
      <c r="J139" s="417"/>
      <c r="K139" s="418"/>
      <c r="L139" s="102"/>
      <c r="M139" s="422"/>
      <c r="N139" s="418"/>
      <c r="O139" s="93">
        <f>(N139+M139)</f>
        <v>0</v>
      </c>
      <c r="P139" s="94">
        <f t="shared" si="164"/>
        <v>0</v>
      </c>
      <c r="Q139" s="94">
        <f t="shared" si="152"/>
        <v>0</v>
      </c>
      <c r="R139" s="95">
        <f>Q139+P139</f>
        <v>0</v>
      </c>
      <c r="S139" s="102"/>
      <c r="T139" s="308"/>
      <c r="U139" s="115"/>
      <c r="V139" s="96">
        <f t="shared" si="154"/>
        <v>0</v>
      </c>
      <c r="W139" s="97">
        <f t="shared" si="155"/>
        <v>0</v>
      </c>
      <c r="X139" s="98">
        <f>W139+V139</f>
        <v>0</v>
      </c>
      <c r="Y139" s="102"/>
      <c r="Z139" s="188"/>
      <c r="AA139" s="99">
        <f t="shared" si="157"/>
        <v>0</v>
      </c>
      <c r="AB139" s="100">
        <f>AA139+Z139</f>
        <v>0</v>
      </c>
      <c r="AC139" s="102"/>
      <c r="AD139" s="101">
        <f t="shared" si="159"/>
        <v>0</v>
      </c>
      <c r="AE139" s="102"/>
      <c r="AF139" s="101">
        <f t="shared" si="160"/>
        <v>0</v>
      </c>
      <c r="AG139" s="102"/>
      <c r="AH139" s="103">
        <f>AF139+Z139+V139+P139</f>
        <v>0</v>
      </c>
      <c r="AI139" s="725"/>
      <c r="AK139" s="148"/>
    </row>
    <row r="140" spans="1:38" s="192" customFormat="1" ht="13.5" hidden="1" customHeight="1" x14ac:dyDescent="0.25">
      <c r="A140" s="167">
        <v>17</v>
      </c>
      <c r="B140" s="847"/>
      <c r="C140" s="849"/>
      <c r="D140" s="848"/>
      <c r="E140" s="455"/>
      <c r="F140" s="460"/>
      <c r="G140" s="105" t="str">
        <f>IF(B140="","","50-030-217")</f>
        <v/>
      </c>
      <c r="H140" s="672">
        <f t="shared" si="162"/>
        <v>93.75</v>
      </c>
      <c r="I140" s="673">
        <f t="shared" si="163"/>
        <v>101.75</v>
      </c>
      <c r="J140" s="417"/>
      <c r="K140" s="418"/>
      <c r="L140" s="57"/>
      <c r="M140" s="422"/>
      <c r="N140" s="418"/>
      <c r="O140" s="86">
        <f>(N140+M140)</f>
        <v>0</v>
      </c>
      <c r="P140" s="94">
        <f t="shared" si="164"/>
        <v>0</v>
      </c>
      <c r="Q140" s="94">
        <f t="shared" si="152"/>
        <v>0</v>
      </c>
      <c r="R140" s="95">
        <f>Q140+P140</f>
        <v>0</v>
      </c>
      <c r="S140" s="57"/>
      <c r="T140" s="308"/>
      <c r="U140" s="115"/>
      <c r="V140" s="96">
        <f t="shared" si="154"/>
        <v>0</v>
      </c>
      <c r="W140" s="97">
        <f t="shared" si="155"/>
        <v>0</v>
      </c>
      <c r="X140" s="98">
        <f>W140+V140</f>
        <v>0</v>
      </c>
      <c r="Y140" s="102"/>
      <c r="Z140" s="188"/>
      <c r="AA140" s="113">
        <f t="shared" si="157"/>
        <v>0</v>
      </c>
      <c r="AB140" s="100">
        <f>AA140+Z140</f>
        <v>0</v>
      </c>
      <c r="AC140" s="102"/>
      <c r="AD140" s="101">
        <f t="shared" si="159"/>
        <v>0</v>
      </c>
      <c r="AE140" s="102"/>
      <c r="AF140" s="101">
        <f t="shared" si="160"/>
        <v>0</v>
      </c>
      <c r="AG140" s="102"/>
      <c r="AH140" s="103">
        <f>AF140+Z140+V140+P140</f>
        <v>0</v>
      </c>
      <c r="AI140" s="725"/>
      <c r="AK140" s="148"/>
    </row>
    <row r="141" spans="1:38" s="192" customFormat="1" ht="13.5" hidden="1" customHeight="1" x14ac:dyDescent="0.25">
      <c r="A141" s="167">
        <v>18</v>
      </c>
      <c r="B141" s="847"/>
      <c r="C141" s="849"/>
      <c r="D141" s="848"/>
      <c r="E141" s="455"/>
      <c r="F141" s="460"/>
      <c r="G141" s="105" t="str">
        <f>IF(B141="","","50-030-218")</f>
        <v/>
      </c>
      <c r="H141" s="672">
        <f t="shared" si="162"/>
        <v>93.75</v>
      </c>
      <c r="I141" s="673">
        <f t="shared" si="163"/>
        <v>101.75</v>
      </c>
      <c r="J141" s="417"/>
      <c r="K141" s="418"/>
      <c r="L141" s="57"/>
      <c r="M141" s="422"/>
      <c r="N141" s="418"/>
      <c r="O141" s="93">
        <f t="shared" ref="O141:O146" si="181">(N141+M141)</f>
        <v>0</v>
      </c>
      <c r="P141" s="94">
        <f t="shared" si="164"/>
        <v>0</v>
      </c>
      <c r="Q141" s="94">
        <f t="shared" si="152"/>
        <v>0</v>
      </c>
      <c r="R141" s="95">
        <f t="shared" ref="R141:R146" si="182">Q141+P141</f>
        <v>0</v>
      </c>
      <c r="S141" s="102"/>
      <c r="T141" s="308"/>
      <c r="U141" s="115"/>
      <c r="V141" s="96">
        <f t="shared" si="154"/>
        <v>0</v>
      </c>
      <c r="W141" s="97">
        <f t="shared" si="155"/>
        <v>0</v>
      </c>
      <c r="X141" s="98">
        <f t="shared" ref="X141:X146" si="183">W141+V141</f>
        <v>0</v>
      </c>
      <c r="Y141" s="57"/>
      <c r="Z141" s="188"/>
      <c r="AA141" s="99">
        <f t="shared" si="157"/>
        <v>0</v>
      </c>
      <c r="AB141" s="100">
        <f t="shared" ref="AB141:AB146" si="184">AA141+Z141</f>
        <v>0</v>
      </c>
      <c r="AC141" s="57"/>
      <c r="AD141" s="101">
        <f t="shared" si="159"/>
        <v>0</v>
      </c>
      <c r="AE141" s="102"/>
      <c r="AF141" s="101">
        <f t="shared" si="160"/>
        <v>0</v>
      </c>
      <c r="AG141" s="102"/>
      <c r="AH141" s="103">
        <f t="shared" ref="AH141:AH146" si="185">AF141+Z141+V141+P141</f>
        <v>0</v>
      </c>
      <c r="AI141" s="725"/>
      <c r="AK141" s="148"/>
    </row>
    <row r="142" spans="1:38" s="192" customFormat="1" ht="13.5" hidden="1" customHeight="1" x14ac:dyDescent="0.25">
      <c r="A142" s="167">
        <v>19</v>
      </c>
      <c r="B142" s="847"/>
      <c r="C142" s="849"/>
      <c r="D142" s="848"/>
      <c r="E142" s="455"/>
      <c r="F142" s="460"/>
      <c r="G142" s="105" t="str">
        <f>IF(B142="","","50-030-219")</f>
        <v/>
      </c>
      <c r="H142" s="672">
        <f t="shared" si="162"/>
        <v>93.75</v>
      </c>
      <c r="I142" s="673">
        <f t="shared" si="163"/>
        <v>101.75</v>
      </c>
      <c r="J142" s="417"/>
      <c r="K142" s="418"/>
      <c r="L142" s="102"/>
      <c r="M142" s="422"/>
      <c r="N142" s="418"/>
      <c r="O142" s="93">
        <f t="shared" si="181"/>
        <v>0</v>
      </c>
      <c r="P142" s="94">
        <f t="shared" si="164"/>
        <v>0</v>
      </c>
      <c r="Q142" s="94">
        <f>P142*$V$3</f>
        <v>0</v>
      </c>
      <c r="R142" s="95">
        <f t="shared" si="182"/>
        <v>0</v>
      </c>
      <c r="S142" s="102"/>
      <c r="T142" s="308"/>
      <c r="U142" s="115"/>
      <c r="V142" s="96">
        <f>(T142+U142)*(1+$X$4)</f>
        <v>0</v>
      </c>
      <c r="W142" s="97">
        <f>V142*$X$3</f>
        <v>0</v>
      </c>
      <c r="X142" s="98">
        <f t="shared" si="183"/>
        <v>0</v>
      </c>
      <c r="Y142" s="102"/>
      <c r="Z142" s="188"/>
      <c r="AA142" s="99">
        <f>Z142*$V$4</f>
        <v>0</v>
      </c>
      <c r="AB142" s="100">
        <f t="shared" si="184"/>
        <v>0</v>
      </c>
      <c r="AC142" s="102"/>
      <c r="AD142" s="101">
        <f t="shared" si="159"/>
        <v>0</v>
      </c>
      <c r="AE142" s="102"/>
      <c r="AF142" s="101">
        <f t="shared" si="160"/>
        <v>0</v>
      </c>
      <c r="AG142" s="102"/>
      <c r="AH142" s="103">
        <f t="shared" si="185"/>
        <v>0</v>
      </c>
      <c r="AI142" s="725"/>
      <c r="AK142" s="148"/>
    </row>
    <row r="143" spans="1:38" s="192" customFormat="1" ht="13.5" hidden="1" customHeight="1" x14ac:dyDescent="0.25">
      <c r="A143" s="167">
        <v>20</v>
      </c>
      <c r="B143" s="847"/>
      <c r="C143" s="849"/>
      <c r="D143" s="848"/>
      <c r="E143" s="455"/>
      <c r="F143" s="460"/>
      <c r="G143" s="105" t="str">
        <f>IF(B143="","","50-030-220")</f>
        <v/>
      </c>
      <c r="H143" s="672">
        <f t="shared" si="162"/>
        <v>93.75</v>
      </c>
      <c r="I143" s="673">
        <f t="shared" si="163"/>
        <v>101.75</v>
      </c>
      <c r="J143" s="417"/>
      <c r="K143" s="418"/>
      <c r="L143" s="102"/>
      <c r="M143" s="422"/>
      <c r="N143" s="418"/>
      <c r="O143" s="93">
        <f t="shared" si="181"/>
        <v>0</v>
      </c>
      <c r="P143" s="94">
        <f t="shared" si="164"/>
        <v>0</v>
      </c>
      <c r="Q143" s="94">
        <f>P143*$V$3</f>
        <v>0</v>
      </c>
      <c r="R143" s="95">
        <f t="shared" si="182"/>
        <v>0</v>
      </c>
      <c r="S143" s="102"/>
      <c r="T143" s="308"/>
      <c r="U143" s="115"/>
      <c r="V143" s="96">
        <f>(T143+U143)*(1+$X$4)</f>
        <v>0</v>
      </c>
      <c r="W143" s="97">
        <f>V143*$X$3</f>
        <v>0</v>
      </c>
      <c r="X143" s="98">
        <f t="shared" si="183"/>
        <v>0</v>
      </c>
      <c r="Y143" s="102"/>
      <c r="Z143" s="188"/>
      <c r="AA143" s="99">
        <f>Z143*$V$4</f>
        <v>0</v>
      </c>
      <c r="AB143" s="100">
        <f t="shared" si="184"/>
        <v>0</v>
      </c>
      <c r="AC143" s="102"/>
      <c r="AD143" s="101">
        <f t="shared" si="159"/>
        <v>0</v>
      </c>
      <c r="AE143" s="102"/>
      <c r="AF143" s="101">
        <f t="shared" si="160"/>
        <v>0</v>
      </c>
      <c r="AG143" s="102"/>
      <c r="AH143" s="103">
        <f t="shared" si="185"/>
        <v>0</v>
      </c>
      <c r="AI143" s="725"/>
      <c r="AK143" s="148"/>
    </row>
    <row r="144" spans="1:38" s="192" customFormat="1" ht="13.5" hidden="1" customHeight="1" x14ac:dyDescent="0.25">
      <c r="A144" s="167">
        <v>21</v>
      </c>
      <c r="B144" s="847"/>
      <c r="C144" s="849"/>
      <c r="D144" s="848"/>
      <c r="E144" s="455"/>
      <c r="F144" s="460"/>
      <c r="G144" s="105" t="str">
        <f>IF(B144="","","50-030-221")</f>
        <v/>
      </c>
      <c r="H144" s="672">
        <f t="shared" si="162"/>
        <v>93.75</v>
      </c>
      <c r="I144" s="673">
        <f t="shared" si="163"/>
        <v>101.75</v>
      </c>
      <c r="J144" s="417"/>
      <c r="K144" s="418"/>
      <c r="L144" s="102"/>
      <c r="M144" s="422"/>
      <c r="N144" s="418"/>
      <c r="O144" s="93">
        <f t="shared" si="181"/>
        <v>0</v>
      </c>
      <c r="P144" s="94">
        <f t="shared" si="164"/>
        <v>0</v>
      </c>
      <c r="Q144" s="94">
        <f>P144*$V$3</f>
        <v>0</v>
      </c>
      <c r="R144" s="95">
        <f t="shared" si="182"/>
        <v>0</v>
      </c>
      <c r="S144" s="102"/>
      <c r="T144" s="308"/>
      <c r="U144" s="115"/>
      <c r="V144" s="96">
        <f>(T144+U144)*(1+$X$4)</f>
        <v>0</v>
      </c>
      <c r="W144" s="97">
        <f>V144*$X$3</f>
        <v>0</v>
      </c>
      <c r="X144" s="98">
        <f t="shared" si="183"/>
        <v>0</v>
      </c>
      <c r="Y144" s="102"/>
      <c r="Z144" s="188"/>
      <c r="AA144" s="99">
        <f>Z144*$V$4</f>
        <v>0</v>
      </c>
      <c r="AB144" s="100">
        <f t="shared" si="184"/>
        <v>0</v>
      </c>
      <c r="AC144" s="102"/>
      <c r="AD144" s="101">
        <f t="shared" si="159"/>
        <v>0</v>
      </c>
      <c r="AE144" s="102"/>
      <c r="AF144" s="101">
        <f t="shared" si="160"/>
        <v>0</v>
      </c>
      <c r="AG144" s="102"/>
      <c r="AH144" s="103">
        <f t="shared" si="185"/>
        <v>0</v>
      </c>
      <c r="AI144" s="725"/>
      <c r="AK144" s="148"/>
      <c r="AL144" s="753"/>
    </row>
    <row r="145" spans="1:38" s="192" customFormat="1" ht="13.5" hidden="1" customHeight="1" x14ac:dyDescent="0.25">
      <c r="A145" s="167">
        <v>22</v>
      </c>
      <c r="B145" s="847"/>
      <c r="C145" s="849"/>
      <c r="D145" s="848"/>
      <c r="E145" s="455"/>
      <c r="F145" s="460"/>
      <c r="G145" s="105" t="str">
        <f>IF(B145="","","50-030-222")</f>
        <v/>
      </c>
      <c r="H145" s="672">
        <f t="shared" si="162"/>
        <v>93.75</v>
      </c>
      <c r="I145" s="673">
        <f t="shared" si="163"/>
        <v>101.75</v>
      </c>
      <c r="J145" s="417"/>
      <c r="K145" s="418"/>
      <c r="L145" s="102"/>
      <c r="M145" s="422"/>
      <c r="N145" s="418"/>
      <c r="O145" s="93">
        <f t="shared" si="181"/>
        <v>0</v>
      </c>
      <c r="P145" s="94">
        <f t="shared" si="164"/>
        <v>0</v>
      </c>
      <c r="Q145" s="94">
        <f t="shared" ref="Q145:Q146" si="186">P145*$V$3</f>
        <v>0</v>
      </c>
      <c r="R145" s="95">
        <f t="shared" si="182"/>
        <v>0</v>
      </c>
      <c r="S145" s="102"/>
      <c r="T145" s="308"/>
      <c r="U145" s="115"/>
      <c r="V145" s="96">
        <f t="shared" ref="V145:V146" si="187">(T145+U145)*(1+$X$4)</f>
        <v>0</v>
      </c>
      <c r="W145" s="97">
        <f t="shared" ref="W145:W146" si="188">V145*$X$3</f>
        <v>0</v>
      </c>
      <c r="X145" s="98">
        <f t="shared" si="183"/>
        <v>0</v>
      </c>
      <c r="Y145" s="102"/>
      <c r="Z145" s="188"/>
      <c r="AA145" s="99">
        <f t="shared" ref="AA145:AA146" si="189">Z145*$V$4</f>
        <v>0</v>
      </c>
      <c r="AB145" s="100">
        <f t="shared" si="184"/>
        <v>0</v>
      </c>
      <c r="AC145" s="102"/>
      <c r="AD145" s="101">
        <f t="shared" ref="AD145:AD146" si="190">Z145+V145+P145</f>
        <v>0</v>
      </c>
      <c r="AE145" s="102"/>
      <c r="AF145" s="101">
        <f t="shared" ref="AF145:AF146" si="191">W145+AA145+Q145</f>
        <v>0</v>
      </c>
      <c r="AG145" s="102"/>
      <c r="AH145" s="103">
        <f t="shared" si="185"/>
        <v>0</v>
      </c>
      <c r="AI145" s="725"/>
      <c r="AK145" s="148"/>
    </row>
    <row r="146" spans="1:38" s="192" customFormat="1" ht="13.5" hidden="1" customHeight="1" x14ac:dyDescent="0.25">
      <c r="A146" s="167">
        <v>23</v>
      </c>
      <c r="B146" s="847"/>
      <c r="C146" s="849"/>
      <c r="D146" s="848"/>
      <c r="E146" s="455"/>
      <c r="F146" s="460"/>
      <c r="G146" s="105" t="str">
        <f>IF(B146="","","50-030-223")</f>
        <v/>
      </c>
      <c r="H146" s="672">
        <f t="shared" si="162"/>
        <v>93.75</v>
      </c>
      <c r="I146" s="673">
        <f t="shared" si="163"/>
        <v>101.75</v>
      </c>
      <c r="J146" s="417"/>
      <c r="K146" s="418"/>
      <c r="L146" s="102"/>
      <c r="M146" s="422"/>
      <c r="N146" s="418"/>
      <c r="O146" s="93">
        <f t="shared" si="181"/>
        <v>0</v>
      </c>
      <c r="P146" s="94">
        <f t="shared" si="164"/>
        <v>0</v>
      </c>
      <c r="Q146" s="94">
        <f t="shared" si="186"/>
        <v>0</v>
      </c>
      <c r="R146" s="95">
        <f t="shared" si="182"/>
        <v>0</v>
      </c>
      <c r="S146" s="102"/>
      <c r="T146" s="308"/>
      <c r="U146" s="115"/>
      <c r="V146" s="96">
        <f t="shared" si="187"/>
        <v>0</v>
      </c>
      <c r="W146" s="97">
        <f t="shared" si="188"/>
        <v>0</v>
      </c>
      <c r="X146" s="98">
        <f t="shared" si="183"/>
        <v>0</v>
      </c>
      <c r="Y146" s="102"/>
      <c r="Z146" s="188"/>
      <c r="AA146" s="99">
        <f t="shared" si="189"/>
        <v>0</v>
      </c>
      <c r="AB146" s="100">
        <f t="shared" si="184"/>
        <v>0</v>
      </c>
      <c r="AC146" s="102"/>
      <c r="AD146" s="101">
        <f t="shared" si="190"/>
        <v>0</v>
      </c>
      <c r="AE146" s="102"/>
      <c r="AF146" s="101">
        <f t="shared" si="191"/>
        <v>0</v>
      </c>
      <c r="AG146" s="102"/>
      <c r="AH146" s="103">
        <f t="shared" si="185"/>
        <v>0</v>
      </c>
      <c r="AI146" s="725"/>
      <c r="AK146" s="148"/>
    </row>
    <row r="147" spans="1:38" s="192" customFormat="1" ht="13.5" hidden="1" customHeight="1" x14ac:dyDescent="0.25">
      <c r="A147" s="167">
        <v>24</v>
      </c>
      <c r="B147" s="847"/>
      <c r="C147" s="849"/>
      <c r="D147" s="848"/>
      <c r="E147" s="455"/>
      <c r="F147" s="460"/>
      <c r="G147" s="105" t="str">
        <f>IF(B147="","","50-030-224")</f>
        <v/>
      </c>
      <c r="H147" s="672">
        <f t="shared" si="162"/>
        <v>93.75</v>
      </c>
      <c r="I147" s="673">
        <f t="shared" si="163"/>
        <v>101.75</v>
      </c>
      <c r="J147" s="417"/>
      <c r="K147" s="418"/>
      <c r="L147" s="102"/>
      <c r="M147" s="422"/>
      <c r="N147" s="418"/>
      <c r="O147" s="93">
        <f t="shared" ref="O147:O153" si="192">(N147+M147)</f>
        <v>0</v>
      </c>
      <c r="P147" s="94">
        <f t="shared" si="164"/>
        <v>0</v>
      </c>
      <c r="Q147" s="94">
        <f t="shared" ref="Q147:Q156" si="193">P147*$V$3</f>
        <v>0</v>
      </c>
      <c r="R147" s="95">
        <f t="shared" ref="R147:R153" si="194">Q147+P147</f>
        <v>0</v>
      </c>
      <c r="S147" s="102"/>
      <c r="T147" s="308"/>
      <c r="U147" s="115"/>
      <c r="V147" s="96">
        <f t="shared" ref="V147:V156" si="195">(T147+U147)*(1+$X$4)</f>
        <v>0</v>
      </c>
      <c r="W147" s="97">
        <f t="shared" ref="W147:W156" si="196">V147*$X$3</f>
        <v>0</v>
      </c>
      <c r="X147" s="98">
        <f t="shared" ref="X147:X153" si="197">W147+V147</f>
        <v>0</v>
      </c>
      <c r="Y147" s="102"/>
      <c r="Z147" s="188"/>
      <c r="AA147" s="99">
        <f t="shared" ref="AA147:AA156" si="198">Z147*$V$4</f>
        <v>0</v>
      </c>
      <c r="AB147" s="100">
        <f t="shared" ref="AB147:AB153" si="199">AA147+Z147</f>
        <v>0</v>
      </c>
      <c r="AC147" s="102"/>
      <c r="AD147" s="101">
        <f t="shared" ref="AD147:AD159" si="200">Z147+V147+P147</f>
        <v>0</v>
      </c>
      <c r="AE147" s="102"/>
      <c r="AF147" s="101">
        <f t="shared" ref="AF147:AF159" si="201">W147+AA147+Q147</f>
        <v>0</v>
      </c>
      <c r="AG147" s="102"/>
      <c r="AH147" s="103">
        <f t="shared" ref="AH147:AH153" si="202">AF147+Z147+V147+P147</f>
        <v>0</v>
      </c>
      <c r="AI147" s="725"/>
      <c r="AK147" s="148"/>
    </row>
    <row r="148" spans="1:38" s="192" customFormat="1" ht="13.5" hidden="1" customHeight="1" x14ac:dyDescent="0.25">
      <c r="A148" s="167">
        <v>25</v>
      </c>
      <c r="B148" s="847"/>
      <c r="C148" s="849"/>
      <c r="D148" s="848"/>
      <c r="E148" s="455"/>
      <c r="F148" s="460"/>
      <c r="G148" s="105" t="str">
        <f>IF(B148="","","50-030-225")</f>
        <v/>
      </c>
      <c r="H148" s="672">
        <f t="shared" si="162"/>
        <v>93.75</v>
      </c>
      <c r="I148" s="673">
        <f t="shared" si="163"/>
        <v>101.75</v>
      </c>
      <c r="J148" s="417"/>
      <c r="K148" s="418"/>
      <c r="L148" s="102"/>
      <c r="M148" s="422"/>
      <c r="N148" s="418"/>
      <c r="O148" s="93">
        <f t="shared" si="192"/>
        <v>0</v>
      </c>
      <c r="P148" s="94">
        <f t="shared" si="164"/>
        <v>0</v>
      </c>
      <c r="Q148" s="94">
        <f t="shared" si="193"/>
        <v>0</v>
      </c>
      <c r="R148" s="95">
        <f t="shared" si="194"/>
        <v>0</v>
      </c>
      <c r="S148" s="102"/>
      <c r="T148" s="308"/>
      <c r="U148" s="115"/>
      <c r="V148" s="96">
        <f t="shared" si="195"/>
        <v>0</v>
      </c>
      <c r="W148" s="97">
        <f t="shared" si="196"/>
        <v>0</v>
      </c>
      <c r="X148" s="98">
        <f t="shared" si="197"/>
        <v>0</v>
      </c>
      <c r="Y148" s="102"/>
      <c r="Z148" s="188"/>
      <c r="AA148" s="99">
        <f t="shared" si="198"/>
        <v>0</v>
      </c>
      <c r="AB148" s="100">
        <f t="shared" si="199"/>
        <v>0</v>
      </c>
      <c r="AC148" s="102"/>
      <c r="AD148" s="101">
        <f t="shared" si="200"/>
        <v>0</v>
      </c>
      <c r="AE148" s="102"/>
      <c r="AF148" s="101">
        <f t="shared" si="201"/>
        <v>0</v>
      </c>
      <c r="AG148" s="102"/>
      <c r="AH148" s="103">
        <f t="shared" si="202"/>
        <v>0</v>
      </c>
      <c r="AI148" s="725"/>
      <c r="AK148" s="148"/>
    </row>
    <row r="149" spans="1:38" s="192" customFormat="1" ht="13.5" hidden="1" customHeight="1" x14ac:dyDescent="0.25">
      <c r="A149" s="167">
        <v>26</v>
      </c>
      <c r="B149" s="847"/>
      <c r="C149" s="849"/>
      <c r="D149" s="848"/>
      <c r="E149" s="455"/>
      <c r="F149" s="460"/>
      <c r="G149" s="105" t="str">
        <f>IF(B149="","","50-030-226")</f>
        <v/>
      </c>
      <c r="H149" s="672">
        <f t="shared" si="162"/>
        <v>93.75</v>
      </c>
      <c r="I149" s="673">
        <f t="shared" si="163"/>
        <v>101.75</v>
      </c>
      <c r="J149" s="417"/>
      <c r="K149" s="418"/>
      <c r="L149" s="102"/>
      <c r="M149" s="422"/>
      <c r="N149" s="418"/>
      <c r="O149" s="93">
        <f t="shared" si="192"/>
        <v>0</v>
      </c>
      <c r="P149" s="94">
        <f t="shared" si="164"/>
        <v>0</v>
      </c>
      <c r="Q149" s="94">
        <f t="shared" si="193"/>
        <v>0</v>
      </c>
      <c r="R149" s="95">
        <f t="shared" si="194"/>
        <v>0</v>
      </c>
      <c r="S149" s="102"/>
      <c r="T149" s="308"/>
      <c r="U149" s="115"/>
      <c r="V149" s="96">
        <f t="shared" si="195"/>
        <v>0</v>
      </c>
      <c r="W149" s="97">
        <f t="shared" si="196"/>
        <v>0</v>
      </c>
      <c r="X149" s="98">
        <f t="shared" si="197"/>
        <v>0</v>
      </c>
      <c r="Y149" s="102"/>
      <c r="Z149" s="188"/>
      <c r="AA149" s="99">
        <f t="shared" si="198"/>
        <v>0</v>
      </c>
      <c r="AB149" s="100">
        <f t="shared" si="199"/>
        <v>0</v>
      </c>
      <c r="AC149" s="102"/>
      <c r="AD149" s="101">
        <f t="shared" si="200"/>
        <v>0</v>
      </c>
      <c r="AE149" s="102"/>
      <c r="AF149" s="101">
        <f t="shared" si="201"/>
        <v>0</v>
      </c>
      <c r="AG149" s="102"/>
      <c r="AH149" s="103">
        <f t="shared" si="202"/>
        <v>0</v>
      </c>
      <c r="AI149" s="725"/>
      <c r="AK149" s="148"/>
    </row>
    <row r="150" spans="1:38" s="192" customFormat="1" ht="13.5" hidden="1" customHeight="1" x14ac:dyDescent="0.25">
      <c r="A150" s="459">
        <v>27</v>
      </c>
      <c r="B150" s="847"/>
      <c r="C150" s="849"/>
      <c r="D150" s="848"/>
      <c r="E150" s="460"/>
      <c r="F150" s="460"/>
      <c r="G150" s="105" t="str">
        <f>IF(B150="","","50-030-227")</f>
        <v/>
      </c>
      <c r="H150" s="672">
        <f t="shared" si="162"/>
        <v>93.75</v>
      </c>
      <c r="I150" s="673">
        <f t="shared" si="163"/>
        <v>101.75</v>
      </c>
      <c r="J150" s="417"/>
      <c r="K150" s="418"/>
      <c r="L150" s="102"/>
      <c r="M150" s="422"/>
      <c r="N150" s="418"/>
      <c r="O150" s="86">
        <f t="shared" si="192"/>
        <v>0</v>
      </c>
      <c r="P150" s="94">
        <f t="shared" si="164"/>
        <v>0</v>
      </c>
      <c r="Q150" s="94">
        <f t="shared" si="193"/>
        <v>0</v>
      </c>
      <c r="R150" s="95">
        <f t="shared" si="194"/>
        <v>0</v>
      </c>
      <c r="S150" s="102"/>
      <c r="T150" s="456"/>
      <c r="U150" s="457"/>
      <c r="V150" s="96">
        <f t="shared" si="195"/>
        <v>0</v>
      </c>
      <c r="W150" s="97">
        <f t="shared" si="196"/>
        <v>0</v>
      </c>
      <c r="X150" s="98">
        <f t="shared" si="197"/>
        <v>0</v>
      </c>
      <c r="Y150" s="102"/>
      <c r="Z150" s="191"/>
      <c r="AA150" s="113">
        <f t="shared" si="198"/>
        <v>0</v>
      </c>
      <c r="AB150" s="100">
        <f t="shared" si="199"/>
        <v>0</v>
      </c>
      <c r="AC150" s="102"/>
      <c r="AD150" s="101">
        <f t="shared" si="200"/>
        <v>0</v>
      </c>
      <c r="AE150" s="102"/>
      <c r="AF150" s="101">
        <f t="shared" si="201"/>
        <v>0</v>
      </c>
      <c r="AG150" s="57"/>
      <c r="AH150" s="103">
        <f t="shared" si="202"/>
        <v>0</v>
      </c>
      <c r="AI150" s="725"/>
      <c r="AK150" s="148"/>
    </row>
    <row r="151" spans="1:38" s="192" customFormat="1" ht="13.5" hidden="1" customHeight="1" x14ac:dyDescent="0.25">
      <c r="A151" s="167">
        <v>28</v>
      </c>
      <c r="B151" s="847"/>
      <c r="C151" s="849"/>
      <c r="D151" s="848"/>
      <c r="E151" s="455"/>
      <c r="F151" s="455"/>
      <c r="G151" s="105" t="str">
        <f>IF(B151="","","50-030-228")</f>
        <v/>
      </c>
      <c r="H151" s="672">
        <f t="shared" si="162"/>
        <v>93.75</v>
      </c>
      <c r="I151" s="673">
        <f t="shared" si="163"/>
        <v>101.75</v>
      </c>
      <c r="J151" s="440"/>
      <c r="K151" s="418"/>
      <c r="L151" s="102"/>
      <c r="M151" s="442"/>
      <c r="N151" s="441"/>
      <c r="O151" s="93">
        <f t="shared" si="192"/>
        <v>0</v>
      </c>
      <c r="P151" s="94">
        <f t="shared" si="164"/>
        <v>0</v>
      </c>
      <c r="Q151" s="94">
        <f t="shared" si="193"/>
        <v>0</v>
      </c>
      <c r="R151" s="95">
        <f t="shared" si="194"/>
        <v>0</v>
      </c>
      <c r="S151" s="102"/>
      <c r="T151" s="309"/>
      <c r="U151" s="116"/>
      <c r="V151" s="96">
        <f t="shared" si="195"/>
        <v>0</v>
      </c>
      <c r="W151" s="97">
        <f t="shared" si="196"/>
        <v>0</v>
      </c>
      <c r="X151" s="98">
        <f t="shared" si="197"/>
        <v>0</v>
      </c>
      <c r="Y151" s="102"/>
      <c r="Z151" s="461"/>
      <c r="AA151" s="99">
        <f t="shared" si="198"/>
        <v>0</v>
      </c>
      <c r="AB151" s="100">
        <f t="shared" si="199"/>
        <v>0</v>
      </c>
      <c r="AC151" s="102"/>
      <c r="AD151" s="101">
        <f t="shared" si="200"/>
        <v>0</v>
      </c>
      <c r="AE151" s="57"/>
      <c r="AF151" s="101">
        <f t="shared" si="201"/>
        <v>0</v>
      </c>
      <c r="AG151" s="102"/>
      <c r="AH151" s="103">
        <f t="shared" si="202"/>
        <v>0</v>
      </c>
      <c r="AI151" s="725"/>
      <c r="AK151" s="148"/>
    </row>
    <row r="152" spans="1:38" s="192" customFormat="1" ht="13.5" hidden="1" customHeight="1" x14ac:dyDescent="0.25">
      <c r="A152" s="167">
        <v>29</v>
      </c>
      <c r="B152" s="847"/>
      <c r="C152" s="849"/>
      <c r="D152" s="848"/>
      <c r="E152" s="455"/>
      <c r="F152" s="460"/>
      <c r="G152" s="105" t="str">
        <f>IF(B152="","","50-030-229")</f>
        <v/>
      </c>
      <c r="H152" s="672">
        <f t="shared" si="162"/>
        <v>93.75</v>
      </c>
      <c r="I152" s="673">
        <f t="shared" si="163"/>
        <v>101.75</v>
      </c>
      <c r="J152" s="417"/>
      <c r="K152" s="418"/>
      <c r="L152" s="102"/>
      <c r="M152" s="422"/>
      <c r="N152" s="418"/>
      <c r="O152" s="93">
        <f t="shared" si="192"/>
        <v>0</v>
      </c>
      <c r="P152" s="94">
        <f t="shared" si="164"/>
        <v>0</v>
      </c>
      <c r="Q152" s="94">
        <f t="shared" si="193"/>
        <v>0</v>
      </c>
      <c r="R152" s="95">
        <f t="shared" si="194"/>
        <v>0</v>
      </c>
      <c r="S152" s="102"/>
      <c r="T152" s="308"/>
      <c r="U152" s="115"/>
      <c r="V152" s="96">
        <f t="shared" si="195"/>
        <v>0</v>
      </c>
      <c r="W152" s="97">
        <f t="shared" si="196"/>
        <v>0</v>
      </c>
      <c r="X152" s="98">
        <f t="shared" si="197"/>
        <v>0</v>
      </c>
      <c r="Y152" s="102"/>
      <c r="Z152" s="188"/>
      <c r="AA152" s="99">
        <f t="shared" si="198"/>
        <v>0</v>
      </c>
      <c r="AB152" s="100">
        <f t="shared" si="199"/>
        <v>0</v>
      </c>
      <c r="AC152" s="102"/>
      <c r="AD152" s="101">
        <f t="shared" si="200"/>
        <v>0</v>
      </c>
      <c r="AE152" s="102"/>
      <c r="AF152" s="101">
        <f t="shared" si="201"/>
        <v>0</v>
      </c>
      <c r="AG152" s="102"/>
      <c r="AH152" s="103">
        <f t="shared" si="202"/>
        <v>0</v>
      </c>
      <c r="AI152" s="725"/>
      <c r="AK152" s="148"/>
    </row>
    <row r="153" spans="1:38" s="192" customFormat="1" ht="13.5" hidden="1" customHeight="1" x14ac:dyDescent="0.25">
      <c r="A153" s="167">
        <v>30</v>
      </c>
      <c r="B153" s="847"/>
      <c r="C153" s="849"/>
      <c r="D153" s="848"/>
      <c r="E153" s="455"/>
      <c r="F153" s="460"/>
      <c r="G153" s="105" t="str">
        <f>IF(B153="","","50-030-230")</f>
        <v/>
      </c>
      <c r="H153" s="672">
        <f t="shared" si="162"/>
        <v>93.75</v>
      </c>
      <c r="I153" s="673">
        <f t="shared" si="163"/>
        <v>101.75</v>
      </c>
      <c r="J153" s="417"/>
      <c r="K153" s="418"/>
      <c r="L153" s="102"/>
      <c r="M153" s="422"/>
      <c r="N153" s="418"/>
      <c r="O153" s="93">
        <f t="shared" si="192"/>
        <v>0</v>
      </c>
      <c r="P153" s="94">
        <f t="shared" si="164"/>
        <v>0</v>
      </c>
      <c r="Q153" s="94">
        <f t="shared" si="193"/>
        <v>0</v>
      </c>
      <c r="R153" s="95">
        <f t="shared" si="194"/>
        <v>0</v>
      </c>
      <c r="S153" s="102"/>
      <c r="T153" s="308"/>
      <c r="U153" s="115"/>
      <c r="V153" s="96">
        <f t="shared" si="195"/>
        <v>0</v>
      </c>
      <c r="W153" s="97">
        <f t="shared" si="196"/>
        <v>0</v>
      </c>
      <c r="X153" s="98">
        <f t="shared" si="197"/>
        <v>0</v>
      </c>
      <c r="Y153" s="102"/>
      <c r="Z153" s="188"/>
      <c r="AA153" s="99">
        <f t="shared" si="198"/>
        <v>0</v>
      </c>
      <c r="AB153" s="100">
        <f t="shared" si="199"/>
        <v>0</v>
      </c>
      <c r="AC153" s="102"/>
      <c r="AD153" s="101">
        <f t="shared" si="200"/>
        <v>0</v>
      </c>
      <c r="AE153" s="102"/>
      <c r="AF153" s="101">
        <f t="shared" si="201"/>
        <v>0</v>
      </c>
      <c r="AG153" s="102"/>
      <c r="AH153" s="103">
        <f t="shared" si="202"/>
        <v>0</v>
      </c>
      <c r="AI153" s="725"/>
      <c r="AK153" s="148"/>
    </row>
    <row r="154" spans="1:38" s="192" customFormat="1" ht="13.5" hidden="1" customHeight="1" x14ac:dyDescent="0.25">
      <c r="A154" s="167">
        <v>31</v>
      </c>
      <c r="B154" s="847"/>
      <c r="C154" s="849"/>
      <c r="D154" s="848"/>
      <c r="E154" s="455"/>
      <c r="F154" s="460"/>
      <c r="G154" s="105" t="str">
        <f>IF(B154="","","50-030-231")</f>
        <v/>
      </c>
      <c r="H154" s="672">
        <f t="shared" si="162"/>
        <v>93.75</v>
      </c>
      <c r="I154" s="673">
        <f t="shared" si="163"/>
        <v>101.75</v>
      </c>
      <c r="J154" s="417"/>
      <c r="K154" s="418"/>
      <c r="L154" s="102"/>
      <c r="M154" s="422"/>
      <c r="N154" s="418"/>
      <c r="O154" s="93">
        <f>(N154+M154)</f>
        <v>0</v>
      </c>
      <c r="P154" s="94">
        <f t="shared" si="164"/>
        <v>0</v>
      </c>
      <c r="Q154" s="94">
        <f t="shared" si="193"/>
        <v>0</v>
      </c>
      <c r="R154" s="95">
        <f>Q154+P154</f>
        <v>0</v>
      </c>
      <c r="S154" s="102"/>
      <c r="T154" s="308"/>
      <c r="U154" s="115"/>
      <c r="V154" s="96">
        <f t="shared" si="195"/>
        <v>0</v>
      </c>
      <c r="W154" s="97">
        <f t="shared" si="196"/>
        <v>0</v>
      </c>
      <c r="X154" s="98">
        <f>W154+V154</f>
        <v>0</v>
      </c>
      <c r="Y154" s="102"/>
      <c r="Z154" s="188"/>
      <c r="AA154" s="99">
        <f t="shared" si="198"/>
        <v>0</v>
      </c>
      <c r="AB154" s="100">
        <f>AA154+Z154</f>
        <v>0</v>
      </c>
      <c r="AC154" s="102"/>
      <c r="AD154" s="101">
        <f t="shared" si="200"/>
        <v>0</v>
      </c>
      <c r="AE154" s="102"/>
      <c r="AF154" s="101">
        <f t="shared" si="201"/>
        <v>0</v>
      </c>
      <c r="AG154" s="102"/>
      <c r="AH154" s="103">
        <f>AF154+Z154+V154+P154</f>
        <v>0</v>
      </c>
      <c r="AI154" s="725"/>
      <c r="AK154" s="148"/>
    </row>
    <row r="155" spans="1:38" s="192" customFormat="1" ht="13.5" hidden="1" customHeight="1" x14ac:dyDescent="0.25">
      <c r="A155" s="167">
        <v>32</v>
      </c>
      <c r="B155" s="847"/>
      <c r="C155" s="849"/>
      <c r="D155" s="848"/>
      <c r="E155" s="455"/>
      <c r="F155" s="460"/>
      <c r="G155" s="105" t="str">
        <f>IF(B155="","","50-030-232")</f>
        <v/>
      </c>
      <c r="H155" s="672">
        <f t="shared" si="162"/>
        <v>93.75</v>
      </c>
      <c r="I155" s="673">
        <f t="shared" si="163"/>
        <v>101.75</v>
      </c>
      <c r="J155" s="417"/>
      <c r="K155" s="418"/>
      <c r="L155" s="57"/>
      <c r="M155" s="422"/>
      <c r="N155" s="418"/>
      <c r="O155" s="86">
        <f>(N155+M155)</f>
        <v>0</v>
      </c>
      <c r="P155" s="94">
        <f t="shared" si="164"/>
        <v>0</v>
      </c>
      <c r="Q155" s="94">
        <f t="shared" si="193"/>
        <v>0</v>
      </c>
      <c r="R155" s="95">
        <f>Q155+P155</f>
        <v>0</v>
      </c>
      <c r="S155" s="57"/>
      <c r="T155" s="308"/>
      <c r="U155" s="115"/>
      <c r="V155" s="96">
        <f t="shared" si="195"/>
        <v>0</v>
      </c>
      <c r="W155" s="97">
        <f t="shared" si="196"/>
        <v>0</v>
      </c>
      <c r="X155" s="98">
        <f>W155+V155</f>
        <v>0</v>
      </c>
      <c r="Y155" s="102"/>
      <c r="Z155" s="188"/>
      <c r="AA155" s="113">
        <f t="shared" si="198"/>
        <v>0</v>
      </c>
      <c r="AB155" s="100">
        <f>AA155+Z155</f>
        <v>0</v>
      </c>
      <c r="AC155" s="102"/>
      <c r="AD155" s="101">
        <f t="shared" si="200"/>
        <v>0</v>
      </c>
      <c r="AE155" s="102"/>
      <c r="AF155" s="101">
        <f t="shared" si="201"/>
        <v>0</v>
      </c>
      <c r="AG155" s="102"/>
      <c r="AH155" s="103">
        <f>AF155+Z155+V155+P155</f>
        <v>0</v>
      </c>
      <c r="AI155" s="725"/>
      <c r="AK155" s="148"/>
    </row>
    <row r="156" spans="1:38" s="192" customFormat="1" ht="13.5" hidden="1" customHeight="1" x14ac:dyDescent="0.25">
      <c r="A156" s="167">
        <v>33</v>
      </c>
      <c r="B156" s="847"/>
      <c r="C156" s="849"/>
      <c r="D156" s="848"/>
      <c r="E156" s="455"/>
      <c r="F156" s="460"/>
      <c r="G156" s="105" t="str">
        <f>IF(B156="","","50-030-233")</f>
        <v/>
      </c>
      <c r="H156" s="672">
        <f t="shared" si="162"/>
        <v>93.75</v>
      </c>
      <c r="I156" s="673">
        <f t="shared" si="163"/>
        <v>101.75</v>
      </c>
      <c r="J156" s="417"/>
      <c r="K156" s="418"/>
      <c r="L156" s="57"/>
      <c r="M156" s="422"/>
      <c r="N156" s="418"/>
      <c r="O156" s="93">
        <f t="shared" ref="O156:O159" si="203">(N156+M156)</f>
        <v>0</v>
      </c>
      <c r="P156" s="94">
        <f t="shared" si="164"/>
        <v>0</v>
      </c>
      <c r="Q156" s="94">
        <f t="shared" si="193"/>
        <v>0</v>
      </c>
      <c r="R156" s="95">
        <f t="shared" ref="R156:R159" si="204">Q156+P156</f>
        <v>0</v>
      </c>
      <c r="S156" s="102"/>
      <c r="T156" s="308"/>
      <c r="U156" s="115"/>
      <c r="V156" s="96">
        <f t="shared" si="195"/>
        <v>0</v>
      </c>
      <c r="W156" s="97">
        <f t="shared" si="196"/>
        <v>0</v>
      </c>
      <c r="X156" s="98">
        <f t="shared" ref="X156:X159" si="205">W156+V156</f>
        <v>0</v>
      </c>
      <c r="Y156" s="57"/>
      <c r="Z156" s="188"/>
      <c r="AA156" s="99">
        <f t="shared" si="198"/>
        <v>0</v>
      </c>
      <c r="AB156" s="100">
        <f t="shared" ref="AB156:AB159" si="206">AA156+Z156</f>
        <v>0</v>
      </c>
      <c r="AC156" s="57"/>
      <c r="AD156" s="101">
        <f t="shared" si="200"/>
        <v>0</v>
      </c>
      <c r="AE156" s="102"/>
      <c r="AF156" s="101">
        <f t="shared" si="201"/>
        <v>0</v>
      </c>
      <c r="AG156" s="102"/>
      <c r="AH156" s="103">
        <f t="shared" ref="AH156:AH159" si="207">AF156+Z156+V156+P156</f>
        <v>0</v>
      </c>
      <c r="AI156" s="725"/>
      <c r="AK156" s="148"/>
    </row>
    <row r="157" spans="1:38" s="192" customFormat="1" ht="13.5" hidden="1" customHeight="1" x14ac:dyDescent="0.25">
      <c r="A157" s="167">
        <v>34</v>
      </c>
      <c r="B157" s="847"/>
      <c r="C157" s="849"/>
      <c r="D157" s="848"/>
      <c r="E157" s="455"/>
      <c r="F157" s="460"/>
      <c r="G157" s="105" t="str">
        <f>IF(B157="","","50-030-234")</f>
        <v/>
      </c>
      <c r="H157" s="672">
        <f t="shared" si="162"/>
        <v>93.75</v>
      </c>
      <c r="I157" s="673">
        <f t="shared" si="163"/>
        <v>101.75</v>
      </c>
      <c r="J157" s="417"/>
      <c r="K157" s="418"/>
      <c r="L157" s="102"/>
      <c r="M157" s="422"/>
      <c r="N157" s="418"/>
      <c r="O157" s="93">
        <f t="shared" si="203"/>
        <v>0</v>
      </c>
      <c r="P157" s="94">
        <f t="shared" si="164"/>
        <v>0</v>
      </c>
      <c r="Q157" s="94">
        <f>P157*$V$3</f>
        <v>0</v>
      </c>
      <c r="R157" s="95">
        <f t="shared" si="204"/>
        <v>0</v>
      </c>
      <c r="S157" s="102"/>
      <c r="T157" s="308"/>
      <c r="U157" s="115"/>
      <c r="V157" s="96">
        <f>(T157+U157)*(1+$X$4)</f>
        <v>0</v>
      </c>
      <c r="W157" s="97">
        <f>V157*$X$3</f>
        <v>0</v>
      </c>
      <c r="X157" s="98">
        <f t="shared" si="205"/>
        <v>0</v>
      </c>
      <c r="Y157" s="102"/>
      <c r="Z157" s="188"/>
      <c r="AA157" s="99">
        <f>Z157*$V$4</f>
        <v>0</v>
      </c>
      <c r="AB157" s="100">
        <f t="shared" si="206"/>
        <v>0</v>
      </c>
      <c r="AC157" s="102"/>
      <c r="AD157" s="101">
        <f t="shared" si="200"/>
        <v>0</v>
      </c>
      <c r="AE157" s="102"/>
      <c r="AF157" s="101">
        <f t="shared" si="201"/>
        <v>0</v>
      </c>
      <c r="AG157" s="102"/>
      <c r="AH157" s="103">
        <f t="shared" si="207"/>
        <v>0</v>
      </c>
      <c r="AI157" s="725"/>
      <c r="AK157" s="148"/>
    </row>
    <row r="158" spans="1:38" s="192" customFormat="1" ht="13.5" hidden="1" customHeight="1" x14ac:dyDescent="0.25">
      <c r="A158" s="167">
        <v>35</v>
      </c>
      <c r="B158" s="847"/>
      <c r="C158" s="849"/>
      <c r="D158" s="848"/>
      <c r="E158" s="455"/>
      <c r="F158" s="460"/>
      <c r="G158" s="105" t="str">
        <f>IF(B158="","","50-030-235")</f>
        <v/>
      </c>
      <c r="H158" s="672">
        <f t="shared" si="162"/>
        <v>93.75</v>
      </c>
      <c r="I158" s="673">
        <f t="shared" si="163"/>
        <v>101.75</v>
      </c>
      <c r="J158" s="417"/>
      <c r="K158" s="418"/>
      <c r="L158" s="102"/>
      <c r="M158" s="422"/>
      <c r="N158" s="418"/>
      <c r="O158" s="93">
        <f t="shared" si="203"/>
        <v>0</v>
      </c>
      <c r="P158" s="94">
        <f t="shared" si="164"/>
        <v>0</v>
      </c>
      <c r="Q158" s="94">
        <f>P158*$V$3</f>
        <v>0</v>
      </c>
      <c r="R158" s="95">
        <f t="shared" si="204"/>
        <v>0</v>
      </c>
      <c r="S158" s="102"/>
      <c r="T158" s="308"/>
      <c r="U158" s="115"/>
      <c r="V158" s="96">
        <f>(T158+U158)*(1+$X$4)</f>
        <v>0</v>
      </c>
      <c r="W158" s="97">
        <f>V158*$X$3</f>
        <v>0</v>
      </c>
      <c r="X158" s="98">
        <f t="shared" si="205"/>
        <v>0</v>
      </c>
      <c r="Y158" s="102"/>
      <c r="Z158" s="188"/>
      <c r="AA158" s="99">
        <f>Z158*$V$4</f>
        <v>0</v>
      </c>
      <c r="AB158" s="100">
        <f t="shared" si="206"/>
        <v>0</v>
      </c>
      <c r="AC158" s="102"/>
      <c r="AD158" s="101">
        <f t="shared" si="200"/>
        <v>0</v>
      </c>
      <c r="AE158" s="102"/>
      <c r="AF158" s="101">
        <f t="shared" si="201"/>
        <v>0</v>
      </c>
      <c r="AG158" s="102"/>
      <c r="AH158" s="103">
        <f t="shared" si="207"/>
        <v>0</v>
      </c>
      <c r="AI158" s="725"/>
      <c r="AK158" s="148"/>
    </row>
    <row r="159" spans="1:38" s="192" customFormat="1" ht="13.5" hidden="1" customHeight="1" x14ac:dyDescent="0.25">
      <c r="A159" s="167">
        <v>36</v>
      </c>
      <c r="B159" s="847"/>
      <c r="C159" s="849"/>
      <c r="D159" s="848"/>
      <c r="E159" s="455"/>
      <c r="F159" s="460"/>
      <c r="G159" s="105" t="str">
        <f>IF(B159="","","50-030-236")</f>
        <v/>
      </c>
      <c r="H159" s="672">
        <f t="shared" si="162"/>
        <v>93.75</v>
      </c>
      <c r="I159" s="673">
        <f t="shared" si="163"/>
        <v>101.75</v>
      </c>
      <c r="J159" s="417"/>
      <c r="K159" s="418"/>
      <c r="L159" s="102"/>
      <c r="M159" s="422"/>
      <c r="N159" s="418"/>
      <c r="O159" s="93">
        <f t="shared" si="203"/>
        <v>0</v>
      </c>
      <c r="P159" s="94">
        <f t="shared" si="164"/>
        <v>0</v>
      </c>
      <c r="Q159" s="94">
        <f>P159*$V$3</f>
        <v>0</v>
      </c>
      <c r="R159" s="95">
        <f t="shared" si="204"/>
        <v>0</v>
      </c>
      <c r="S159" s="102"/>
      <c r="T159" s="308"/>
      <c r="U159" s="115"/>
      <c r="V159" s="96">
        <f>(T159+U159)*(1+$X$4)</f>
        <v>0</v>
      </c>
      <c r="W159" s="97">
        <f>V159*$X$3</f>
        <v>0</v>
      </c>
      <c r="X159" s="98">
        <f t="shared" si="205"/>
        <v>0</v>
      </c>
      <c r="Y159" s="102"/>
      <c r="Z159" s="188"/>
      <c r="AA159" s="99">
        <f>Z159*$V$4</f>
        <v>0</v>
      </c>
      <c r="AB159" s="100">
        <f t="shared" si="206"/>
        <v>0</v>
      </c>
      <c r="AC159" s="102"/>
      <c r="AD159" s="101">
        <f t="shared" si="200"/>
        <v>0</v>
      </c>
      <c r="AE159" s="102"/>
      <c r="AF159" s="101">
        <f t="shared" si="201"/>
        <v>0</v>
      </c>
      <c r="AG159" s="102"/>
      <c r="AH159" s="103">
        <f t="shared" si="207"/>
        <v>0</v>
      </c>
      <c r="AI159" s="725"/>
      <c r="AK159" s="148"/>
      <c r="AL159" s="753"/>
    </row>
    <row r="160" spans="1:38" s="192" customFormat="1" ht="13.5" hidden="1" customHeight="1" x14ac:dyDescent="0.25">
      <c r="A160" s="167">
        <v>37</v>
      </c>
      <c r="B160" s="847"/>
      <c r="C160" s="849"/>
      <c r="D160" s="848"/>
      <c r="E160" s="455"/>
      <c r="F160" s="460"/>
      <c r="G160" s="105" t="str">
        <f>IF(B160="","","50-030-237")</f>
        <v/>
      </c>
      <c r="H160" s="672">
        <f t="shared" si="162"/>
        <v>93.75</v>
      </c>
      <c r="I160" s="673">
        <f t="shared" si="163"/>
        <v>101.75</v>
      </c>
      <c r="J160" s="417"/>
      <c r="K160" s="418"/>
      <c r="L160" s="102"/>
      <c r="M160" s="422"/>
      <c r="N160" s="418"/>
      <c r="O160" s="93">
        <f t="shared" si="151"/>
        <v>0</v>
      </c>
      <c r="P160" s="94">
        <f t="shared" si="164"/>
        <v>0</v>
      </c>
      <c r="Q160" s="94">
        <f t="shared" si="152"/>
        <v>0</v>
      </c>
      <c r="R160" s="95">
        <f t="shared" si="153"/>
        <v>0</v>
      </c>
      <c r="S160" s="102"/>
      <c r="T160" s="308"/>
      <c r="U160" s="115"/>
      <c r="V160" s="96">
        <f t="shared" si="154"/>
        <v>0</v>
      </c>
      <c r="W160" s="97">
        <f t="shared" si="155"/>
        <v>0</v>
      </c>
      <c r="X160" s="98">
        <f t="shared" si="156"/>
        <v>0</v>
      </c>
      <c r="Y160" s="102"/>
      <c r="Z160" s="188"/>
      <c r="AA160" s="99">
        <f t="shared" si="157"/>
        <v>0</v>
      </c>
      <c r="AB160" s="100">
        <f t="shared" si="158"/>
        <v>0</v>
      </c>
      <c r="AC160" s="102"/>
      <c r="AD160" s="101">
        <f t="shared" si="159"/>
        <v>0</v>
      </c>
      <c r="AE160" s="102"/>
      <c r="AF160" s="101">
        <f t="shared" si="160"/>
        <v>0</v>
      </c>
      <c r="AG160" s="102"/>
      <c r="AH160" s="103">
        <f t="shared" si="161"/>
        <v>0</v>
      </c>
      <c r="AI160" s="725"/>
      <c r="AK160" s="148"/>
    </row>
    <row r="161" spans="1:38" s="192" customFormat="1" ht="13.5" hidden="1" customHeight="1" x14ac:dyDescent="0.25">
      <c r="A161" s="167">
        <v>38</v>
      </c>
      <c r="B161" s="847"/>
      <c r="C161" s="849"/>
      <c r="D161" s="848"/>
      <c r="E161" s="455"/>
      <c r="F161" s="460"/>
      <c r="G161" s="105" t="str">
        <f>IF(B161="","","50-030-238")</f>
        <v/>
      </c>
      <c r="H161" s="672">
        <f t="shared" si="162"/>
        <v>93.75</v>
      </c>
      <c r="I161" s="673">
        <f t="shared" si="163"/>
        <v>101.75</v>
      </c>
      <c r="J161" s="417"/>
      <c r="K161" s="418"/>
      <c r="L161" s="102"/>
      <c r="M161" s="422"/>
      <c r="N161" s="418"/>
      <c r="O161" s="93">
        <f t="shared" si="151"/>
        <v>0</v>
      </c>
      <c r="P161" s="94">
        <f t="shared" si="164"/>
        <v>0</v>
      </c>
      <c r="Q161" s="94">
        <f t="shared" si="152"/>
        <v>0</v>
      </c>
      <c r="R161" s="95">
        <f t="shared" si="153"/>
        <v>0</v>
      </c>
      <c r="S161" s="102"/>
      <c r="T161" s="308"/>
      <c r="U161" s="115"/>
      <c r="V161" s="96">
        <f t="shared" si="154"/>
        <v>0</v>
      </c>
      <c r="W161" s="97">
        <f t="shared" si="155"/>
        <v>0</v>
      </c>
      <c r="X161" s="98">
        <f t="shared" si="156"/>
        <v>0</v>
      </c>
      <c r="Y161" s="102"/>
      <c r="Z161" s="188"/>
      <c r="AA161" s="99">
        <f t="shared" si="157"/>
        <v>0</v>
      </c>
      <c r="AB161" s="100">
        <f t="shared" si="158"/>
        <v>0</v>
      </c>
      <c r="AC161" s="102"/>
      <c r="AD161" s="101">
        <f t="shared" si="159"/>
        <v>0</v>
      </c>
      <c r="AE161" s="102"/>
      <c r="AF161" s="101">
        <f t="shared" si="160"/>
        <v>0</v>
      </c>
      <c r="AG161" s="102"/>
      <c r="AH161" s="103">
        <f t="shared" si="161"/>
        <v>0</v>
      </c>
      <c r="AI161" s="725"/>
      <c r="AK161" s="148"/>
    </row>
    <row r="162" spans="1:38" s="192" customFormat="1" ht="13.5" hidden="1" customHeight="1" x14ac:dyDescent="0.25">
      <c r="A162" s="167">
        <v>39</v>
      </c>
      <c r="B162" s="847"/>
      <c r="C162" s="849"/>
      <c r="D162" s="848"/>
      <c r="E162" s="455"/>
      <c r="F162" s="460"/>
      <c r="G162" s="105" t="str">
        <f>IF(B162="","","50-030-239")</f>
        <v/>
      </c>
      <c r="H162" s="672">
        <f t="shared" si="162"/>
        <v>93.75</v>
      </c>
      <c r="I162" s="673">
        <f t="shared" si="163"/>
        <v>101.75</v>
      </c>
      <c r="J162" s="417"/>
      <c r="K162" s="418"/>
      <c r="L162" s="102"/>
      <c r="M162" s="422"/>
      <c r="N162" s="418"/>
      <c r="O162" s="93">
        <f t="shared" si="151"/>
        <v>0</v>
      </c>
      <c r="P162" s="94">
        <f t="shared" si="164"/>
        <v>0</v>
      </c>
      <c r="Q162" s="94">
        <f t="shared" si="152"/>
        <v>0</v>
      </c>
      <c r="R162" s="95">
        <f t="shared" si="153"/>
        <v>0</v>
      </c>
      <c r="S162" s="102"/>
      <c r="T162" s="308"/>
      <c r="U162" s="115"/>
      <c r="V162" s="96">
        <f t="shared" si="154"/>
        <v>0</v>
      </c>
      <c r="W162" s="97">
        <f t="shared" si="155"/>
        <v>0</v>
      </c>
      <c r="X162" s="98">
        <f t="shared" si="156"/>
        <v>0</v>
      </c>
      <c r="Y162" s="102"/>
      <c r="Z162" s="188"/>
      <c r="AA162" s="99">
        <f t="shared" si="157"/>
        <v>0</v>
      </c>
      <c r="AB162" s="100">
        <f t="shared" si="158"/>
        <v>0</v>
      </c>
      <c r="AC162" s="102"/>
      <c r="AD162" s="101">
        <f t="shared" si="159"/>
        <v>0</v>
      </c>
      <c r="AE162" s="102"/>
      <c r="AF162" s="101">
        <f t="shared" si="160"/>
        <v>0</v>
      </c>
      <c r="AG162" s="102"/>
      <c r="AH162" s="103">
        <f t="shared" si="161"/>
        <v>0</v>
      </c>
      <c r="AI162" s="725"/>
      <c r="AK162" s="148"/>
    </row>
    <row r="163" spans="1:38" s="192" customFormat="1" ht="13.5" hidden="1" customHeight="1" x14ac:dyDescent="0.25">
      <c r="A163" s="459">
        <v>40</v>
      </c>
      <c r="B163" s="847"/>
      <c r="C163" s="849"/>
      <c r="D163" s="848"/>
      <c r="E163" s="460"/>
      <c r="F163" s="460"/>
      <c r="G163" s="105" t="str">
        <f>IF(B163="","","50-030-240")</f>
        <v/>
      </c>
      <c r="H163" s="672">
        <f t="shared" si="162"/>
        <v>93.75</v>
      </c>
      <c r="I163" s="673">
        <f t="shared" si="163"/>
        <v>101.75</v>
      </c>
      <c r="J163" s="417"/>
      <c r="K163" s="418"/>
      <c r="L163" s="102"/>
      <c r="M163" s="422"/>
      <c r="N163" s="418"/>
      <c r="O163" s="86">
        <f t="shared" si="151"/>
        <v>0</v>
      </c>
      <c r="P163" s="94">
        <f t="shared" si="164"/>
        <v>0</v>
      </c>
      <c r="Q163" s="94">
        <f t="shared" si="152"/>
        <v>0</v>
      </c>
      <c r="R163" s="95">
        <f t="shared" si="153"/>
        <v>0</v>
      </c>
      <c r="S163" s="102"/>
      <c r="T163" s="456"/>
      <c r="U163" s="457"/>
      <c r="V163" s="96">
        <f t="shared" si="154"/>
        <v>0</v>
      </c>
      <c r="W163" s="97">
        <f t="shared" si="155"/>
        <v>0</v>
      </c>
      <c r="X163" s="98">
        <f t="shared" si="156"/>
        <v>0</v>
      </c>
      <c r="Y163" s="102"/>
      <c r="Z163" s="191"/>
      <c r="AA163" s="113">
        <f t="shared" si="157"/>
        <v>0</v>
      </c>
      <c r="AB163" s="100">
        <f t="shared" si="158"/>
        <v>0</v>
      </c>
      <c r="AC163" s="102"/>
      <c r="AD163" s="101">
        <f t="shared" si="159"/>
        <v>0</v>
      </c>
      <c r="AE163" s="102"/>
      <c r="AF163" s="101">
        <f t="shared" si="160"/>
        <v>0</v>
      </c>
      <c r="AG163" s="57"/>
      <c r="AH163" s="103">
        <f t="shared" si="161"/>
        <v>0</v>
      </c>
      <c r="AI163" s="725"/>
      <c r="AK163" s="148"/>
    </row>
    <row r="164" spans="1:38" s="192" customFormat="1" ht="13.5" hidden="1" customHeight="1" x14ac:dyDescent="0.25">
      <c r="A164" s="167">
        <v>41</v>
      </c>
      <c r="B164" s="847"/>
      <c r="C164" s="849"/>
      <c r="D164" s="848"/>
      <c r="E164" s="455"/>
      <c r="F164" s="455"/>
      <c r="G164" s="105" t="str">
        <f>IF(B164="","","50-030-241")</f>
        <v/>
      </c>
      <c r="H164" s="672">
        <f t="shared" si="162"/>
        <v>93.75</v>
      </c>
      <c r="I164" s="673">
        <f t="shared" si="163"/>
        <v>101.75</v>
      </c>
      <c r="J164" s="440"/>
      <c r="K164" s="418"/>
      <c r="L164" s="102"/>
      <c r="M164" s="442"/>
      <c r="N164" s="441"/>
      <c r="O164" s="93">
        <f t="shared" si="151"/>
        <v>0</v>
      </c>
      <c r="P164" s="94">
        <f t="shared" si="164"/>
        <v>0</v>
      </c>
      <c r="Q164" s="94">
        <f t="shared" si="152"/>
        <v>0</v>
      </c>
      <c r="R164" s="95">
        <f t="shared" si="153"/>
        <v>0</v>
      </c>
      <c r="S164" s="102"/>
      <c r="T164" s="309"/>
      <c r="U164" s="116"/>
      <c r="V164" s="96">
        <f t="shared" si="154"/>
        <v>0</v>
      </c>
      <c r="W164" s="97">
        <f t="shared" si="155"/>
        <v>0</v>
      </c>
      <c r="X164" s="98">
        <f t="shared" si="156"/>
        <v>0</v>
      </c>
      <c r="Y164" s="102"/>
      <c r="Z164" s="461"/>
      <c r="AA164" s="99">
        <f t="shared" si="157"/>
        <v>0</v>
      </c>
      <c r="AB164" s="100">
        <f t="shared" si="158"/>
        <v>0</v>
      </c>
      <c r="AC164" s="102"/>
      <c r="AD164" s="101">
        <f t="shared" si="159"/>
        <v>0</v>
      </c>
      <c r="AE164" s="57"/>
      <c r="AF164" s="101">
        <f t="shared" si="160"/>
        <v>0</v>
      </c>
      <c r="AG164" s="102"/>
      <c r="AH164" s="103">
        <f t="shared" si="161"/>
        <v>0</v>
      </c>
      <c r="AI164" s="725"/>
      <c r="AK164" s="148"/>
    </row>
    <row r="165" spans="1:38" s="192" customFormat="1" ht="13.5" hidden="1" customHeight="1" x14ac:dyDescent="0.25">
      <c r="A165" s="167">
        <v>42</v>
      </c>
      <c r="B165" s="847"/>
      <c r="C165" s="849"/>
      <c r="D165" s="848"/>
      <c r="E165" s="455"/>
      <c r="F165" s="460"/>
      <c r="G165" s="105" t="str">
        <f>IF(B165="","","50-030-242")</f>
        <v/>
      </c>
      <c r="H165" s="672">
        <f t="shared" si="162"/>
        <v>93.75</v>
      </c>
      <c r="I165" s="673">
        <f t="shared" si="163"/>
        <v>101.75</v>
      </c>
      <c r="J165" s="417"/>
      <c r="K165" s="418"/>
      <c r="L165" s="102"/>
      <c r="M165" s="422"/>
      <c r="N165" s="418"/>
      <c r="O165" s="93">
        <f t="shared" si="151"/>
        <v>0</v>
      </c>
      <c r="P165" s="94">
        <f t="shared" si="164"/>
        <v>0</v>
      </c>
      <c r="Q165" s="94">
        <f t="shared" si="152"/>
        <v>0</v>
      </c>
      <c r="R165" s="95">
        <f t="shared" si="153"/>
        <v>0</v>
      </c>
      <c r="S165" s="102"/>
      <c r="T165" s="308"/>
      <c r="U165" s="115"/>
      <c r="V165" s="96">
        <f t="shared" si="154"/>
        <v>0</v>
      </c>
      <c r="W165" s="97">
        <f t="shared" si="155"/>
        <v>0</v>
      </c>
      <c r="X165" s="98">
        <f t="shared" si="156"/>
        <v>0</v>
      </c>
      <c r="Y165" s="102"/>
      <c r="Z165" s="188"/>
      <c r="AA165" s="99">
        <f t="shared" si="157"/>
        <v>0</v>
      </c>
      <c r="AB165" s="100">
        <f t="shared" si="158"/>
        <v>0</v>
      </c>
      <c r="AC165" s="102"/>
      <c r="AD165" s="101">
        <f t="shared" si="159"/>
        <v>0</v>
      </c>
      <c r="AE165" s="102"/>
      <c r="AF165" s="101">
        <f t="shared" si="160"/>
        <v>0</v>
      </c>
      <c r="AG165" s="102"/>
      <c r="AH165" s="103">
        <f t="shared" si="161"/>
        <v>0</v>
      </c>
      <c r="AI165" s="725"/>
      <c r="AK165" s="148"/>
    </row>
    <row r="166" spans="1:38" s="192" customFormat="1" ht="13.5" hidden="1" customHeight="1" x14ac:dyDescent="0.25">
      <c r="A166" s="167">
        <v>43</v>
      </c>
      <c r="B166" s="847"/>
      <c r="C166" s="849"/>
      <c r="D166" s="848"/>
      <c r="E166" s="455"/>
      <c r="F166" s="460"/>
      <c r="G166" s="105" t="str">
        <f>IF(B166="","","50-030-243")</f>
        <v/>
      </c>
      <c r="H166" s="672">
        <f t="shared" si="162"/>
        <v>93.75</v>
      </c>
      <c r="I166" s="673">
        <f t="shared" si="163"/>
        <v>101.75</v>
      </c>
      <c r="J166" s="417"/>
      <c r="K166" s="418"/>
      <c r="L166" s="102"/>
      <c r="M166" s="422"/>
      <c r="N166" s="418"/>
      <c r="O166" s="93">
        <f t="shared" si="151"/>
        <v>0</v>
      </c>
      <c r="P166" s="94">
        <f t="shared" si="164"/>
        <v>0</v>
      </c>
      <c r="Q166" s="94">
        <f t="shared" si="152"/>
        <v>0</v>
      </c>
      <c r="R166" s="95">
        <f t="shared" si="153"/>
        <v>0</v>
      </c>
      <c r="S166" s="102"/>
      <c r="T166" s="308"/>
      <c r="U166" s="115"/>
      <c r="V166" s="96">
        <f t="shared" si="154"/>
        <v>0</v>
      </c>
      <c r="W166" s="97">
        <f t="shared" si="155"/>
        <v>0</v>
      </c>
      <c r="X166" s="98">
        <f t="shared" si="156"/>
        <v>0</v>
      </c>
      <c r="Y166" s="102"/>
      <c r="Z166" s="188"/>
      <c r="AA166" s="99">
        <f t="shared" si="157"/>
        <v>0</v>
      </c>
      <c r="AB166" s="100">
        <f t="shared" si="158"/>
        <v>0</v>
      </c>
      <c r="AC166" s="102"/>
      <c r="AD166" s="101">
        <f t="shared" si="159"/>
        <v>0</v>
      </c>
      <c r="AE166" s="102"/>
      <c r="AF166" s="101">
        <f t="shared" si="160"/>
        <v>0</v>
      </c>
      <c r="AG166" s="102"/>
      <c r="AH166" s="103">
        <f t="shared" si="161"/>
        <v>0</v>
      </c>
      <c r="AI166" s="725"/>
      <c r="AK166" s="148"/>
    </row>
    <row r="167" spans="1:38" s="192" customFormat="1" ht="13.5" hidden="1" customHeight="1" x14ac:dyDescent="0.25">
      <c r="A167" s="167">
        <v>44</v>
      </c>
      <c r="B167" s="847"/>
      <c r="C167" s="849"/>
      <c r="D167" s="848"/>
      <c r="E167" s="455"/>
      <c r="F167" s="460"/>
      <c r="G167" s="105" t="str">
        <f>IF(B167="","","50-030-244")</f>
        <v/>
      </c>
      <c r="H167" s="672">
        <f t="shared" si="162"/>
        <v>93.75</v>
      </c>
      <c r="I167" s="673">
        <f t="shared" si="163"/>
        <v>101.75</v>
      </c>
      <c r="J167" s="417"/>
      <c r="K167" s="418"/>
      <c r="L167" s="102"/>
      <c r="M167" s="422"/>
      <c r="N167" s="418"/>
      <c r="O167" s="93">
        <f>(N167+M167)</f>
        <v>0</v>
      </c>
      <c r="P167" s="94">
        <f t="shared" si="164"/>
        <v>0</v>
      </c>
      <c r="Q167" s="94">
        <f t="shared" si="152"/>
        <v>0</v>
      </c>
      <c r="R167" s="95">
        <f>Q167+P167</f>
        <v>0</v>
      </c>
      <c r="S167" s="102"/>
      <c r="T167" s="308"/>
      <c r="U167" s="115"/>
      <c r="V167" s="96">
        <f t="shared" si="154"/>
        <v>0</v>
      </c>
      <c r="W167" s="97">
        <f t="shared" si="155"/>
        <v>0</v>
      </c>
      <c r="X167" s="98">
        <f>W167+V167</f>
        <v>0</v>
      </c>
      <c r="Y167" s="102"/>
      <c r="Z167" s="188"/>
      <c r="AA167" s="99">
        <f t="shared" si="157"/>
        <v>0</v>
      </c>
      <c r="AB167" s="100">
        <f>AA167+Z167</f>
        <v>0</v>
      </c>
      <c r="AC167" s="102"/>
      <c r="AD167" s="101">
        <f t="shared" si="159"/>
        <v>0</v>
      </c>
      <c r="AE167" s="102"/>
      <c r="AF167" s="101">
        <f t="shared" si="160"/>
        <v>0</v>
      </c>
      <c r="AG167" s="102"/>
      <c r="AH167" s="103">
        <f>AF167+Z167+V167+P167</f>
        <v>0</v>
      </c>
      <c r="AI167" s="725"/>
      <c r="AK167" s="148"/>
    </row>
    <row r="168" spans="1:38" s="192" customFormat="1" ht="13.5" hidden="1" customHeight="1" x14ac:dyDescent="0.25">
      <c r="A168" s="167">
        <v>45</v>
      </c>
      <c r="B168" s="847"/>
      <c r="C168" s="849"/>
      <c r="D168" s="848"/>
      <c r="E168" s="455"/>
      <c r="F168" s="460"/>
      <c r="G168" s="105" t="str">
        <f>IF(B168="","","50-030-245")</f>
        <v/>
      </c>
      <c r="H168" s="672">
        <f t="shared" si="162"/>
        <v>93.75</v>
      </c>
      <c r="I168" s="673">
        <f t="shared" si="163"/>
        <v>101.75</v>
      </c>
      <c r="J168" s="417"/>
      <c r="K168" s="418"/>
      <c r="L168" s="57"/>
      <c r="M168" s="422"/>
      <c r="N168" s="418"/>
      <c r="O168" s="86">
        <f>(N168+M168)</f>
        <v>0</v>
      </c>
      <c r="P168" s="94">
        <f t="shared" si="164"/>
        <v>0</v>
      </c>
      <c r="Q168" s="94">
        <f t="shared" si="152"/>
        <v>0</v>
      </c>
      <c r="R168" s="95">
        <f>Q168+P168</f>
        <v>0</v>
      </c>
      <c r="S168" s="57"/>
      <c r="T168" s="308"/>
      <c r="U168" s="115"/>
      <c r="V168" s="96">
        <f t="shared" si="154"/>
        <v>0</v>
      </c>
      <c r="W168" s="97">
        <f t="shared" si="155"/>
        <v>0</v>
      </c>
      <c r="X168" s="98">
        <f>W168+V168</f>
        <v>0</v>
      </c>
      <c r="Y168" s="102"/>
      <c r="Z168" s="188"/>
      <c r="AA168" s="113">
        <f t="shared" si="157"/>
        <v>0</v>
      </c>
      <c r="AB168" s="100">
        <f>AA168+Z168</f>
        <v>0</v>
      </c>
      <c r="AC168" s="102"/>
      <c r="AD168" s="101">
        <f t="shared" si="159"/>
        <v>0</v>
      </c>
      <c r="AE168" s="102"/>
      <c r="AF168" s="101">
        <f t="shared" si="160"/>
        <v>0</v>
      </c>
      <c r="AG168" s="102"/>
      <c r="AH168" s="103">
        <f>AF168+Z168+V168+P168</f>
        <v>0</v>
      </c>
      <c r="AI168" s="725"/>
      <c r="AK168" s="148"/>
    </row>
    <row r="169" spans="1:38" s="192" customFormat="1" ht="13.5" hidden="1" customHeight="1" x14ac:dyDescent="0.25">
      <c r="A169" s="167">
        <v>46</v>
      </c>
      <c r="B169" s="847"/>
      <c r="C169" s="849"/>
      <c r="D169" s="848"/>
      <c r="E169" s="455"/>
      <c r="F169" s="460"/>
      <c r="G169" s="105" t="str">
        <f>IF(B169="","","50-030-246")</f>
        <v/>
      </c>
      <c r="H169" s="672">
        <f t="shared" si="162"/>
        <v>93.75</v>
      </c>
      <c r="I169" s="673">
        <f t="shared" si="163"/>
        <v>101.75</v>
      </c>
      <c r="J169" s="417"/>
      <c r="K169" s="418"/>
      <c r="L169" s="57"/>
      <c r="M169" s="422"/>
      <c r="N169" s="418"/>
      <c r="O169" s="93">
        <f t="shared" ref="O169:O174" si="208">(N169+M169)</f>
        <v>0</v>
      </c>
      <c r="P169" s="94">
        <f t="shared" si="164"/>
        <v>0</v>
      </c>
      <c r="Q169" s="94">
        <f t="shared" si="152"/>
        <v>0</v>
      </c>
      <c r="R169" s="95">
        <f t="shared" ref="R169:R174" si="209">Q169+P169</f>
        <v>0</v>
      </c>
      <c r="S169" s="102"/>
      <c r="T169" s="308"/>
      <c r="U169" s="115"/>
      <c r="V169" s="96">
        <f t="shared" si="154"/>
        <v>0</v>
      </c>
      <c r="W169" s="97">
        <f t="shared" si="155"/>
        <v>0</v>
      </c>
      <c r="X169" s="98">
        <f t="shared" ref="X169:X173" si="210">W169+V169</f>
        <v>0</v>
      </c>
      <c r="Y169" s="57"/>
      <c r="Z169" s="188"/>
      <c r="AA169" s="99">
        <f t="shared" si="157"/>
        <v>0</v>
      </c>
      <c r="AB169" s="100">
        <f t="shared" ref="AB169:AB173" si="211">AA169+Z169</f>
        <v>0</v>
      </c>
      <c r="AC169" s="57"/>
      <c r="AD169" s="101">
        <f t="shared" si="159"/>
        <v>0</v>
      </c>
      <c r="AE169" s="102"/>
      <c r="AF169" s="101">
        <f t="shared" si="160"/>
        <v>0</v>
      </c>
      <c r="AG169" s="102"/>
      <c r="AH169" s="103">
        <f t="shared" ref="AH169:AH173" si="212">AF169+Z169+V169+P169</f>
        <v>0</v>
      </c>
      <c r="AI169" s="725"/>
      <c r="AK169" s="148"/>
    </row>
    <row r="170" spans="1:38" s="192" customFormat="1" ht="13.5" hidden="1" customHeight="1" x14ac:dyDescent="0.25">
      <c r="A170" s="167">
        <v>47</v>
      </c>
      <c r="B170" s="847"/>
      <c r="C170" s="849"/>
      <c r="D170" s="848"/>
      <c r="E170" s="455"/>
      <c r="F170" s="460"/>
      <c r="G170" s="105" t="str">
        <f>IF(B170="","","50-030-247")</f>
        <v/>
      </c>
      <c r="H170" s="672">
        <f t="shared" si="162"/>
        <v>93.75</v>
      </c>
      <c r="I170" s="673">
        <f t="shared" si="163"/>
        <v>101.75</v>
      </c>
      <c r="J170" s="417"/>
      <c r="K170" s="418"/>
      <c r="L170" s="102"/>
      <c r="M170" s="422"/>
      <c r="N170" s="418"/>
      <c r="O170" s="93">
        <f t="shared" si="208"/>
        <v>0</v>
      </c>
      <c r="P170" s="94">
        <f t="shared" si="164"/>
        <v>0</v>
      </c>
      <c r="Q170" s="94">
        <f>P170*$V$3</f>
        <v>0</v>
      </c>
      <c r="R170" s="95">
        <f t="shared" si="209"/>
        <v>0</v>
      </c>
      <c r="S170" s="102"/>
      <c r="T170" s="308"/>
      <c r="U170" s="115"/>
      <c r="V170" s="96">
        <f>(T170+U170)*(1+$X$4)</f>
        <v>0</v>
      </c>
      <c r="W170" s="97">
        <f>V170*$X$3</f>
        <v>0</v>
      </c>
      <c r="X170" s="98">
        <f t="shared" si="210"/>
        <v>0</v>
      </c>
      <c r="Y170" s="102"/>
      <c r="Z170" s="188"/>
      <c r="AA170" s="99">
        <f>Z170*$V$4</f>
        <v>0</v>
      </c>
      <c r="AB170" s="100">
        <f t="shared" si="211"/>
        <v>0</v>
      </c>
      <c r="AC170" s="102"/>
      <c r="AD170" s="101">
        <f t="shared" si="159"/>
        <v>0</v>
      </c>
      <c r="AE170" s="102"/>
      <c r="AF170" s="101">
        <f t="shared" si="160"/>
        <v>0</v>
      </c>
      <c r="AG170" s="102"/>
      <c r="AH170" s="103">
        <f t="shared" si="212"/>
        <v>0</v>
      </c>
      <c r="AI170" s="725"/>
      <c r="AK170" s="148"/>
    </row>
    <row r="171" spans="1:38" s="192" customFormat="1" ht="13.5" hidden="1" customHeight="1" x14ac:dyDescent="0.25">
      <c r="A171" s="167">
        <v>48</v>
      </c>
      <c r="B171" s="847"/>
      <c r="C171" s="849"/>
      <c r="D171" s="848"/>
      <c r="E171" s="455"/>
      <c r="F171" s="460"/>
      <c r="G171" s="105" t="str">
        <f>IF(B171="","","50-030-248")</f>
        <v/>
      </c>
      <c r="H171" s="672">
        <f t="shared" si="162"/>
        <v>93.75</v>
      </c>
      <c r="I171" s="673">
        <f t="shared" si="163"/>
        <v>101.75</v>
      </c>
      <c r="J171" s="417"/>
      <c r="K171" s="418"/>
      <c r="L171" s="102"/>
      <c r="M171" s="422"/>
      <c r="N171" s="418"/>
      <c r="O171" s="93">
        <f t="shared" si="208"/>
        <v>0</v>
      </c>
      <c r="P171" s="94">
        <f t="shared" si="164"/>
        <v>0</v>
      </c>
      <c r="Q171" s="94">
        <f>P171*$V$3</f>
        <v>0</v>
      </c>
      <c r="R171" s="95">
        <f t="shared" si="209"/>
        <v>0</v>
      </c>
      <c r="S171" s="102"/>
      <c r="T171" s="308"/>
      <c r="U171" s="115"/>
      <c r="V171" s="96">
        <f>(T171+U171)*(1+$X$4)</f>
        <v>0</v>
      </c>
      <c r="W171" s="97">
        <f>V171*$X$3</f>
        <v>0</v>
      </c>
      <c r="X171" s="98">
        <f t="shared" si="210"/>
        <v>0</v>
      </c>
      <c r="Y171" s="102"/>
      <c r="Z171" s="188"/>
      <c r="AA171" s="99">
        <f>Z171*$V$4</f>
        <v>0</v>
      </c>
      <c r="AB171" s="100">
        <f t="shared" si="211"/>
        <v>0</v>
      </c>
      <c r="AC171" s="102"/>
      <c r="AD171" s="101">
        <f t="shared" si="159"/>
        <v>0</v>
      </c>
      <c r="AE171" s="102"/>
      <c r="AF171" s="101">
        <f t="shared" si="160"/>
        <v>0</v>
      </c>
      <c r="AG171" s="102"/>
      <c r="AH171" s="103">
        <f t="shared" si="212"/>
        <v>0</v>
      </c>
      <c r="AI171" s="725"/>
      <c r="AK171" s="148"/>
    </row>
    <row r="172" spans="1:38" s="192" customFormat="1" ht="13.5" hidden="1" customHeight="1" x14ac:dyDescent="0.25">
      <c r="A172" s="167">
        <v>49</v>
      </c>
      <c r="B172" s="847"/>
      <c r="C172" s="849"/>
      <c r="D172" s="848"/>
      <c r="E172" s="455"/>
      <c r="F172" s="460"/>
      <c r="G172" s="105" t="str">
        <f>IF(B172="","","50-030-249")</f>
        <v/>
      </c>
      <c r="H172" s="672">
        <f t="shared" si="162"/>
        <v>93.75</v>
      </c>
      <c r="I172" s="673">
        <f t="shared" si="163"/>
        <v>101.75</v>
      </c>
      <c r="J172" s="417"/>
      <c r="K172" s="418"/>
      <c r="L172" s="102"/>
      <c r="M172" s="422"/>
      <c r="N172" s="418"/>
      <c r="O172" s="93">
        <f t="shared" si="208"/>
        <v>0</v>
      </c>
      <c r="P172" s="94">
        <f t="shared" si="164"/>
        <v>0</v>
      </c>
      <c r="Q172" s="94">
        <f>P172*$V$3</f>
        <v>0</v>
      </c>
      <c r="R172" s="95">
        <f t="shared" si="209"/>
        <v>0</v>
      </c>
      <c r="S172" s="102"/>
      <c r="T172" s="308"/>
      <c r="U172" s="115"/>
      <c r="V172" s="96">
        <f>(T172+U172)*(1+$X$4)</f>
        <v>0</v>
      </c>
      <c r="W172" s="97">
        <f>V172*$X$3</f>
        <v>0</v>
      </c>
      <c r="X172" s="98">
        <f t="shared" si="210"/>
        <v>0</v>
      </c>
      <c r="Y172" s="102"/>
      <c r="Z172" s="188"/>
      <c r="AA172" s="99">
        <f>Z172*$V$4</f>
        <v>0</v>
      </c>
      <c r="AB172" s="100">
        <f t="shared" si="211"/>
        <v>0</v>
      </c>
      <c r="AC172" s="102"/>
      <c r="AD172" s="101">
        <f t="shared" si="159"/>
        <v>0</v>
      </c>
      <c r="AE172" s="102"/>
      <c r="AF172" s="101">
        <f t="shared" si="160"/>
        <v>0</v>
      </c>
      <c r="AG172" s="102"/>
      <c r="AH172" s="103">
        <f t="shared" si="212"/>
        <v>0</v>
      </c>
      <c r="AI172" s="725"/>
      <c r="AK172" s="148"/>
      <c r="AL172" s="753"/>
    </row>
    <row r="173" spans="1:38" s="192" customFormat="1" ht="15" customHeight="1" x14ac:dyDescent="0.25">
      <c r="A173" s="168">
        <v>50</v>
      </c>
      <c r="B173" s="842"/>
      <c r="C173" s="843"/>
      <c r="D173" s="844"/>
      <c r="E173" s="455"/>
      <c r="F173" s="682"/>
      <c r="G173" s="106" t="str">
        <f>IF(B173="","","50-030-250")</f>
        <v/>
      </c>
      <c r="H173" s="672">
        <f t="shared" si="162"/>
        <v>93.75</v>
      </c>
      <c r="I173" s="673">
        <f t="shared" si="163"/>
        <v>101.75</v>
      </c>
      <c r="J173" s="419"/>
      <c r="K173" s="418"/>
      <c r="L173" s="57"/>
      <c r="M173" s="423"/>
      <c r="N173" s="420"/>
      <c r="O173" s="59">
        <f t="shared" si="208"/>
        <v>0</v>
      </c>
      <c r="P173" s="94">
        <f t="shared" si="164"/>
        <v>0</v>
      </c>
      <c r="Q173" s="60">
        <f>P173*$V$3</f>
        <v>0</v>
      </c>
      <c r="R173" s="61">
        <f t="shared" si="209"/>
        <v>0</v>
      </c>
      <c r="S173" s="102"/>
      <c r="T173" s="310"/>
      <c r="U173" s="117"/>
      <c r="V173" s="62">
        <f>(T173+U173)*(1+$X$4)</f>
        <v>0</v>
      </c>
      <c r="W173" s="63">
        <f>V173*$X$3</f>
        <v>0</v>
      </c>
      <c r="X173" s="64">
        <f t="shared" si="210"/>
        <v>0</v>
      </c>
      <c r="Y173" s="57"/>
      <c r="Z173" s="190"/>
      <c r="AA173" s="65">
        <f>Z173*$V$4</f>
        <v>0</v>
      </c>
      <c r="AB173" s="66">
        <f t="shared" si="211"/>
        <v>0</v>
      </c>
      <c r="AC173" s="102"/>
      <c r="AD173" s="67">
        <f t="shared" si="159"/>
        <v>0</v>
      </c>
      <c r="AE173" s="102"/>
      <c r="AF173" s="67">
        <f t="shared" si="160"/>
        <v>0</v>
      </c>
      <c r="AG173" s="102"/>
      <c r="AH173" s="69">
        <f t="shared" si="212"/>
        <v>0</v>
      </c>
      <c r="AI173" s="725"/>
      <c r="AK173" s="125">
        <f>SUM(AH124:AH173)</f>
        <v>0</v>
      </c>
    </row>
    <row r="174" spans="1:38" s="192" customFormat="1" ht="3.95" customHeight="1" x14ac:dyDescent="0.25">
      <c r="A174" s="764"/>
      <c r="B174" s="68"/>
      <c r="C174" s="68"/>
      <c r="D174" s="68"/>
      <c r="E174" s="126"/>
      <c r="F174" s="68"/>
      <c r="G174" s="68"/>
      <c r="H174" s="675"/>
      <c r="I174" s="675"/>
      <c r="J174" s="766"/>
      <c r="K174" s="138"/>
      <c r="L174" s="102"/>
      <c r="M174" s="767"/>
      <c r="N174" s="138"/>
      <c r="O174" s="138">
        <f t="shared" si="208"/>
        <v>0</v>
      </c>
      <c r="P174" s="138">
        <f t="shared" ref="P174" si="213">(M174*$R$4)+(N174*($R$4+$O$4))</f>
        <v>0</v>
      </c>
      <c r="Q174" s="138">
        <f>P174*$V$3</f>
        <v>0</v>
      </c>
      <c r="R174" s="138">
        <f t="shared" si="209"/>
        <v>0</v>
      </c>
      <c r="S174" s="767"/>
      <c r="T174" s="126"/>
      <c r="U174" s="126"/>
      <c r="V174" s="126"/>
      <c r="W174" s="126"/>
      <c r="X174" s="126"/>
      <c r="Y174" s="102"/>
      <c r="Z174" s="126"/>
      <c r="AA174" s="126"/>
      <c r="AB174" s="127"/>
      <c r="AC174" s="102"/>
      <c r="AD174" s="128"/>
      <c r="AE174" s="68"/>
      <c r="AF174" s="127"/>
      <c r="AG174" s="102"/>
      <c r="AH174" s="129"/>
      <c r="AI174" s="725"/>
      <c r="AK174" s="148"/>
    </row>
    <row r="175" spans="1:38" s="192" customFormat="1" ht="13.5" customHeight="1" thickBot="1" x14ac:dyDescent="0.3">
      <c r="A175" s="704" t="s">
        <v>198</v>
      </c>
      <c r="B175" s="705"/>
      <c r="C175" s="705"/>
      <c r="D175" s="706" t="s">
        <v>141</v>
      </c>
      <c r="E175" s="705"/>
      <c r="F175" s="768"/>
      <c r="G175" s="742" t="s">
        <v>519</v>
      </c>
      <c r="H175" s="676"/>
      <c r="I175" s="677"/>
      <c r="J175" s="745" t="s">
        <v>7</v>
      </c>
      <c r="K175" s="746" t="s">
        <v>12</v>
      </c>
      <c r="L175" s="132"/>
      <c r="M175" s="747" t="s">
        <v>13</v>
      </c>
      <c r="N175" s="139" t="s">
        <v>14</v>
      </c>
      <c r="O175" s="139" t="s">
        <v>15</v>
      </c>
      <c r="P175" s="139" t="s">
        <v>16</v>
      </c>
      <c r="Q175" s="139" t="s">
        <v>9</v>
      </c>
      <c r="R175" s="140" t="s">
        <v>10</v>
      </c>
      <c r="S175" s="132"/>
      <c r="T175" s="855" t="s">
        <v>198</v>
      </c>
      <c r="U175" s="856"/>
      <c r="V175" s="136" t="s">
        <v>17</v>
      </c>
      <c r="W175" s="136" t="s">
        <v>9</v>
      </c>
      <c r="X175" s="137" t="s">
        <v>10</v>
      </c>
      <c r="Y175" s="749"/>
      <c r="Z175" s="750" t="s">
        <v>18</v>
      </c>
      <c r="AA175" s="130" t="s">
        <v>9</v>
      </c>
      <c r="AB175" s="131" t="s">
        <v>10</v>
      </c>
      <c r="AC175" s="132"/>
      <c r="AD175" s="133" t="s">
        <v>16</v>
      </c>
      <c r="AE175" s="134"/>
      <c r="AF175" s="133" t="s">
        <v>9</v>
      </c>
      <c r="AG175" s="132"/>
      <c r="AH175" s="135" t="s">
        <v>10</v>
      </c>
      <c r="AI175" s="725"/>
      <c r="AK175" s="148"/>
    </row>
    <row r="176" spans="1:38" s="192" customFormat="1" ht="13.5" customHeight="1" thickTop="1" x14ac:dyDescent="0.25">
      <c r="A176" s="169">
        <v>1</v>
      </c>
      <c r="B176" s="685"/>
      <c r="C176" s="688"/>
      <c r="D176" s="427" t="s">
        <v>530</v>
      </c>
      <c r="E176" s="428"/>
      <c r="F176" s="691"/>
      <c r="G176" s="104" t="str">
        <f t="shared" ref="G176:G185" si="214">IF(D176="","",VLOOKUP(D176,$A$244:$D$247,2))</f>
        <v xml:space="preserve"> 14-750-   -</v>
      </c>
      <c r="H176" s="678"/>
      <c r="I176" s="675"/>
      <c r="J176" s="424">
        <v>0.01</v>
      </c>
      <c r="K176" s="416"/>
      <c r="L176" s="102"/>
      <c r="M176" s="421"/>
      <c r="N176" s="416"/>
      <c r="O176" s="93">
        <f t="shared" ref="O176:O185" si="215">(N176+M176)</f>
        <v>0</v>
      </c>
      <c r="P176" s="94">
        <f t="shared" ref="P176:P185" si="216">O176*$O$3</f>
        <v>0</v>
      </c>
      <c r="Q176" s="94">
        <f t="shared" ref="Q176:Q185" si="217">P176*$V$3</f>
        <v>0</v>
      </c>
      <c r="R176" s="95">
        <f t="shared" ref="R176:R185" si="218">Q176+P176</f>
        <v>0</v>
      </c>
      <c r="S176" s="102"/>
      <c r="T176" s="870">
        <f>SUM(P20:P69,P72:P121,P8:P17,P124:P173)*J176</f>
        <v>841.53120000000013</v>
      </c>
      <c r="U176" s="871"/>
      <c r="V176" s="97">
        <f>(T176+U176)</f>
        <v>841.53120000000013</v>
      </c>
      <c r="W176" s="97">
        <f t="shared" ref="W176:W185" si="219">V176*$X$3</f>
        <v>168.30624000000003</v>
      </c>
      <c r="X176" s="98">
        <f t="shared" ref="X176:X185" si="220">W176+V176</f>
        <v>1009.8374400000001</v>
      </c>
      <c r="Y176" s="102"/>
      <c r="Z176" s="188"/>
      <c r="AA176" s="99">
        <f t="shared" ref="AA176:AA185" si="221">Z176*$V$4</f>
        <v>0</v>
      </c>
      <c r="AB176" s="100">
        <f t="shared" ref="AB176:AB185" si="222">AA176+Z176</f>
        <v>0</v>
      </c>
      <c r="AC176" s="102"/>
      <c r="AD176" s="101">
        <f t="shared" ref="AD176:AD185" si="223">Z176+V176+P176</f>
        <v>841.53120000000013</v>
      </c>
      <c r="AE176" s="102"/>
      <c r="AF176" s="101">
        <f t="shared" ref="AF176:AF185" si="224">W176+AA176+Q176</f>
        <v>168.30624000000003</v>
      </c>
      <c r="AG176" s="102"/>
      <c r="AH176" s="103">
        <f t="shared" ref="AH176:AH185" si="225">AF176+Z176+V176+P176</f>
        <v>1009.8374400000001</v>
      </c>
      <c r="AI176" s="725"/>
      <c r="AK176" s="148"/>
    </row>
    <row r="177" spans="1:38" s="192" customFormat="1" ht="13.5" customHeight="1" x14ac:dyDescent="0.25">
      <c r="A177" s="167">
        <v>2</v>
      </c>
      <c r="B177" s="686"/>
      <c r="C177" s="687"/>
      <c r="D177" s="429" t="s">
        <v>531</v>
      </c>
      <c r="E177" s="430"/>
      <c r="F177" s="692"/>
      <c r="G177" s="105" t="str">
        <f t="shared" si="214"/>
        <v xml:space="preserve"> 14-751-   -</v>
      </c>
      <c r="H177" s="678"/>
      <c r="I177" s="675"/>
      <c r="J177" s="417">
        <v>4</v>
      </c>
      <c r="K177" s="418"/>
      <c r="L177" s="102"/>
      <c r="M177" s="422"/>
      <c r="N177" s="418"/>
      <c r="O177" s="93">
        <f t="shared" ref="O177:O180" si="226">(N177+M177)</f>
        <v>0</v>
      </c>
      <c r="P177" s="94">
        <f t="shared" ref="P177:P180" si="227">O177*$O$3</f>
        <v>0</v>
      </c>
      <c r="Q177" s="94">
        <f t="shared" ref="Q177:Q180" si="228">P177*$V$3</f>
        <v>0</v>
      </c>
      <c r="R177" s="95">
        <f t="shared" ref="R177:R180" si="229">Q177+P177</f>
        <v>0</v>
      </c>
      <c r="S177" s="102"/>
      <c r="T177" s="872">
        <f>120*5*J177</f>
        <v>2400</v>
      </c>
      <c r="U177" s="873"/>
      <c r="V177" s="97">
        <f t="shared" ref="V177:V185" si="230">(T177+U177)</f>
        <v>2400</v>
      </c>
      <c r="W177" s="97">
        <f t="shared" ref="W177:W180" si="231">V177*$X$3</f>
        <v>480</v>
      </c>
      <c r="X177" s="98">
        <f t="shared" ref="X177:X180" si="232">W177+V177</f>
        <v>2880</v>
      </c>
      <c r="Y177" s="102"/>
      <c r="Z177" s="188"/>
      <c r="AA177" s="99">
        <f t="shared" ref="AA177:AA180" si="233">Z177*$V$4</f>
        <v>0</v>
      </c>
      <c r="AB177" s="100">
        <f t="shared" ref="AB177:AB180" si="234">AA177+Z177</f>
        <v>0</v>
      </c>
      <c r="AC177" s="102"/>
      <c r="AD177" s="101">
        <f t="shared" ref="AD177:AD180" si="235">Z177+V177+P177</f>
        <v>2400</v>
      </c>
      <c r="AE177" s="102"/>
      <c r="AF177" s="101">
        <f t="shared" ref="AF177:AF180" si="236">W177+AA177+Q177</f>
        <v>480</v>
      </c>
      <c r="AG177" s="102"/>
      <c r="AH177" s="103">
        <f t="shared" ref="AH177:AH180" si="237">AF177+Z177+V177+P177</f>
        <v>2880</v>
      </c>
      <c r="AI177" s="725"/>
      <c r="AK177" s="148"/>
    </row>
    <row r="178" spans="1:38" s="192" customFormat="1" ht="13.5" customHeight="1" x14ac:dyDescent="0.25">
      <c r="A178" s="167">
        <v>3</v>
      </c>
      <c r="B178" s="686"/>
      <c r="C178" s="687"/>
      <c r="D178" s="452" t="s">
        <v>529</v>
      </c>
      <c r="E178" s="431"/>
      <c r="F178" s="692"/>
      <c r="G178" s="105" t="str">
        <f t="shared" si="214"/>
        <v xml:space="preserve"> 14-700-   -</v>
      </c>
      <c r="H178" s="678"/>
      <c r="I178" s="675"/>
      <c r="J178" s="417"/>
      <c r="K178" s="418"/>
      <c r="L178" s="102"/>
      <c r="M178" s="422"/>
      <c r="N178" s="418"/>
      <c r="O178" s="93">
        <f t="shared" si="226"/>
        <v>0</v>
      </c>
      <c r="P178" s="94">
        <f t="shared" si="227"/>
        <v>0</v>
      </c>
      <c r="Q178" s="94">
        <f t="shared" si="228"/>
        <v>0</v>
      </c>
      <c r="R178" s="95">
        <f t="shared" si="229"/>
        <v>0</v>
      </c>
      <c r="S178" s="102"/>
      <c r="T178" s="857"/>
      <c r="U178" s="858"/>
      <c r="V178" s="97">
        <f t="shared" si="230"/>
        <v>0</v>
      </c>
      <c r="W178" s="97">
        <f t="shared" si="231"/>
        <v>0</v>
      </c>
      <c r="X178" s="98">
        <f t="shared" si="232"/>
        <v>0</v>
      </c>
      <c r="Y178" s="102"/>
      <c r="Z178" s="188"/>
      <c r="AA178" s="99">
        <f t="shared" si="233"/>
        <v>0</v>
      </c>
      <c r="AB178" s="100">
        <f t="shared" si="234"/>
        <v>0</v>
      </c>
      <c r="AC178" s="102"/>
      <c r="AD178" s="101">
        <f t="shared" si="235"/>
        <v>0</v>
      </c>
      <c r="AE178" s="102"/>
      <c r="AF178" s="101">
        <f t="shared" si="236"/>
        <v>0</v>
      </c>
      <c r="AG178" s="102"/>
      <c r="AH178" s="103">
        <f t="shared" si="237"/>
        <v>0</v>
      </c>
      <c r="AI178" s="725"/>
      <c r="AK178" s="148"/>
    </row>
    <row r="179" spans="1:38" s="192" customFormat="1" ht="13.5" hidden="1" customHeight="1" x14ac:dyDescent="0.25">
      <c r="A179" s="167">
        <v>4</v>
      </c>
      <c r="B179" s="686"/>
      <c r="C179" s="687"/>
      <c r="D179" s="452"/>
      <c r="E179" s="431"/>
      <c r="F179" s="692"/>
      <c r="G179" s="105" t="str">
        <f t="shared" si="214"/>
        <v/>
      </c>
      <c r="H179" s="678"/>
      <c r="I179" s="675"/>
      <c r="J179" s="425"/>
      <c r="K179" s="418"/>
      <c r="L179" s="102"/>
      <c r="M179" s="422"/>
      <c r="N179" s="418"/>
      <c r="O179" s="93">
        <f t="shared" si="226"/>
        <v>0</v>
      </c>
      <c r="P179" s="94">
        <f t="shared" si="227"/>
        <v>0</v>
      </c>
      <c r="Q179" s="94">
        <f t="shared" si="228"/>
        <v>0</v>
      </c>
      <c r="R179" s="95">
        <f t="shared" si="229"/>
        <v>0</v>
      </c>
      <c r="S179" s="102"/>
      <c r="T179" s="892"/>
      <c r="U179" s="893"/>
      <c r="V179" s="97">
        <f t="shared" si="230"/>
        <v>0</v>
      </c>
      <c r="W179" s="97">
        <f t="shared" si="231"/>
        <v>0</v>
      </c>
      <c r="X179" s="98">
        <f t="shared" si="232"/>
        <v>0</v>
      </c>
      <c r="Y179" s="102"/>
      <c r="Z179" s="188"/>
      <c r="AA179" s="99">
        <f t="shared" si="233"/>
        <v>0</v>
      </c>
      <c r="AB179" s="100">
        <f t="shared" si="234"/>
        <v>0</v>
      </c>
      <c r="AC179" s="102"/>
      <c r="AD179" s="101">
        <f t="shared" si="235"/>
        <v>0</v>
      </c>
      <c r="AE179" s="102"/>
      <c r="AF179" s="101">
        <f t="shared" si="236"/>
        <v>0</v>
      </c>
      <c r="AG179" s="102"/>
      <c r="AH179" s="103">
        <f t="shared" si="237"/>
        <v>0</v>
      </c>
      <c r="AI179" s="725"/>
      <c r="AK179" s="148"/>
    </row>
    <row r="180" spans="1:38" s="192" customFormat="1" ht="13.5" hidden="1" customHeight="1" x14ac:dyDescent="0.25">
      <c r="A180" s="167">
        <v>5</v>
      </c>
      <c r="B180" s="506"/>
      <c r="C180" s="505"/>
      <c r="D180" s="507"/>
      <c r="E180" s="431"/>
      <c r="F180" s="692"/>
      <c r="G180" s="105" t="str">
        <f t="shared" si="214"/>
        <v/>
      </c>
      <c r="H180" s="678"/>
      <c r="I180" s="675"/>
      <c r="J180" s="417"/>
      <c r="K180" s="418"/>
      <c r="L180" s="102"/>
      <c r="M180" s="422"/>
      <c r="N180" s="418"/>
      <c r="O180" s="86">
        <f t="shared" si="226"/>
        <v>0</v>
      </c>
      <c r="P180" s="94">
        <f t="shared" si="227"/>
        <v>0</v>
      </c>
      <c r="Q180" s="94">
        <f t="shared" si="228"/>
        <v>0</v>
      </c>
      <c r="R180" s="95">
        <f t="shared" si="229"/>
        <v>0</v>
      </c>
      <c r="S180" s="102"/>
      <c r="T180" s="864"/>
      <c r="U180" s="865"/>
      <c r="V180" s="97">
        <f t="shared" si="230"/>
        <v>0</v>
      </c>
      <c r="W180" s="97">
        <f t="shared" si="231"/>
        <v>0</v>
      </c>
      <c r="X180" s="98">
        <f t="shared" si="232"/>
        <v>0</v>
      </c>
      <c r="Y180" s="102"/>
      <c r="Z180" s="458"/>
      <c r="AA180" s="113">
        <f t="shared" si="233"/>
        <v>0</v>
      </c>
      <c r="AB180" s="100">
        <f t="shared" si="234"/>
        <v>0</v>
      </c>
      <c r="AC180" s="102"/>
      <c r="AD180" s="101">
        <f t="shared" si="235"/>
        <v>0</v>
      </c>
      <c r="AE180" s="102"/>
      <c r="AF180" s="101">
        <f t="shared" si="236"/>
        <v>0</v>
      </c>
      <c r="AG180" s="102"/>
      <c r="AH180" s="103">
        <f t="shared" si="237"/>
        <v>0</v>
      </c>
      <c r="AI180" s="725"/>
      <c r="AK180" s="148"/>
    </row>
    <row r="181" spans="1:38" s="192" customFormat="1" ht="13.5" hidden="1" customHeight="1" x14ac:dyDescent="0.25">
      <c r="A181" s="167">
        <v>6</v>
      </c>
      <c r="B181" s="686"/>
      <c r="C181" s="687"/>
      <c r="D181" s="452"/>
      <c r="E181" s="434"/>
      <c r="F181" s="692"/>
      <c r="G181" s="105" t="str">
        <f t="shared" si="214"/>
        <v/>
      </c>
      <c r="H181" s="678"/>
      <c r="I181" s="675"/>
      <c r="J181" s="440"/>
      <c r="K181" s="441"/>
      <c r="L181" s="102"/>
      <c r="M181" s="442"/>
      <c r="N181" s="441"/>
      <c r="O181" s="93">
        <f t="shared" si="215"/>
        <v>0</v>
      </c>
      <c r="P181" s="94">
        <f t="shared" si="216"/>
        <v>0</v>
      </c>
      <c r="Q181" s="94">
        <f t="shared" si="217"/>
        <v>0</v>
      </c>
      <c r="R181" s="95">
        <f t="shared" si="218"/>
        <v>0</v>
      </c>
      <c r="S181" s="102"/>
      <c r="T181" s="857"/>
      <c r="U181" s="858"/>
      <c r="V181" s="97">
        <f t="shared" si="230"/>
        <v>0</v>
      </c>
      <c r="W181" s="97">
        <f t="shared" si="219"/>
        <v>0</v>
      </c>
      <c r="X181" s="98">
        <f t="shared" si="220"/>
        <v>0</v>
      </c>
      <c r="Y181" s="102"/>
      <c r="Z181" s="189"/>
      <c r="AA181" s="99">
        <f t="shared" si="221"/>
        <v>0</v>
      </c>
      <c r="AB181" s="100">
        <f t="shared" si="222"/>
        <v>0</v>
      </c>
      <c r="AC181" s="102"/>
      <c r="AD181" s="101">
        <f t="shared" si="223"/>
        <v>0</v>
      </c>
      <c r="AE181" s="102"/>
      <c r="AF181" s="101">
        <f t="shared" si="224"/>
        <v>0</v>
      </c>
      <c r="AG181" s="102"/>
      <c r="AH181" s="103">
        <f t="shared" si="225"/>
        <v>0</v>
      </c>
      <c r="AI181" s="725"/>
      <c r="AK181" s="148"/>
    </row>
    <row r="182" spans="1:38" s="192" customFormat="1" ht="13.5" hidden="1" customHeight="1" x14ac:dyDescent="0.25">
      <c r="A182" s="167">
        <v>7</v>
      </c>
      <c r="B182" s="686"/>
      <c r="C182" s="687"/>
      <c r="D182" s="452"/>
      <c r="E182" s="431"/>
      <c r="F182" s="692"/>
      <c r="G182" s="105" t="str">
        <f t="shared" si="214"/>
        <v/>
      </c>
      <c r="H182" s="678"/>
      <c r="I182" s="675"/>
      <c r="J182" s="417"/>
      <c r="K182" s="418"/>
      <c r="L182" s="102"/>
      <c r="M182" s="422"/>
      <c r="N182" s="418"/>
      <c r="O182" s="93">
        <f t="shared" ref="O182" si="238">(N182+M182)</f>
        <v>0</v>
      </c>
      <c r="P182" s="94">
        <f t="shared" ref="P182" si="239">O182*$O$3</f>
        <v>0</v>
      </c>
      <c r="Q182" s="94">
        <f t="shared" ref="Q182" si="240">P182*$V$3</f>
        <v>0</v>
      </c>
      <c r="R182" s="95">
        <f t="shared" ref="R182" si="241">Q182+P182</f>
        <v>0</v>
      </c>
      <c r="S182" s="102"/>
      <c r="T182" s="857"/>
      <c r="U182" s="858"/>
      <c r="V182" s="97">
        <f t="shared" si="230"/>
        <v>0</v>
      </c>
      <c r="W182" s="97">
        <f t="shared" ref="W182" si="242">V182*$X$3</f>
        <v>0</v>
      </c>
      <c r="X182" s="98">
        <f t="shared" ref="X182" si="243">W182+V182</f>
        <v>0</v>
      </c>
      <c r="Y182" s="102"/>
      <c r="Z182" s="188"/>
      <c r="AA182" s="99">
        <f t="shared" ref="AA182" si="244">Z182*$V$4</f>
        <v>0</v>
      </c>
      <c r="AB182" s="100">
        <f t="shared" ref="AB182" si="245">AA182+Z182</f>
        <v>0</v>
      </c>
      <c r="AC182" s="102"/>
      <c r="AD182" s="101">
        <f t="shared" ref="AD182" si="246">Z182+V182+P182</f>
        <v>0</v>
      </c>
      <c r="AE182" s="102"/>
      <c r="AF182" s="101">
        <f t="shared" ref="AF182" si="247">W182+AA182+Q182</f>
        <v>0</v>
      </c>
      <c r="AG182" s="102"/>
      <c r="AH182" s="103">
        <f t="shared" ref="AH182" si="248">AF182+Z182+V182+P182</f>
        <v>0</v>
      </c>
      <c r="AI182" s="725"/>
      <c r="AK182" s="148"/>
    </row>
    <row r="183" spans="1:38" s="192" customFormat="1" ht="13.5" hidden="1" customHeight="1" x14ac:dyDescent="0.25">
      <c r="A183" s="167">
        <v>8</v>
      </c>
      <c r="B183" s="686"/>
      <c r="C183" s="687"/>
      <c r="D183" s="452"/>
      <c r="E183" s="431"/>
      <c r="F183" s="692"/>
      <c r="G183" s="105" t="str">
        <f t="shared" si="214"/>
        <v/>
      </c>
      <c r="H183" s="678"/>
      <c r="I183" s="675"/>
      <c r="J183" s="417"/>
      <c r="K183" s="418"/>
      <c r="L183" s="102"/>
      <c r="M183" s="422"/>
      <c r="N183" s="418"/>
      <c r="O183" s="93">
        <f t="shared" ref="O183" si="249">(N183+M183)</f>
        <v>0</v>
      </c>
      <c r="P183" s="94">
        <f t="shared" ref="P183" si="250">O183*$O$3</f>
        <v>0</v>
      </c>
      <c r="Q183" s="94">
        <f t="shared" ref="Q183" si="251">P183*$V$3</f>
        <v>0</v>
      </c>
      <c r="R183" s="95">
        <f t="shared" ref="R183" si="252">Q183+P183</f>
        <v>0</v>
      </c>
      <c r="S183" s="102"/>
      <c r="T183" s="857"/>
      <c r="U183" s="858"/>
      <c r="V183" s="97">
        <f t="shared" si="230"/>
        <v>0</v>
      </c>
      <c r="W183" s="97">
        <f t="shared" ref="W183" si="253">V183*$X$3</f>
        <v>0</v>
      </c>
      <c r="X183" s="98">
        <f t="shared" ref="X183" si="254">W183+V183</f>
        <v>0</v>
      </c>
      <c r="Y183" s="102"/>
      <c r="Z183" s="188"/>
      <c r="AA183" s="99">
        <f t="shared" ref="AA183" si="255">Z183*$V$4</f>
        <v>0</v>
      </c>
      <c r="AB183" s="100">
        <f t="shared" ref="AB183" si="256">AA183+Z183</f>
        <v>0</v>
      </c>
      <c r="AC183" s="102"/>
      <c r="AD183" s="101">
        <f t="shared" ref="AD183" si="257">Z183+V183+P183</f>
        <v>0</v>
      </c>
      <c r="AE183" s="102"/>
      <c r="AF183" s="101">
        <f t="shared" ref="AF183" si="258">W183+AA183+Q183</f>
        <v>0</v>
      </c>
      <c r="AG183" s="102"/>
      <c r="AH183" s="103">
        <f t="shared" ref="AH183" si="259">AF183+Z183+V183+P183</f>
        <v>0</v>
      </c>
      <c r="AI183" s="725"/>
      <c r="AK183" s="148"/>
    </row>
    <row r="184" spans="1:38" s="192" customFormat="1" ht="13.5" hidden="1" customHeight="1" x14ac:dyDescent="0.25">
      <c r="A184" s="167">
        <v>9</v>
      </c>
      <c r="B184" s="686"/>
      <c r="C184" s="687"/>
      <c r="D184" s="452"/>
      <c r="E184" s="431"/>
      <c r="F184" s="692"/>
      <c r="G184" s="105" t="str">
        <f t="shared" si="214"/>
        <v/>
      </c>
      <c r="H184" s="678"/>
      <c r="I184" s="675"/>
      <c r="J184" s="417"/>
      <c r="K184" s="418"/>
      <c r="L184" s="102"/>
      <c r="M184" s="422"/>
      <c r="N184" s="418"/>
      <c r="O184" s="93">
        <f t="shared" si="215"/>
        <v>0</v>
      </c>
      <c r="P184" s="94">
        <f t="shared" si="216"/>
        <v>0</v>
      </c>
      <c r="Q184" s="94">
        <f t="shared" si="217"/>
        <v>0</v>
      </c>
      <c r="R184" s="95">
        <f t="shared" si="218"/>
        <v>0</v>
      </c>
      <c r="S184" s="102"/>
      <c r="T184" s="857"/>
      <c r="U184" s="858"/>
      <c r="V184" s="97">
        <f t="shared" si="230"/>
        <v>0</v>
      </c>
      <c r="W184" s="97">
        <f t="shared" si="219"/>
        <v>0</v>
      </c>
      <c r="X184" s="98">
        <f t="shared" si="220"/>
        <v>0</v>
      </c>
      <c r="Y184" s="102"/>
      <c r="Z184" s="188"/>
      <c r="AA184" s="99">
        <f t="shared" si="221"/>
        <v>0</v>
      </c>
      <c r="AB184" s="100">
        <f t="shared" si="222"/>
        <v>0</v>
      </c>
      <c r="AC184" s="102"/>
      <c r="AD184" s="101">
        <f t="shared" si="223"/>
        <v>0</v>
      </c>
      <c r="AE184" s="102"/>
      <c r="AF184" s="101">
        <f t="shared" si="224"/>
        <v>0</v>
      </c>
      <c r="AG184" s="102"/>
      <c r="AH184" s="103">
        <f t="shared" si="225"/>
        <v>0</v>
      </c>
      <c r="AI184" s="725"/>
      <c r="AK184" s="148"/>
    </row>
    <row r="185" spans="1:38" s="192" customFormat="1" ht="13.5" customHeight="1" x14ac:dyDescent="0.25">
      <c r="A185" s="167">
        <v>10</v>
      </c>
      <c r="B185" s="683"/>
      <c r="C185" s="684"/>
      <c r="D185" s="477"/>
      <c r="E185" s="432"/>
      <c r="F185" s="769"/>
      <c r="G185" s="106" t="str">
        <f t="shared" si="214"/>
        <v/>
      </c>
      <c r="H185" s="678"/>
      <c r="I185" s="675"/>
      <c r="J185" s="426"/>
      <c r="K185" s="420"/>
      <c r="L185" s="102"/>
      <c r="M185" s="423"/>
      <c r="N185" s="420"/>
      <c r="O185" s="86">
        <f t="shared" si="215"/>
        <v>0</v>
      </c>
      <c r="P185" s="94">
        <f t="shared" si="216"/>
        <v>0</v>
      </c>
      <c r="Q185" s="94">
        <f t="shared" si="217"/>
        <v>0</v>
      </c>
      <c r="R185" s="95">
        <f t="shared" si="218"/>
        <v>0</v>
      </c>
      <c r="S185" s="102"/>
      <c r="T185" s="868"/>
      <c r="U185" s="869"/>
      <c r="V185" s="97">
        <f t="shared" si="230"/>
        <v>0</v>
      </c>
      <c r="W185" s="97">
        <f t="shared" si="219"/>
        <v>0</v>
      </c>
      <c r="X185" s="98">
        <f t="shared" si="220"/>
        <v>0</v>
      </c>
      <c r="Y185" s="102"/>
      <c r="Z185" s="191"/>
      <c r="AA185" s="99">
        <f t="shared" si="221"/>
        <v>0</v>
      </c>
      <c r="AB185" s="100">
        <f t="shared" si="222"/>
        <v>0</v>
      </c>
      <c r="AC185" s="102"/>
      <c r="AD185" s="67">
        <f t="shared" si="223"/>
        <v>0</v>
      </c>
      <c r="AE185" s="102"/>
      <c r="AF185" s="101">
        <f t="shared" si="224"/>
        <v>0</v>
      </c>
      <c r="AG185" s="102"/>
      <c r="AH185" s="103">
        <f t="shared" si="225"/>
        <v>0</v>
      </c>
      <c r="AI185" s="725"/>
      <c r="AK185" s="125">
        <f>SUM(AH176:AH185)</f>
        <v>3889.8374400000002</v>
      </c>
      <c r="AL185" s="753"/>
    </row>
    <row r="186" spans="1:38" s="192" customFormat="1" ht="3.95" customHeight="1" x14ac:dyDescent="0.25">
      <c r="A186" s="770"/>
      <c r="B186" s="102"/>
      <c r="C186" s="102"/>
      <c r="D186" s="102"/>
      <c r="E186" s="126"/>
      <c r="F186" s="102"/>
      <c r="G186" s="102"/>
      <c r="H186" s="675"/>
      <c r="I186" s="675"/>
      <c r="J186" s="771"/>
      <c r="K186" s="772"/>
      <c r="M186" s="772"/>
      <c r="N186" s="773"/>
      <c r="O186" s="80">
        <f t="shared" ref="O186:O209" si="260">(N186+M186)</f>
        <v>0</v>
      </c>
      <c r="P186" s="81">
        <f t="shared" ref="P186:P209" si="261">O186*$O$3</f>
        <v>0</v>
      </c>
      <c r="Q186" s="81">
        <f t="shared" ref="Q186:Q209" si="262">P186*$V$3</f>
        <v>0</v>
      </c>
      <c r="R186" s="81">
        <f t="shared" ref="R186:R209" si="263">Q186+P186</f>
        <v>0</v>
      </c>
      <c r="S186" s="102"/>
      <c r="T186" s="774"/>
      <c r="U186" s="775"/>
      <c r="V186" s="509">
        <f t="shared" ref="V186:V209" si="264">(T186+U186)*(1+$X$4)</f>
        <v>0</v>
      </c>
      <c r="W186" s="82">
        <f t="shared" ref="W186:W209" si="265">V186*$X$3</f>
        <v>0</v>
      </c>
      <c r="X186" s="82">
        <f t="shared" ref="X186:X209" si="266">W186+V186</f>
        <v>0</v>
      </c>
      <c r="Y186" s="102"/>
      <c r="Z186" s="776"/>
      <c r="AA186" s="83">
        <f t="shared" ref="AA186:AA209" si="267">Z186*$V$4</f>
        <v>0</v>
      </c>
      <c r="AB186" s="82">
        <f t="shared" ref="AB186:AB209" si="268">AA186+Z186</f>
        <v>0</v>
      </c>
      <c r="AC186" s="102"/>
      <c r="AD186" s="91">
        <f t="shared" ref="AD186:AD198" si="269">U186+Y186+O186</f>
        <v>0</v>
      </c>
      <c r="AE186" s="102"/>
      <c r="AF186" s="82">
        <f t="shared" ref="AF186:AF209" si="270">W186+AA186+Q186</f>
        <v>0</v>
      </c>
      <c r="AG186" s="84"/>
      <c r="AH186" s="85"/>
      <c r="AI186" s="725"/>
      <c r="AK186" s="148"/>
    </row>
    <row r="187" spans="1:38" s="192" customFormat="1" ht="13.5" customHeight="1" thickBot="1" x14ac:dyDescent="0.3">
      <c r="A187" s="704" t="s">
        <v>218</v>
      </c>
      <c r="B187" s="705"/>
      <c r="C187" s="705"/>
      <c r="D187" s="706" t="s">
        <v>141</v>
      </c>
      <c r="E187" s="705"/>
      <c r="F187" s="768"/>
      <c r="G187" s="742" t="s">
        <v>519</v>
      </c>
      <c r="H187" s="676"/>
      <c r="I187" s="677"/>
      <c r="J187" s="745" t="s">
        <v>7</v>
      </c>
      <c r="K187" s="746" t="s">
        <v>12</v>
      </c>
      <c r="L187" s="132"/>
      <c r="M187" s="747" t="s">
        <v>13</v>
      </c>
      <c r="N187" s="139" t="s">
        <v>14</v>
      </c>
      <c r="O187" s="139" t="s">
        <v>15</v>
      </c>
      <c r="P187" s="139" t="s">
        <v>16</v>
      </c>
      <c r="Q187" s="139" t="s">
        <v>9</v>
      </c>
      <c r="R187" s="140" t="s">
        <v>10</v>
      </c>
      <c r="S187" s="132"/>
      <c r="T187" s="855" t="s">
        <v>218</v>
      </c>
      <c r="U187" s="856"/>
      <c r="V187" s="136" t="s">
        <v>17</v>
      </c>
      <c r="W187" s="136" t="s">
        <v>9</v>
      </c>
      <c r="X187" s="137" t="s">
        <v>10</v>
      </c>
      <c r="Y187" s="749"/>
      <c r="Z187" s="750" t="s">
        <v>18</v>
      </c>
      <c r="AA187" s="130" t="s">
        <v>9</v>
      </c>
      <c r="AB187" s="131" t="s">
        <v>10</v>
      </c>
      <c r="AC187" s="132"/>
      <c r="AD187" s="133" t="s">
        <v>16</v>
      </c>
      <c r="AE187" s="132"/>
      <c r="AF187" s="133" t="s">
        <v>9</v>
      </c>
      <c r="AG187" s="132"/>
      <c r="AH187" s="135" t="s">
        <v>10</v>
      </c>
      <c r="AI187" s="725"/>
      <c r="AK187" s="148"/>
    </row>
    <row r="188" spans="1:38" s="192" customFormat="1" ht="13.5" customHeight="1" thickTop="1" x14ac:dyDescent="0.25">
      <c r="A188" s="169">
        <v>1</v>
      </c>
      <c r="B188" s="685"/>
      <c r="C188" s="688"/>
      <c r="D188" s="427" t="s">
        <v>708</v>
      </c>
      <c r="E188" s="428"/>
      <c r="F188" s="691"/>
      <c r="G188" s="104" t="str">
        <f>IF(D188="","",VLOOKUP(D188,$A$253:$E$262,2))</f>
        <v xml:space="preserve"> 16-960-   -</v>
      </c>
      <c r="H188" s="678"/>
      <c r="I188" s="675"/>
      <c r="J188" s="482">
        <v>0.02</v>
      </c>
      <c r="K188" s="416"/>
      <c r="L188" s="777"/>
      <c r="M188" s="421"/>
      <c r="N188" s="416"/>
      <c r="O188" s="93">
        <f t="shared" ref="O188:O195" si="271">(N188+M188)</f>
        <v>0</v>
      </c>
      <c r="P188" s="94">
        <f t="shared" ref="P188:P195" si="272">O188*$O$3</f>
        <v>0</v>
      </c>
      <c r="Q188" s="94">
        <f t="shared" ref="Q188:Q195" si="273">P188*$V$3</f>
        <v>0</v>
      </c>
      <c r="R188" s="95">
        <f t="shared" ref="R188:R195" si="274">Q188+P188</f>
        <v>0</v>
      </c>
      <c r="S188" s="102"/>
      <c r="T188" s="870">
        <f>SUM(P8:P17,P20:P69,P72:P121,P124:P173)*J188</f>
        <v>1683.0624</v>
      </c>
      <c r="U188" s="871"/>
      <c r="V188" s="97">
        <f t="shared" ref="V188:V195" si="275">(T188+U188)*(1+$X$4)</f>
        <v>1827.8057664000003</v>
      </c>
      <c r="W188" s="97">
        <f t="shared" ref="W188:W195" si="276">V188*$X$3</f>
        <v>365.5611532800001</v>
      </c>
      <c r="X188" s="98">
        <f t="shared" ref="X188:X195" si="277">W188+V188</f>
        <v>2193.3669196800001</v>
      </c>
      <c r="Y188" s="102"/>
      <c r="Z188" s="188"/>
      <c r="AA188" s="99">
        <f t="shared" ref="AA188:AA195" si="278">Z188*$V$4</f>
        <v>0</v>
      </c>
      <c r="AB188" s="100">
        <f t="shared" ref="AB188:AB195" si="279">AA188+Z188</f>
        <v>0</v>
      </c>
      <c r="AC188" s="102"/>
      <c r="AD188" s="101">
        <f t="shared" ref="AD188:AD195" si="280">Z188+V188+P188</f>
        <v>1827.8057664000003</v>
      </c>
      <c r="AE188" s="102"/>
      <c r="AF188" s="101">
        <f t="shared" ref="AF188:AF195" si="281">W188+AA188+Q188</f>
        <v>365.5611532800001</v>
      </c>
      <c r="AG188" s="102"/>
      <c r="AH188" s="103">
        <f t="shared" ref="AH188:AH195" si="282">AF188+Z188+V188+P188</f>
        <v>2193.3669196800001</v>
      </c>
      <c r="AI188" s="725"/>
      <c r="AK188" s="148"/>
    </row>
    <row r="189" spans="1:38" s="192" customFormat="1" ht="13.5" customHeight="1" x14ac:dyDescent="0.25">
      <c r="A189" s="167">
        <v>2</v>
      </c>
      <c r="B189" s="686"/>
      <c r="C189" s="687"/>
      <c r="D189" s="429" t="s">
        <v>535</v>
      </c>
      <c r="E189" s="430"/>
      <c r="F189" s="692"/>
      <c r="G189" s="105" t="str">
        <f t="shared" ref="G189:G191" si="283">IF(D189="","",VLOOKUP(D189,$A$254:$E$262,2))</f>
        <v xml:space="preserve"> 16-983-   -</v>
      </c>
      <c r="H189" s="678"/>
      <c r="I189" s="675"/>
      <c r="J189" s="483">
        <v>2E-3</v>
      </c>
      <c r="K189" s="418"/>
      <c r="L189" s="777"/>
      <c r="M189" s="422"/>
      <c r="N189" s="418"/>
      <c r="O189" s="93">
        <f t="shared" si="271"/>
        <v>0</v>
      </c>
      <c r="P189" s="94">
        <f t="shared" si="272"/>
        <v>0</v>
      </c>
      <c r="Q189" s="94">
        <f t="shared" si="273"/>
        <v>0</v>
      </c>
      <c r="R189" s="95">
        <f t="shared" si="274"/>
        <v>0</v>
      </c>
      <c r="S189" s="102"/>
      <c r="T189" s="866">
        <f>SUM(P8:P17,P20:P69,P72:P121,P124:P173)*J189</f>
        <v>168.30624</v>
      </c>
      <c r="U189" s="867"/>
      <c r="V189" s="97">
        <f t="shared" si="275"/>
        <v>182.78057664000002</v>
      </c>
      <c r="W189" s="97">
        <f t="shared" si="276"/>
        <v>36.556115328000004</v>
      </c>
      <c r="X189" s="98">
        <f t="shared" si="277"/>
        <v>219.33669196800003</v>
      </c>
      <c r="Y189" s="102"/>
      <c r="Z189" s="188"/>
      <c r="AA189" s="99">
        <f t="shared" si="278"/>
        <v>0</v>
      </c>
      <c r="AB189" s="100">
        <f t="shared" si="279"/>
        <v>0</v>
      </c>
      <c r="AC189" s="102"/>
      <c r="AD189" s="101">
        <f t="shared" si="280"/>
        <v>182.78057664000002</v>
      </c>
      <c r="AE189" s="102"/>
      <c r="AF189" s="101">
        <f t="shared" si="281"/>
        <v>36.556115328000004</v>
      </c>
      <c r="AG189" s="102"/>
      <c r="AH189" s="103">
        <f t="shared" si="282"/>
        <v>219.33669196800003</v>
      </c>
      <c r="AI189" s="725"/>
      <c r="AK189" s="148"/>
    </row>
    <row r="190" spans="1:38" s="192" customFormat="1" ht="13.5" customHeight="1" x14ac:dyDescent="0.25">
      <c r="A190" s="167">
        <v>3</v>
      </c>
      <c r="B190" s="686"/>
      <c r="C190" s="687"/>
      <c r="D190" s="429" t="s">
        <v>484</v>
      </c>
      <c r="E190" s="430"/>
      <c r="F190" s="692"/>
      <c r="G190" s="105" t="str">
        <f t="shared" si="283"/>
        <v xml:space="preserve"> 70-100-   -</v>
      </c>
      <c r="H190" s="678"/>
      <c r="I190" s="675"/>
      <c r="J190" s="484">
        <v>1E-3</v>
      </c>
      <c r="K190" s="418"/>
      <c r="L190" s="777"/>
      <c r="M190" s="422"/>
      <c r="N190" s="418"/>
      <c r="O190" s="93">
        <f t="shared" si="271"/>
        <v>0</v>
      </c>
      <c r="P190" s="94">
        <f t="shared" si="272"/>
        <v>0</v>
      </c>
      <c r="Q190" s="94">
        <f t="shared" si="273"/>
        <v>0</v>
      </c>
      <c r="R190" s="95">
        <f t="shared" si="274"/>
        <v>0</v>
      </c>
      <c r="S190" s="102"/>
      <c r="T190" s="866">
        <f>SUM(P8:P17,P20:P69,P72:P121,P124:P173)*J190</f>
        <v>84.153120000000001</v>
      </c>
      <c r="U190" s="867"/>
      <c r="V190" s="97">
        <f t="shared" si="275"/>
        <v>91.39028832000001</v>
      </c>
      <c r="W190" s="97">
        <f t="shared" si="276"/>
        <v>18.278057664000002</v>
      </c>
      <c r="X190" s="98">
        <f t="shared" si="277"/>
        <v>109.66834598400001</v>
      </c>
      <c r="Y190" s="102"/>
      <c r="Z190" s="188"/>
      <c r="AA190" s="99">
        <f t="shared" si="278"/>
        <v>0</v>
      </c>
      <c r="AB190" s="100">
        <f t="shared" si="279"/>
        <v>0</v>
      </c>
      <c r="AC190" s="102"/>
      <c r="AD190" s="101">
        <f t="shared" si="280"/>
        <v>91.39028832000001</v>
      </c>
      <c r="AE190" s="102"/>
      <c r="AF190" s="101">
        <f t="shared" si="281"/>
        <v>18.278057664000002</v>
      </c>
      <c r="AG190" s="102"/>
      <c r="AH190" s="103">
        <f t="shared" si="282"/>
        <v>109.66834598400001</v>
      </c>
      <c r="AI190" s="725"/>
      <c r="AK190" s="148"/>
    </row>
    <row r="191" spans="1:38" s="192" customFormat="1" ht="13.5" customHeight="1" x14ac:dyDescent="0.25">
      <c r="A191" s="167">
        <v>4</v>
      </c>
      <c r="B191" s="686"/>
      <c r="C191" s="687"/>
      <c r="D191" s="429" t="s">
        <v>486</v>
      </c>
      <c r="E191" s="430"/>
      <c r="F191" s="692"/>
      <c r="G191" s="105" t="str">
        <f t="shared" si="283"/>
        <v xml:space="preserve"> 70-101-   -</v>
      </c>
      <c r="H191" s="678"/>
      <c r="I191" s="675"/>
      <c r="J191" s="483">
        <v>1E-3</v>
      </c>
      <c r="K191" s="418"/>
      <c r="L191" s="777"/>
      <c r="M191" s="422"/>
      <c r="N191" s="418"/>
      <c r="O191" s="93">
        <f>(N191+M191)</f>
        <v>0</v>
      </c>
      <c r="P191" s="94">
        <f>O191*$O$3</f>
        <v>0</v>
      </c>
      <c r="Q191" s="94">
        <f>P191*$V$3</f>
        <v>0</v>
      </c>
      <c r="R191" s="95">
        <f>Q191+P191</f>
        <v>0</v>
      </c>
      <c r="S191" s="102"/>
      <c r="T191" s="866">
        <f>SUM(P8:P17,P20:P69,P72:P121,P124:P173)*J191</f>
        <v>84.153120000000001</v>
      </c>
      <c r="U191" s="867"/>
      <c r="V191" s="97">
        <f>(T191+U191)*(1+$X$4)</f>
        <v>91.39028832000001</v>
      </c>
      <c r="W191" s="97">
        <f>V191*$X$3</f>
        <v>18.278057664000002</v>
      </c>
      <c r="X191" s="98">
        <f>W191+V191</f>
        <v>109.66834598400001</v>
      </c>
      <c r="Y191" s="102"/>
      <c r="Z191" s="188"/>
      <c r="AA191" s="99">
        <f>Z191*$V$4</f>
        <v>0</v>
      </c>
      <c r="AB191" s="100">
        <f>AA191+Z191</f>
        <v>0</v>
      </c>
      <c r="AC191" s="102"/>
      <c r="AD191" s="101">
        <f>Z191+V191+P191</f>
        <v>91.39028832000001</v>
      </c>
      <c r="AE191" s="102"/>
      <c r="AF191" s="101">
        <f>W191+AA191+Q191</f>
        <v>18.278057664000002</v>
      </c>
      <c r="AG191" s="102"/>
      <c r="AH191" s="103">
        <f>AF191+Z191+V191+P191</f>
        <v>109.66834598400001</v>
      </c>
      <c r="AI191" s="725"/>
      <c r="AK191" s="148"/>
    </row>
    <row r="192" spans="1:38" s="192" customFormat="1" ht="13.5" customHeight="1" x14ac:dyDescent="0.25">
      <c r="A192" s="167">
        <v>5</v>
      </c>
      <c r="B192" s="686"/>
      <c r="C192" s="687"/>
      <c r="D192" s="452"/>
      <c r="E192" s="431"/>
      <c r="F192" s="692"/>
      <c r="G192" s="105" t="str">
        <f>IF(D192="","",VLOOKUP(D192,$A$253:$E$264,2))</f>
        <v/>
      </c>
      <c r="H192" s="678"/>
      <c r="I192" s="675"/>
      <c r="J192" s="484"/>
      <c r="K192" s="418"/>
      <c r="L192" s="777"/>
      <c r="M192" s="422"/>
      <c r="N192" s="418"/>
      <c r="O192" s="86">
        <f t="shared" ref="O192" si="284">(N192+M192)</f>
        <v>0</v>
      </c>
      <c r="P192" s="94">
        <f t="shared" ref="P192" si="285">O192*$O$3</f>
        <v>0</v>
      </c>
      <c r="Q192" s="94">
        <f t="shared" ref="Q192" si="286">P192*$V$3</f>
        <v>0</v>
      </c>
      <c r="R192" s="95">
        <f t="shared" ref="R192" si="287">Q192+P192</f>
        <v>0</v>
      </c>
      <c r="S192" s="102"/>
      <c r="T192" s="864"/>
      <c r="U192" s="865"/>
      <c r="V192" s="503">
        <f t="shared" ref="V192" si="288">(T192+U192)*(1+$X$4)</f>
        <v>0</v>
      </c>
      <c r="W192" s="97">
        <f t="shared" ref="W192" si="289">V192*$X$3</f>
        <v>0</v>
      </c>
      <c r="X192" s="98">
        <f t="shared" ref="X192" si="290">W192+V192</f>
        <v>0</v>
      </c>
      <c r="Y192" s="102"/>
      <c r="Z192" s="191"/>
      <c r="AA192" s="113">
        <f t="shared" ref="AA192" si="291">Z192*$V$4</f>
        <v>0</v>
      </c>
      <c r="AB192" s="100">
        <f t="shared" ref="AB192" si="292">AA192+Z192</f>
        <v>0</v>
      </c>
      <c r="AC192" s="102"/>
      <c r="AD192" s="101">
        <f t="shared" ref="AD192" si="293">Z192+V192+P192</f>
        <v>0</v>
      </c>
      <c r="AE192" s="102"/>
      <c r="AF192" s="101">
        <f t="shared" ref="AF192" si="294">W192+AA192+Q192</f>
        <v>0</v>
      </c>
      <c r="AG192" s="102"/>
      <c r="AH192" s="103">
        <f t="shared" ref="AH192" si="295">AF192+Z192+V192+P192</f>
        <v>0</v>
      </c>
      <c r="AI192" s="725"/>
      <c r="AK192" s="148"/>
    </row>
    <row r="193" spans="1:37" s="192" customFormat="1" ht="13.5" hidden="1" customHeight="1" x14ac:dyDescent="0.25">
      <c r="A193" s="167">
        <v>6</v>
      </c>
      <c r="B193" s="438"/>
      <c r="C193" s="439"/>
      <c r="D193" s="478"/>
      <c r="E193" s="434"/>
      <c r="F193" s="692"/>
      <c r="G193" s="105" t="str">
        <f t="shared" ref="G193:G197" si="296">IF(D193="","",VLOOKUP(D193,$A$253:$E$264,2))</f>
        <v/>
      </c>
      <c r="H193" s="678"/>
      <c r="I193" s="675"/>
      <c r="J193" s="485"/>
      <c r="K193" s="441"/>
      <c r="L193" s="777"/>
      <c r="M193" s="442"/>
      <c r="N193" s="441"/>
      <c r="O193" s="93">
        <f t="shared" ref="O193:O194" si="297">(N193+M193)</f>
        <v>0</v>
      </c>
      <c r="P193" s="94">
        <f t="shared" ref="P193:P194" si="298">O193*$O$3</f>
        <v>0</v>
      </c>
      <c r="Q193" s="94">
        <f t="shared" ref="Q193:Q194" si="299">P193*$V$3</f>
        <v>0</v>
      </c>
      <c r="R193" s="95">
        <f t="shared" ref="R193:R194" si="300">Q193+P193</f>
        <v>0</v>
      </c>
      <c r="S193" s="102"/>
      <c r="T193" s="857"/>
      <c r="U193" s="858"/>
      <c r="V193" s="97">
        <f t="shared" ref="V193:V194" si="301">(T193+U193)*(1+$X$4)</f>
        <v>0</v>
      </c>
      <c r="W193" s="97">
        <f t="shared" ref="W193:W194" si="302">V193*$X$3</f>
        <v>0</v>
      </c>
      <c r="X193" s="98">
        <f t="shared" ref="X193:X194" si="303">W193+V193</f>
        <v>0</v>
      </c>
      <c r="Y193" s="102"/>
      <c r="Z193" s="461"/>
      <c r="AA193" s="99">
        <f t="shared" ref="AA193:AA194" si="304">Z193*$V$4</f>
        <v>0</v>
      </c>
      <c r="AB193" s="100">
        <f t="shared" ref="AB193:AB194" si="305">AA193+Z193</f>
        <v>0</v>
      </c>
      <c r="AC193" s="102"/>
      <c r="AD193" s="101">
        <f t="shared" ref="AD193:AD194" si="306">Z193+V193+P193</f>
        <v>0</v>
      </c>
      <c r="AE193" s="102"/>
      <c r="AF193" s="101">
        <f t="shared" ref="AF193:AF194" si="307">W193+AA193+Q193</f>
        <v>0</v>
      </c>
      <c r="AG193" s="102"/>
      <c r="AH193" s="103">
        <f t="shared" ref="AH193:AH194" si="308">AF193+Z193+V193+P193</f>
        <v>0</v>
      </c>
      <c r="AI193" s="725"/>
      <c r="AK193" s="148"/>
    </row>
    <row r="194" spans="1:37" s="192" customFormat="1" ht="13.5" hidden="1" customHeight="1" x14ac:dyDescent="0.25">
      <c r="A194" s="167">
        <v>7</v>
      </c>
      <c r="B194" s="686"/>
      <c r="C194" s="687"/>
      <c r="D194" s="452"/>
      <c r="E194" s="431"/>
      <c r="F194" s="692"/>
      <c r="G194" s="105" t="str">
        <f t="shared" si="296"/>
        <v/>
      </c>
      <c r="H194" s="678"/>
      <c r="I194" s="675"/>
      <c r="J194" s="484"/>
      <c r="K194" s="418"/>
      <c r="L194" s="777"/>
      <c r="M194" s="422"/>
      <c r="N194" s="418"/>
      <c r="O194" s="93">
        <f t="shared" si="297"/>
        <v>0</v>
      </c>
      <c r="P194" s="94">
        <f t="shared" si="298"/>
        <v>0</v>
      </c>
      <c r="Q194" s="94">
        <f t="shared" si="299"/>
        <v>0</v>
      </c>
      <c r="R194" s="95">
        <f t="shared" si="300"/>
        <v>0</v>
      </c>
      <c r="S194" s="102"/>
      <c r="T194" s="864"/>
      <c r="U194" s="865"/>
      <c r="V194" s="97">
        <f t="shared" si="301"/>
        <v>0</v>
      </c>
      <c r="W194" s="97">
        <f t="shared" si="302"/>
        <v>0</v>
      </c>
      <c r="X194" s="98">
        <f t="shared" si="303"/>
        <v>0</v>
      </c>
      <c r="Y194" s="102"/>
      <c r="Z194" s="188"/>
      <c r="AA194" s="99">
        <f t="shared" si="304"/>
        <v>0</v>
      </c>
      <c r="AB194" s="100">
        <f t="shared" si="305"/>
        <v>0</v>
      </c>
      <c r="AC194" s="102"/>
      <c r="AD194" s="101">
        <f t="shared" si="306"/>
        <v>0</v>
      </c>
      <c r="AE194" s="102"/>
      <c r="AF194" s="101">
        <f t="shared" si="307"/>
        <v>0</v>
      </c>
      <c r="AG194" s="102"/>
      <c r="AH194" s="103">
        <f t="shared" si="308"/>
        <v>0</v>
      </c>
      <c r="AI194" s="725"/>
      <c r="AK194" s="148"/>
    </row>
    <row r="195" spans="1:37" s="192" customFormat="1" ht="13.5" hidden="1" customHeight="1" x14ac:dyDescent="0.25">
      <c r="A195" s="167">
        <v>8</v>
      </c>
      <c r="B195" s="686"/>
      <c r="C195" s="687"/>
      <c r="D195" s="452"/>
      <c r="E195" s="431"/>
      <c r="F195" s="692"/>
      <c r="G195" s="105" t="str">
        <f t="shared" si="296"/>
        <v/>
      </c>
      <c r="H195" s="678"/>
      <c r="I195" s="675"/>
      <c r="J195" s="484"/>
      <c r="K195" s="418"/>
      <c r="L195" s="777"/>
      <c r="M195" s="422"/>
      <c r="N195" s="418"/>
      <c r="O195" s="93">
        <f t="shared" si="271"/>
        <v>0</v>
      </c>
      <c r="P195" s="94">
        <f t="shared" si="272"/>
        <v>0</v>
      </c>
      <c r="Q195" s="94">
        <f t="shared" si="273"/>
        <v>0</v>
      </c>
      <c r="R195" s="95">
        <f t="shared" si="274"/>
        <v>0</v>
      </c>
      <c r="S195" s="102"/>
      <c r="T195" s="864"/>
      <c r="U195" s="865"/>
      <c r="V195" s="97">
        <f t="shared" si="275"/>
        <v>0</v>
      </c>
      <c r="W195" s="97">
        <f t="shared" si="276"/>
        <v>0</v>
      </c>
      <c r="X195" s="98">
        <f t="shared" si="277"/>
        <v>0</v>
      </c>
      <c r="Y195" s="102"/>
      <c r="Z195" s="188"/>
      <c r="AA195" s="99">
        <f t="shared" si="278"/>
        <v>0</v>
      </c>
      <c r="AB195" s="100">
        <f t="shared" si="279"/>
        <v>0</v>
      </c>
      <c r="AC195" s="102"/>
      <c r="AD195" s="101">
        <f t="shared" si="280"/>
        <v>0</v>
      </c>
      <c r="AE195" s="102"/>
      <c r="AF195" s="101">
        <f t="shared" si="281"/>
        <v>0</v>
      </c>
      <c r="AG195" s="102"/>
      <c r="AH195" s="103">
        <f t="shared" si="282"/>
        <v>0</v>
      </c>
      <c r="AI195" s="725"/>
      <c r="AK195" s="148"/>
    </row>
    <row r="196" spans="1:37" s="192" customFormat="1" ht="13.5" hidden="1" customHeight="1" x14ac:dyDescent="0.25">
      <c r="A196" s="167">
        <v>9</v>
      </c>
      <c r="B196" s="686"/>
      <c r="C196" s="687"/>
      <c r="D196" s="452"/>
      <c r="E196" s="431"/>
      <c r="F196" s="692"/>
      <c r="G196" s="105" t="str">
        <f t="shared" si="296"/>
        <v/>
      </c>
      <c r="H196" s="678"/>
      <c r="I196" s="675"/>
      <c r="J196" s="484"/>
      <c r="K196" s="418"/>
      <c r="L196" s="777"/>
      <c r="M196" s="422"/>
      <c r="N196" s="418"/>
      <c r="O196" s="93">
        <f t="shared" si="260"/>
        <v>0</v>
      </c>
      <c r="P196" s="94">
        <f t="shared" si="261"/>
        <v>0</v>
      </c>
      <c r="Q196" s="94">
        <f t="shared" si="262"/>
        <v>0</v>
      </c>
      <c r="R196" s="95">
        <f t="shared" si="263"/>
        <v>0</v>
      </c>
      <c r="S196" s="102"/>
      <c r="T196" s="857"/>
      <c r="U196" s="858"/>
      <c r="V196" s="97">
        <f t="shared" si="264"/>
        <v>0</v>
      </c>
      <c r="W196" s="97">
        <f t="shared" si="265"/>
        <v>0</v>
      </c>
      <c r="X196" s="98">
        <f t="shared" si="266"/>
        <v>0</v>
      </c>
      <c r="Y196" s="102"/>
      <c r="Z196" s="191"/>
      <c r="AA196" s="99">
        <f t="shared" si="267"/>
        <v>0</v>
      </c>
      <c r="AB196" s="100">
        <f t="shared" si="268"/>
        <v>0</v>
      </c>
      <c r="AC196" s="102"/>
      <c r="AD196" s="101">
        <f t="shared" ref="AD196:AD197" si="309">Z196+V196+P196</f>
        <v>0</v>
      </c>
      <c r="AE196" s="102"/>
      <c r="AF196" s="101">
        <f t="shared" si="270"/>
        <v>0</v>
      </c>
      <c r="AG196" s="102"/>
      <c r="AH196" s="103">
        <f t="shared" ref="AH196:AH209" si="310">AF196+Z196+V196+P196</f>
        <v>0</v>
      </c>
      <c r="AI196" s="725"/>
      <c r="AK196" s="148"/>
    </row>
    <row r="197" spans="1:37" s="192" customFormat="1" ht="13.5" customHeight="1" x14ac:dyDescent="0.25">
      <c r="A197" s="168">
        <v>10</v>
      </c>
      <c r="B197" s="683"/>
      <c r="C197" s="684"/>
      <c r="D197" s="477"/>
      <c r="E197" s="432"/>
      <c r="F197" s="769"/>
      <c r="G197" s="106" t="str">
        <f t="shared" si="296"/>
        <v/>
      </c>
      <c r="H197" s="678"/>
      <c r="I197" s="675"/>
      <c r="J197" s="486"/>
      <c r="K197" s="420"/>
      <c r="L197" s="777"/>
      <c r="M197" s="423"/>
      <c r="N197" s="420"/>
      <c r="O197" s="445">
        <f t="shared" si="260"/>
        <v>0</v>
      </c>
      <c r="P197" s="60">
        <f t="shared" si="261"/>
        <v>0</v>
      </c>
      <c r="Q197" s="60">
        <f t="shared" si="262"/>
        <v>0</v>
      </c>
      <c r="R197" s="61">
        <f t="shared" si="263"/>
        <v>0</v>
      </c>
      <c r="S197" s="102"/>
      <c r="T197" s="862"/>
      <c r="U197" s="863"/>
      <c r="V197" s="97">
        <f t="shared" si="264"/>
        <v>0</v>
      </c>
      <c r="W197" s="97">
        <f t="shared" si="265"/>
        <v>0</v>
      </c>
      <c r="X197" s="98">
        <f t="shared" si="266"/>
        <v>0</v>
      </c>
      <c r="Y197" s="102"/>
      <c r="Z197" s="504"/>
      <c r="AA197" s="99">
        <f t="shared" si="267"/>
        <v>0</v>
      </c>
      <c r="AB197" s="100">
        <f t="shared" si="268"/>
        <v>0</v>
      </c>
      <c r="AC197" s="102"/>
      <c r="AD197" s="67">
        <f t="shared" si="309"/>
        <v>0</v>
      </c>
      <c r="AE197" s="102"/>
      <c r="AF197" s="101">
        <f t="shared" si="270"/>
        <v>0</v>
      </c>
      <c r="AG197" s="102"/>
      <c r="AH197" s="103">
        <f t="shared" si="310"/>
        <v>0</v>
      </c>
      <c r="AI197" s="725"/>
      <c r="AK197" s="125">
        <f>SUM(AH188:AH197)</f>
        <v>2632.0403036160005</v>
      </c>
    </row>
    <row r="198" spans="1:37" s="192" customFormat="1" ht="3.95" customHeight="1" x14ac:dyDescent="0.25">
      <c r="A198" s="723"/>
      <c r="B198" s="102"/>
      <c r="C198" s="102"/>
      <c r="D198" s="102"/>
      <c r="E198" s="126"/>
      <c r="F198" s="102"/>
      <c r="G198" s="102"/>
      <c r="H198" s="675"/>
      <c r="I198" s="675"/>
      <c r="J198" s="778"/>
      <c r="K198" s="779"/>
      <c r="L198" s="102"/>
      <c r="M198" s="779"/>
      <c r="N198" s="779"/>
      <c r="O198" s="87"/>
      <c r="P198" s="88"/>
      <c r="Q198" s="88"/>
      <c r="R198" s="88"/>
      <c r="S198" s="102"/>
      <c r="T198" s="780"/>
      <c r="U198" s="781"/>
      <c r="V198" s="509">
        <f t="shared" si="264"/>
        <v>0</v>
      </c>
      <c r="W198" s="82">
        <f t="shared" si="265"/>
        <v>0</v>
      </c>
      <c r="X198" s="82">
        <f t="shared" si="266"/>
        <v>0</v>
      </c>
      <c r="Y198" s="102"/>
      <c r="Z198" s="780"/>
      <c r="AA198" s="89">
        <f t="shared" si="267"/>
        <v>0</v>
      </c>
      <c r="AB198" s="82">
        <f t="shared" si="268"/>
        <v>0</v>
      </c>
      <c r="AC198" s="102"/>
      <c r="AD198" s="91">
        <f t="shared" si="269"/>
        <v>0</v>
      </c>
      <c r="AE198" s="102"/>
      <c r="AF198" s="91">
        <f t="shared" si="270"/>
        <v>0</v>
      </c>
      <c r="AG198" s="84"/>
      <c r="AH198" s="446"/>
      <c r="AI198" s="725"/>
      <c r="AK198" s="148"/>
    </row>
    <row r="199" spans="1:37" s="192" customFormat="1" ht="15" customHeight="1" thickBot="1" x14ac:dyDescent="0.3">
      <c r="A199" s="704" t="s">
        <v>136</v>
      </c>
      <c r="B199" s="705"/>
      <c r="C199" s="705"/>
      <c r="D199" s="706" t="s">
        <v>141</v>
      </c>
      <c r="E199" s="705"/>
      <c r="F199" s="768"/>
      <c r="G199" s="742" t="s">
        <v>519</v>
      </c>
      <c r="H199" s="676"/>
      <c r="I199" s="677"/>
      <c r="J199" s="745" t="s">
        <v>7</v>
      </c>
      <c r="K199" s="746" t="s">
        <v>12</v>
      </c>
      <c r="L199" s="132"/>
      <c r="M199" s="747" t="s">
        <v>13</v>
      </c>
      <c r="N199" s="139" t="s">
        <v>14</v>
      </c>
      <c r="O199" s="139" t="s">
        <v>15</v>
      </c>
      <c r="P199" s="139" t="s">
        <v>16</v>
      </c>
      <c r="Q199" s="139" t="s">
        <v>9</v>
      </c>
      <c r="R199" s="140" t="s">
        <v>10</v>
      </c>
      <c r="S199" s="132"/>
      <c r="T199" s="748" t="s">
        <v>3</v>
      </c>
      <c r="U199" s="136" t="s">
        <v>562</v>
      </c>
      <c r="V199" s="136" t="s">
        <v>17</v>
      </c>
      <c r="W199" s="136" t="s">
        <v>9</v>
      </c>
      <c r="X199" s="137" t="s">
        <v>10</v>
      </c>
      <c r="Y199" s="749"/>
      <c r="Z199" s="750" t="s">
        <v>18</v>
      </c>
      <c r="AA199" s="130" t="s">
        <v>9</v>
      </c>
      <c r="AB199" s="131" t="s">
        <v>10</v>
      </c>
      <c r="AC199" s="132"/>
      <c r="AD199" s="133" t="s">
        <v>16</v>
      </c>
      <c r="AE199" s="134"/>
      <c r="AF199" s="133" t="s">
        <v>9</v>
      </c>
      <c r="AG199" s="447"/>
      <c r="AH199" s="135" t="s">
        <v>10</v>
      </c>
      <c r="AI199" s="725"/>
      <c r="AK199" s="148"/>
    </row>
    <row r="200" spans="1:37" s="192" customFormat="1" ht="15" customHeight="1" thickTop="1" x14ac:dyDescent="0.25">
      <c r="A200" s="169">
        <v>1</v>
      </c>
      <c r="B200" s="685"/>
      <c r="C200" s="688"/>
      <c r="D200" s="453" t="s">
        <v>38</v>
      </c>
      <c r="E200" s="433"/>
      <c r="F200" s="691"/>
      <c r="G200" s="104" t="str">
        <f t="shared" ref="G200:G209" si="311">IF(D200="","",VLOOKUP(D200,$A$228:$E$243,2))</f>
        <v xml:space="preserve"> 13-910-   -</v>
      </c>
      <c r="H200" s="678"/>
      <c r="I200" s="675"/>
      <c r="J200" s="414"/>
      <c r="K200" s="399"/>
      <c r="L200" s="777"/>
      <c r="M200" s="400"/>
      <c r="N200" s="401"/>
      <c r="O200" s="93">
        <f t="shared" si="260"/>
        <v>0</v>
      </c>
      <c r="P200" s="94">
        <f t="shared" si="261"/>
        <v>0</v>
      </c>
      <c r="Q200" s="94">
        <f t="shared" si="262"/>
        <v>0</v>
      </c>
      <c r="R200" s="95">
        <f t="shared" si="263"/>
        <v>0</v>
      </c>
      <c r="S200" s="102"/>
      <c r="T200" s="307"/>
      <c r="U200" s="359"/>
      <c r="V200" s="97">
        <f t="shared" si="264"/>
        <v>0</v>
      </c>
      <c r="W200" s="97">
        <f t="shared" si="265"/>
        <v>0</v>
      </c>
      <c r="X200" s="98">
        <f t="shared" si="266"/>
        <v>0</v>
      </c>
      <c r="Y200" s="102"/>
      <c r="Z200" s="188"/>
      <c r="AA200" s="99">
        <f t="shared" si="267"/>
        <v>0</v>
      </c>
      <c r="AB200" s="100">
        <f t="shared" si="268"/>
        <v>0</v>
      </c>
      <c r="AC200" s="102"/>
      <c r="AD200" s="101">
        <f t="shared" ref="AD200:AD209" si="312">Z200+V200+P200</f>
        <v>0</v>
      </c>
      <c r="AE200" s="102"/>
      <c r="AF200" s="101">
        <f t="shared" si="270"/>
        <v>0</v>
      </c>
      <c r="AG200" s="102"/>
      <c r="AH200" s="103">
        <f t="shared" si="310"/>
        <v>0</v>
      </c>
      <c r="AI200" s="725"/>
      <c r="AK200" s="148"/>
    </row>
    <row r="201" spans="1:37" s="192" customFormat="1" ht="15" customHeight="1" x14ac:dyDescent="0.25">
      <c r="A201" s="167">
        <v>2</v>
      </c>
      <c r="B201" s="686"/>
      <c r="C201" s="687"/>
      <c r="D201" s="452" t="s">
        <v>1016</v>
      </c>
      <c r="E201" s="431"/>
      <c r="F201" s="692"/>
      <c r="G201" s="105" t="str">
        <f t="shared" si="311"/>
        <v xml:space="preserve"> 13-925-   -</v>
      </c>
      <c r="H201" s="678"/>
      <c r="I201" s="675"/>
      <c r="J201" s="412"/>
      <c r="K201" s="406"/>
      <c r="L201" s="777"/>
      <c r="M201" s="402"/>
      <c r="N201" s="120"/>
      <c r="O201" s="93">
        <f t="shared" ref="O201:O204" si="313">(N201+M201)</f>
        <v>0</v>
      </c>
      <c r="P201" s="94">
        <f t="shared" ref="P201:P204" si="314">O201*$O$3</f>
        <v>0</v>
      </c>
      <c r="Q201" s="94">
        <f t="shared" ref="Q201:Q204" si="315">P201*$V$3</f>
        <v>0</v>
      </c>
      <c r="R201" s="95">
        <f t="shared" ref="R201:R204" si="316">Q201+P201</f>
        <v>0</v>
      </c>
      <c r="S201" s="102"/>
      <c r="T201" s="308"/>
      <c r="U201" s="360"/>
      <c r="V201" s="97">
        <f t="shared" ref="V201:V204" si="317">(T201+U201)*(1+$X$4)</f>
        <v>0</v>
      </c>
      <c r="W201" s="97">
        <f t="shared" ref="W201:W204" si="318">V201*$X$3</f>
        <v>0</v>
      </c>
      <c r="X201" s="98">
        <f t="shared" ref="X201:X204" si="319">W201+V201</f>
        <v>0</v>
      </c>
      <c r="Y201" s="102"/>
      <c r="Z201" s="188">
        <v>2000</v>
      </c>
      <c r="AA201" s="99">
        <f t="shared" ref="AA201:AA204" si="320">Z201*$V$4</f>
        <v>400</v>
      </c>
      <c r="AB201" s="100">
        <f t="shared" ref="AB201:AB204" si="321">AA201+Z201</f>
        <v>2400</v>
      </c>
      <c r="AC201" s="102"/>
      <c r="AD201" s="101">
        <f t="shared" ref="AD201:AD204" si="322">Z201+V201+P201</f>
        <v>2000</v>
      </c>
      <c r="AE201" s="102"/>
      <c r="AF201" s="101">
        <f t="shared" ref="AF201:AF204" si="323">W201+AA201+Q201</f>
        <v>400</v>
      </c>
      <c r="AG201" s="102"/>
      <c r="AH201" s="103">
        <f t="shared" ref="AH201:AH204" si="324">AF201+Z201+V201+P201</f>
        <v>2400</v>
      </c>
      <c r="AI201" s="725"/>
      <c r="AK201" s="148"/>
    </row>
    <row r="202" spans="1:37" s="192" customFormat="1" ht="15" customHeight="1" x14ac:dyDescent="0.25">
      <c r="A202" s="167">
        <v>3</v>
      </c>
      <c r="B202" s="686"/>
      <c r="C202" s="687"/>
      <c r="D202" s="452"/>
      <c r="E202" s="431"/>
      <c r="F202" s="692"/>
      <c r="G202" s="105" t="str">
        <f t="shared" si="311"/>
        <v/>
      </c>
      <c r="H202" s="678"/>
      <c r="I202" s="675"/>
      <c r="J202" s="412"/>
      <c r="K202" s="406"/>
      <c r="L202" s="777"/>
      <c r="M202" s="403"/>
      <c r="N202" s="405"/>
      <c r="O202" s="93">
        <f t="shared" si="313"/>
        <v>0</v>
      </c>
      <c r="P202" s="94">
        <f t="shared" si="314"/>
        <v>0</v>
      </c>
      <c r="Q202" s="94">
        <f t="shared" si="315"/>
        <v>0</v>
      </c>
      <c r="R202" s="95">
        <f t="shared" si="316"/>
        <v>0</v>
      </c>
      <c r="S202" s="102"/>
      <c r="T202" s="308"/>
      <c r="U202" s="359"/>
      <c r="V202" s="97">
        <f t="shared" si="317"/>
        <v>0</v>
      </c>
      <c r="W202" s="97">
        <f t="shared" si="318"/>
        <v>0</v>
      </c>
      <c r="X202" s="98">
        <f t="shared" si="319"/>
        <v>0</v>
      </c>
      <c r="Y202" s="102"/>
      <c r="Z202" s="188"/>
      <c r="AA202" s="99">
        <f t="shared" si="320"/>
        <v>0</v>
      </c>
      <c r="AB202" s="100">
        <f t="shared" si="321"/>
        <v>0</v>
      </c>
      <c r="AC202" s="102"/>
      <c r="AD202" s="101">
        <f t="shared" si="322"/>
        <v>0</v>
      </c>
      <c r="AE202" s="102"/>
      <c r="AF202" s="101">
        <f t="shared" si="323"/>
        <v>0</v>
      </c>
      <c r="AG202" s="102"/>
      <c r="AH202" s="103">
        <f t="shared" si="324"/>
        <v>0</v>
      </c>
      <c r="AI202" s="725"/>
      <c r="AK202" s="148"/>
    </row>
    <row r="203" spans="1:37" s="192" customFormat="1" ht="15" hidden="1" customHeight="1" x14ac:dyDescent="0.25">
      <c r="A203" s="167">
        <v>4</v>
      </c>
      <c r="B203" s="686"/>
      <c r="C203" s="687"/>
      <c r="D203" s="452"/>
      <c r="E203" s="431"/>
      <c r="F203" s="692"/>
      <c r="G203" s="105" t="str">
        <f t="shared" si="311"/>
        <v/>
      </c>
      <c r="H203" s="678"/>
      <c r="I203" s="675"/>
      <c r="J203" s="412"/>
      <c r="K203" s="406"/>
      <c r="L203" s="777"/>
      <c r="M203" s="404"/>
      <c r="N203" s="406"/>
      <c r="O203" s="93">
        <f t="shared" si="313"/>
        <v>0</v>
      </c>
      <c r="P203" s="94">
        <f t="shared" si="314"/>
        <v>0</v>
      </c>
      <c r="Q203" s="94">
        <f t="shared" si="315"/>
        <v>0</v>
      </c>
      <c r="R203" s="95">
        <f t="shared" si="316"/>
        <v>0</v>
      </c>
      <c r="S203" s="102"/>
      <c r="T203" s="308"/>
      <c r="U203" s="361"/>
      <c r="V203" s="97">
        <f t="shared" si="317"/>
        <v>0</v>
      </c>
      <c r="W203" s="97">
        <f t="shared" si="318"/>
        <v>0</v>
      </c>
      <c r="X203" s="98">
        <f t="shared" si="319"/>
        <v>0</v>
      </c>
      <c r="Y203" s="102"/>
      <c r="Z203" s="188"/>
      <c r="AA203" s="99">
        <f t="shared" si="320"/>
        <v>0</v>
      </c>
      <c r="AB203" s="100">
        <f t="shared" si="321"/>
        <v>0</v>
      </c>
      <c r="AC203" s="102"/>
      <c r="AD203" s="101">
        <f t="shared" si="322"/>
        <v>0</v>
      </c>
      <c r="AE203" s="102"/>
      <c r="AF203" s="101">
        <f t="shared" si="323"/>
        <v>0</v>
      </c>
      <c r="AG203" s="102"/>
      <c r="AH203" s="103">
        <f t="shared" si="324"/>
        <v>0</v>
      </c>
      <c r="AI203" s="725"/>
      <c r="AK203" s="148"/>
    </row>
    <row r="204" spans="1:37" s="192" customFormat="1" ht="15" hidden="1" customHeight="1" x14ac:dyDescent="0.25">
      <c r="A204" s="167">
        <v>5</v>
      </c>
      <c r="B204" s="686"/>
      <c r="C204" s="687"/>
      <c r="D204" s="452"/>
      <c r="E204" s="431"/>
      <c r="F204" s="692"/>
      <c r="G204" s="105" t="str">
        <f t="shared" si="311"/>
        <v/>
      </c>
      <c r="H204" s="678"/>
      <c r="I204" s="675"/>
      <c r="J204" s="659"/>
      <c r="K204" s="660"/>
      <c r="L204" s="782"/>
      <c r="M204" s="661"/>
      <c r="N204" s="660"/>
      <c r="O204" s="86">
        <f t="shared" si="313"/>
        <v>0</v>
      </c>
      <c r="P204" s="94">
        <f t="shared" si="314"/>
        <v>0</v>
      </c>
      <c r="Q204" s="94">
        <f t="shared" si="315"/>
        <v>0</v>
      </c>
      <c r="R204" s="95">
        <f t="shared" si="316"/>
        <v>0</v>
      </c>
      <c r="S204" s="102"/>
      <c r="T204" s="456"/>
      <c r="U204" s="662"/>
      <c r="V204" s="97">
        <f t="shared" si="317"/>
        <v>0</v>
      </c>
      <c r="W204" s="97">
        <f t="shared" si="318"/>
        <v>0</v>
      </c>
      <c r="X204" s="98">
        <f t="shared" si="319"/>
        <v>0</v>
      </c>
      <c r="Y204" s="102"/>
      <c r="Z204" s="191"/>
      <c r="AA204" s="113">
        <f t="shared" si="320"/>
        <v>0</v>
      </c>
      <c r="AB204" s="100">
        <f t="shared" si="321"/>
        <v>0</v>
      </c>
      <c r="AC204" s="102"/>
      <c r="AD204" s="101">
        <f t="shared" si="322"/>
        <v>0</v>
      </c>
      <c r="AE204" s="102"/>
      <c r="AF204" s="101">
        <f t="shared" si="323"/>
        <v>0</v>
      </c>
      <c r="AG204" s="102"/>
      <c r="AH204" s="103">
        <f t="shared" si="324"/>
        <v>0</v>
      </c>
      <c r="AI204" s="725"/>
      <c r="AK204" s="148"/>
    </row>
    <row r="205" spans="1:37" s="192" customFormat="1" ht="15" hidden="1" customHeight="1" x14ac:dyDescent="0.25">
      <c r="A205" s="167">
        <v>6</v>
      </c>
      <c r="B205" s="438"/>
      <c r="C205" s="439"/>
      <c r="D205" s="478"/>
      <c r="E205" s="434"/>
      <c r="F205" s="692"/>
      <c r="G205" s="105" t="str">
        <f t="shared" si="311"/>
        <v/>
      </c>
      <c r="H205" s="678"/>
      <c r="I205" s="675"/>
      <c r="J205" s="410"/>
      <c r="K205" s="443"/>
      <c r="L205" s="777"/>
      <c r="M205" s="402"/>
      <c r="N205" s="444"/>
      <c r="O205" s="93">
        <f t="shared" si="260"/>
        <v>0</v>
      </c>
      <c r="P205" s="94">
        <f t="shared" si="261"/>
        <v>0</v>
      </c>
      <c r="Q205" s="94">
        <f t="shared" si="262"/>
        <v>0</v>
      </c>
      <c r="R205" s="95">
        <f t="shared" si="263"/>
        <v>0</v>
      </c>
      <c r="S205" s="102"/>
      <c r="T205" s="309"/>
      <c r="U205" s="359"/>
      <c r="V205" s="97">
        <f t="shared" si="264"/>
        <v>0</v>
      </c>
      <c r="W205" s="97">
        <f t="shared" si="265"/>
        <v>0</v>
      </c>
      <c r="X205" s="98">
        <f t="shared" si="266"/>
        <v>0</v>
      </c>
      <c r="Y205" s="102"/>
      <c r="Z205" s="461"/>
      <c r="AA205" s="99">
        <f t="shared" si="267"/>
        <v>0</v>
      </c>
      <c r="AB205" s="100">
        <f t="shared" si="268"/>
        <v>0</v>
      </c>
      <c r="AC205" s="102"/>
      <c r="AD205" s="101">
        <f t="shared" si="312"/>
        <v>0</v>
      </c>
      <c r="AE205" s="102"/>
      <c r="AF205" s="101">
        <f t="shared" si="270"/>
        <v>0</v>
      </c>
      <c r="AG205" s="102"/>
      <c r="AH205" s="103">
        <f t="shared" si="310"/>
        <v>0</v>
      </c>
      <c r="AI205" s="725"/>
      <c r="AK205" s="148"/>
    </row>
    <row r="206" spans="1:37" s="192" customFormat="1" ht="15" hidden="1" customHeight="1" x14ac:dyDescent="0.25">
      <c r="A206" s="167">
        <v>7</v>
      </c>
      <c r="B206" s="686"/>
      <c r="C206" s="687"/>
      <c r="D206" s="452"/>
      <c r="E206" s="431"/>
      <c r="F206" s="692"/>
      <c r="G206" s="105" t="str">
        <f t="shared" si="311"/>
        <v/>
      </c>
      <c r="H206" s="678"/>
      <c r="I206" s="675"/>
      <c r="J206" s="410"/>
      <c r="K206" s="406"/>
      <c r="L206" s="777"/>
      <c r="M206" s="404"/>
      <c r="N206" s="405"/>
      <c r="O206" s="93">
        <f t="shared" ref="O206" si="325">(N206+M206)</f>
        <v>0</v>
      </c>
      <c r="P206" s="94">
        <f t="shared" ref="P206" si="326">O206*$O$3</f>
        <v>0</v>
      </c>
      <c r="Q206" s="94">
        <f t="shared" ref="Q206" si="327">P206*$V$3</f>
        <v>0</v>
      </c>
      <c r="R206" s="95">
        <f t="shared" ref="R206" si="328">Q206+P206</f>
        <v>0</v>
      </c>
      <c r="S206" s="102"/>
      <c r="T206" s="308"/>
      <c r="U206" s="397"/>
      <c r="V206" s="97">
        <f t="shared" ref="V206" si="329">(T206+U206)*(1+$X$4)</f>
        <v>0</v>
      </c>
      <c r="W206" s="97">
        <f t="shared" ref="W206" si="330">V206*$X$3</f>
        <v>0</v>
      </c>
      <c r="X206" s="98">
        <f t="shared" ref="X206" si="331">W206+V206</f>
        <v>0</v>
      </c>
      <c r="Y206" s="102"/>
      <c r="Z206" s="188"/>
      <c r="AA206" s="99">
        <f t="shared" ref="AA206" si="332">Z206*$V$4</f>
        <v>0</v>
      </c>
      <c r="AB206" s="100">
        <f t="shared" ref="AB206" si="333">AA206+Z206</f>
        <v>0</v>
      </c>
      <c r="AC206" s="102"/>
      <c r="AD206" s="101">
        <f t="shared" ref="AD206" si="334">Z206+V206+P206</f>
        <v>0</v>
      </c>
      <c r="AE206" s="102"/>
      <c r="AF206" s="101">
        <f t="shared" ref="AF206" si="335">W206+AA206+Q206</f>
        <v>0</v>
      </c>
      <c r="AG206" s="102"/>
      <c r="AH206" s="103">
        <f t="shared" ref="AH206" si="336">AF206+Z206+V206+P206</f>
        <v>0</v>
      </c>
      <c r="AI206" s="725"/>
      <c r="AK206" s="148"/>
    </row>
    <row r="207" spans="1:37" s="192" customFormat="1" ht="15" hidden="1" customHeight="1" x14ac:dyDescent="0.25">
      <c r="A207" s="167">
        <v>8</v>
      </c>
      <c r="B207" s="686"/>
      <c r="C207" s="687"/>
      <c r="D207" s="452"/>
      <c r="E207" s="431"/>
      <c r="F207" s="692"/>
      <c r="G207" s="105" t="str">
        <f t="shared" si="311"/>
        <v/>
      </c>
      <c r="H207" s="678"/>
      <c r="I207" s="675"/>
      <c r="J207" s="412"/>
      <c r="K207" s="413"/>
      <c r="L207" s="777"/>
      <c r="M207" s="404"/>
      <c r="N207" s="405"/>
      <c r="O207" s="93">
        <f t="shared" ref="O207" si="337">(N207+M207)</f>
        <v>0</v>
      </c>
      <c r="P207" s="94">
        <f t="shared" ref="P207" si="338">O207*$O$3</f>
        <v>0</v>
      </c>
      <c r="Q207" s="94">
        <f t="shared" ref="Q207" si="339">P207*$V$3</f>
        <v>0</v>
      </c>
      <c r="R207" s="95">
        <f t="shared" ref="R207" si="340">Q207+P207</f>
        <v>0</v>
      </c>
      <c r="S207" s="102"/>
      <c r="T207" s="308"/>
      <c r="U207" s="398"/>
      <c r="V207" s="97">
        <f t="shared" ref="V207" si="341">(T207+U207)*(1+$X$4)</f>
        <v>0</v>
      </c>
      <c r="W207" s="97">
        <f t="shared" ref="W207" si="342">V207*$X$3</f>
        <v>0</v>
      </c>
      <c r="X207" s="98">
        <f t="shared" ref="X207" si="343">W207+V207</f>
        <v>0</v>
      </c>
      <c r="Y207" s="102"/>
      <c r="Z207" s="188"/>
      <c r="AA207" s="99">
        <f t="shared" ref="AA207" si="344">Z207*$V$4</f>
        <v>0</v>
      </c>
      <c r="AB207" s="100">
        <f t="shared" ref="AB207" si="345">AA207+Z207</f>
        <v>0</v>
      </c>
      <c r="AC207" s="102"/>
      <c r="AD207" s="101">
        <f t="shared" ref="AD207" si="346">Z207+V207+P207</f>
        <v>0</v>
      </c>
      <c r="AE207" s="102"/>
      <c r="AF207" s="101">
        <f t="shared" ref="AF207" si="347">W207+AA207+Q207</f>
        <v>0</v>
      </c>
      <c r="AG207" s="102"/>
      <c r="AH207" s="103">
        <f t="shared" ref="AH207" si="348">AF207+Z207+V207+P207</f>
        <v>0</v>
      </c>
      <c r="AI207" s="725"/>
      <c r="AK207" s="148"/>
    </row>
    <row r="208" spans="1:37" s="192" customFormat="1" ht="15" hidden="1" customHeight="1" x14ac:dyDescent="0.25">
      <c r="A208" s="167">
        <v>9</v>
      </c>
      <c r="B208" s="686"/>
      <c r="C208" s="687"/>
      <c r="D208" s="452"/>
      <c r="E208" s="431"/>
      <c r="F208" s="692"/>
      <c r="G208" s="105" t="str">
        <f t="shared" si="311"/>
        <v/>
      </c>
      <c r="H208" s="678"/>
      <c r="I208" s="675"/>
      <c r="J208" s="410"/>
      <c r="K208" s="411"/>
      <c r="L208" s="777"/>
      <c r="M208" s="403"/>
      <c r="N208" s="405"/>
      <c r="O208" s="93">
        <f t="shared" si="260"/>
        <v>0</v>
      </c>
      <c r="P208" s="94">
        <f t="shared" si="261"/>
        <v>0</v>
      </c>
      <c r="Q208" s="94">
        <f t="shared" si="262"/>
        <v>0</v>
      </c>
      <c r="R208" s="95">
        <f t="shared" si="263"/>
        <v>0</v>
      </c>
      <c r="S208" s="102"/>
      <c r="T208" s="308"/>
      <c r="U208" s="359"/>
      <c r="V208" s="97">
        <f t="shared" si="264"/>
        <v>0</v>
      </c>
      <c r="W208" s="97">
        <f t="shared" si="265"/>
        <v>0</v>
      </c>
      <c r="X208" s="98">
        <f t="shared" si="266"/>
        <v>0</v>
      </c>
      <c r="Y208" s="102"/>
      <c r="Z208" s="188"/>
      <c r="AA208" s="99">
        <f t="shared" si="267"/>
        <v>0</v>
      </c>
      <c r="AB208" s="100">
        <f t="shared" si="268"/>
        <v>0</v>
      </c>
      <c r="AC208" s="102"/>
      <c r="AD208" s="101">
        <f t="shared" si="312"/>
        <v>0</v>
      </c>
      <c r="AE208" s="102"/>
      <c r="AF208" s="101">
        <f t="shared" si="270"/>
        <v>0</v>
      </c>
      <c r="AG208" s="102"/>
      <c r="AH208" s="103">
        <f t="shared" si="310"/>
        <v>0</v>
      </c>
      <c r="AI208" s="725"/>
      <c r="AK208" s="148"/>
    </row>
    <row r="209" spans="1:47" s="192" customFormat="1" ht="15" customHeight="1" x14ac:dyDescent="0.25">
      <c r="A209" s="168">
        <v>10</v>
      </c>
      <c r="B209" s="683"/>
      <c r="C209" s="684"/>
      <c r="D209" s="477"/>
      <c r="E209" s="432"/>
      <c r="F209" s="769"/>
      <c r="G209" s="106" t="str">
        <f t="shared" si="311"/>
        <v/>
      </c>
      <c r="H209" s="679"/>
      <c r="I209" s="680"/>
      <c r="J209" s="408"/>
      <c r="K209" s="409"/>
      <c r="L209" s="783"/>
      <c r="M209" s="788"/>
      <c r="N209" s="407"/>
      <c r="O209" s="59">
        <f t="shared" si="260"/>
        <v>0</v>
      </c>
      <c r="P209" s="60">
        <f t="shared" si="261"/>
        <v>0</v>
      </c>
      <c r="Q209" s="60">
        <f t="shared" si="262"/>
        <v>0</v>
      </c>
      <c r="R209" s="61">
        <f t="shared" si="263"/>
        <v>0</v>
      </c>
      <c r="S209" s="68"/>
      <c r="T209" s="310"/>
      <c r="U209" s="362"/>
      <c r="V209" s="63">
        <f t="shared" si="264"/>
        <v>0</v>
      </c>
      <c r="W209" s="63">
        <f t="shared" si="265"/>
        <v>0</v>
      </c>
      <c r="X209" s="64">
        <f t="shared" si="266"/>
        <v>0</v>
      </c>
      <c r="Y209" s="68"/>
      <c r="Z209" s="190"/>
      <c r="AA209" s="90">
        <f t="shared" si="267"/>
        <v>0</v>
      </c>
      <c r="AB209" s="66">
        <f t="shared" si="268"/>
        <v>0</v>
      </c>
      <c r="AC209" s="68"/>
      <c r="AD209" s="67">
        <f t="shared" si="312"/>
        <v>0</v>
      </c>
      <c r="AE209" s="68"/>
      <c r="AF209" s="67">
        <f t="shared" si="270"/>
        <v>0</v>
      </c>
      <c r="AG209" s="68"/>
      <c r="AH209" s="69">
        <f t="shared" si="310"/>
        <v>0</v>
      </c>
      <c r="AI209" s="725"/>
      <c r="AK209" s="125">
        <f>SUM(AH200:AH209)</f>
        <v>2400</v>
      </c>
    </row>
    <row r="210" spans="1:47" ht="4.5" customHeight="1" x14ac:dyDescent="0.3">
      <c r="E210" s="293"/>
      <c r="U210" s="295"/>
      <c r="AD210" s="141"/>
      <c r="AF210" s="141"/>
      <c r="AH210" s="142"/>
    </row>
    <row r="211" spans="1:47" x14ac:dyDescent="0.3">
      <c r="H211" s="784"/>
      <c r="I211" s="784"/>
      <c r="J211" s="785"/>
      <c r="M211" s="217">
        <f>SUM(M20:M209)</f>
        <v>872</v>
      </c>
      <c r="N211" s="21">
        <f>SUM(N8:N209)</f>
        <v>41.44</v>
      </c>
      <c r="O211" s="54">
        <f>SUM(O8:O209)</f>
        <v>913.44</v>
      </c>
      <c r="P211" s="22">
        <f>SUM(P8:P209)</f>
        <v>84153.12</v>
      </c>
      <c r="Q211" s="22">
        <f>SUM(Q8:Q209)</f>
        <v>16830.624</v>
      </c>
      <c r="R211" s="23">
        <f>SUM(R8:R209)</f>
        <v>100983.74400000001</v>
      </c>
      <c r="T211" s="185">
        <f>SUM(T20:T210)*(1+X4)</f>
        <v>54909.469802880005</v>
      </c>
      <c r="U211" s="185">
        <f>SUM(U20:U210)*(1+X4)</f>
        <v>0</v>
      </c>
      <c r="V211" s="26">
        <f>SUM(V8:V209)</f>
        <v>54630.698119679997</v>
      </c>
      <c r="W211" s="24">
        <f>SUM(W8:W209)</f>
        <v>10926.139623936</v>
      </c>
      <c r="X211" s="25">
        <f>SUM(X7:X209)</f>
        <v>65556.837743616008</v>
      </c>
      <c r="Y211" s="786"/>
      <c r="Z211" s="27">
        <f>SUM(Z7:Z209)</f>
        <v>27000</v>
      </c>
      <c r="AA211" s="27">
        <f>SUM(AA8:AA209)</f>
        <v>5400</v>
      </c>
      <c r="AB211" s="28">
        <f>SUM(AB8:AB209)</f>
        <v>32400</v>
      </c>
      <c r="AC211" s="143"/>
      <c r="AD211" s="29">
        <f>SUM(AD7:AD209)</f>
        <v>165783.81811967999</v>
      </c>
      <c r="AE211" s="143"/>
      <c r="AF211" s="29">
        <f>SUM(AF7:AF209)</f>
        <v>33156.763623936007</v>
      </c>
      <c r="AG211" s="35">
        <f>SUM(AG7:AG209)</f>
        <v>0</v>
      </c>
      <c r="AH211" s="32">
        <f>SUM(AH7:AH209)</f>
        <v>198940.58174361603</v>
      </c>
      <c r="AK211" s="5">
        <f>SUM(AK8:AK209)</f>
        <v>198940.581743616</v>
      </c>
      <c r="AL211" s="36" t="s">
        <v>10</v>
      </c>
    </row>
    <row r="212" spans="1:47" x14ac:dyDescent="0.3">
      <c r="O212" s="51" t="s">
        <v>41</v>
      </c>
      <c r="P212" s="51" t="s">
        <v>42</v>
      </c>
      <c r="Q212" s="51" t="s">
        <v>43</v>
      </c>
      <c r="R212" s="51" t="s">
        <v>44</v>
      </c>
      <c r="U212" s="786"/>
      <c r="AC212" s="144" t="s">
        <v>32</v>
      </c>
      <c r="AD212" s="177">
        <f>Z211+V211+P211</f>
        <v>165783.81811967999</v>
      </c>
      <c r="AE212" s="144" t="s">
        <v>32</v>
      </c>
      <c r="AF212" s="30">
        <f>AA211+W211+Q211</f>
        <v>33156.763623936</v>
      </c>
      <c r="AH212" s="33">
        <f>AB211+X211+R211</f>
        <v>198940.58174361603</v>
      </c>
      <c r="AK212" s="5">
        <f>AK211-AF211</f>
        <v>165783.81811967999</v>
      </c>
      <c r="AL212" s="36" t="s">
        <v>16</v>
      </c>
    </row>
    <row r="213" spans="1:47" x14ac:dyDescent="0.3">
      <c r="N213" s="53" t="s">
        <v>45</v>
      </c>
      <c r="O213" s="7">
        <v>42217</v>
      </c>
      <c r="P213" s="14">
        <v>42248</v>
      </c>
      <c r="Q213" s="16">
        <f>(P213-O213)/7*5</f>
        <v>22.142857142857146</v>
      </c>
      <c r="R213" s="20">
        <f>IF(Q213=0,"",M211/Q213/8)</f>
        <v>4.9225806451612897</v>
      </c>
      <c r="W213" s="51" t="s">
        <v>47</v>
      </c>
      <c r="X213" s="51" t="s">
        <v>48</v>
      </c>
      <c r="Y213" s="786"/>
      <c r="AB213" s="53" t="s">
        <v>68</v>
      </c>
      <c r="AC213" s="145"/>
      <c r="AD213" s="178"/>
      <c r="AE213" s="144"/>
      <c r="AF213" s="508">
        <v>0</v>
      </c>
      <c r="AH213" s="34">
        <f>AF213*AH211</f>
        <v>0</v>
      </c>
      <c r="AK213" s="149">
        <f>1-(AD211/AH211)</f>
        <v>0.16666666666666685</v>
      </c>
      <c r="AL213" s="36" t="s">
        <v>137</v>
      </c>
    </row>
    <row r="214" spans="1:47" x14ac:dyDescent="0.3">
      <c r="H214" s="787"/>
      <c r="I214" s="787"/>
      <c r="J214" s="785"/>
      <c r="N214" s="53" t="s">
        <v>46</v>
      </c>
      <c r="O214" s="8">
        <v>42156</v>
      </c>
      <c r="P214" s="15">
        <v>42186</v>
      </c>
      <c r="Q214" s="17">
        <f>(P214-O214)/7*5</f>
        <v>21.428571428571427</v>
      </c>
      <c r="R214" s="18">
        <f>IF(Q214=0,"",N211/Q214/8)</f>
        <v>0.24173333333333333</v>
      </c>
      <c r="W214" s="6">
        <v>200</v>
      </c>
      <c r="X214" s="19">
        <f>AH214/W214</f>
        <v>994.70290871808015</v>
      </c>
      <c r="AB214" s="44"/>
      <c r="AC214" s="146" t="s">
        <v>33</v>
      </c>
      <c r="AD214" s="118"/>
      <c r="AE214" s="146"/>
      <c r="AF214" s="118"/>
      <c r="AG214" s="147"/>
      <c r="AH214" s="31">
        <f>AH213+AH211</f>
        <v>198940.58174361603</v>
      </c>
    </row>
    <row r="215" spans="1:47" x14ac:dyDescent="0.3">
      <c r="AB215" s="145"/>
      <c r="AH215" s="5"/>
    </row>
    <row r="216" spans="1:47" x14ac:dyDescent="0.3">
      <c r="AH216" s="786"/>
    </row>
    <row r="218" spans="1:47" hidden="1" x14ac:dyDescent="0.3">
      <c r="A218" s="302" t="s">
        <v>165</v>
      </c>
      <c r="B218" s="161" t="s">
        <v>164</v>
      </c>
      <c r="C218" s="161"/>
      <c r="E218" s="51"/>
      <c r="F218" s="51"/>
      <c r="G218" s="51"/>
      <c r="H218" s="681"/>
      <c r="I218" s="681"/>
      <c r="J218" s="51"/>
      <c r="L218" s="51"/>
      <c r="N218" s="36"/>
      <c r="O218" s="36"/>
      <c r="P218" s="36"/>
      <c r="Q218" s="36"/>
      <c r="R218" s="36"/>
      <c r="S218" s="36"/>
      <c r="V218" s="5"/>
      <c r="X218" s="5"/>
      <c r="Z218" s="5"/>
      <c r="AB218" s="36"/>
      <c r="AC218" s="166"/>
      <c r="AD218" s="179"/>
      <c r="AE218" s="5"/>
      <c r="AF218" s="179"/>
      <c r="AG218" s="179"/>
      <c r="AH218" s="179"/>
      <c r="AI218" s="179"/>
      <c r="AK218" s="179"/>
      <c r="AP218" s="36"/>
      <c r="AQ218" s="36"/>
      <c r="AR218" s="36"/>
      <c r="AS218" s="36"/>
      <c r="AT218" s="36"/>
      <c r="AU218" s="36"/>
    </row>
    <row r="219" spans="1:47" hidden="1" x14ac:dyDescent="0.3">
      <c r="A219" s="302" t="s">
        <v>163</v>
      </c>
      <c r="B219" s="161" t="s">
        <v>162</v>
      </c>
      <c r="C219" s="161"/>
      <c r="E219" s="51"/>
      <c r="F219" s="51"/>
      <c r="G219" s="51"/>
      <c r="H219" s="681"/>
      <c r="I219" s="681"/>
      <c r="J219" s="51"/>
      <c r="L219" s="51"/>
      <c r="N219" s="36"/>
      <c r="O219" s="36"/>
      <c r="P219" s="36"/>
      <c r="Q219" s="36"/>
      <c r="R219" s="36"/>
      <c r="S219" s="36"/>
      <c r="V219" s="5"/>
      <c r="X219" s="5"/>
      <c r="Z219" s="5"/>
      <c r="AB219" s="36"/>
      <c r="AC219" s="166"/>
      <c r="AD219" s="179"/>
      <c r="AE219" s="5"/>
      <c r="AF219" s="179"/>
      <c r="AG219" s="179"/>
      <c r="AH219" s="179"/>
      <c r="AI219" s="179"/>
      <c r="AK219" s="179"/>
      <c r="AP219" s="36"/>
      <c r="AQ219" s="36"/>
      <c r="AR219" s="36"/>
      <c r="AS219" s="36"/>
      <c r="AT219" s="36"/>
      <c r="AU219" s="36"/>
    </row>
    <row r="220" spans="1:47" hidden="1" x14ac:dyDescent="0.3">
      <c r="A220" s="302" t="s">
        <v>149</v>
      </c>
      <c r="B220" s="161" t="s">
        <v>148</v>
      </c>
      <c r="C220" s="161"/>
      <c r="E220" s="51"/>
      <c r="F220" s="51"/>
      <c r="G220" s="51"/>
      <c r="H220" s="681"/>
      <c r="I220" s="681"/>
      <c r="J220" s="51"/>
      <c r="L220" s="51"/>
      <c r="N220" s="36"/>
      <c r="O220" s="36"/>
      <c r="P220" s="36"/>
      <c r="Q220" s="36"/>
      <c r="R220" s="36"/>
      <c r="S220" s="36"/>
      <c r="V220" s="5"/>
      <c r="X220" s="5"/>
      <c r="Z220" s="5"/>
      <c r="AB220" s="36"/>
      <c r="AC220" s="166"/>
      <c r="AD220" s="179"/>
      <c r="AE220" s="5"/>
      <c r="AF220" s="179"/>
      <c r="AG220" s="179"/>
      <c r="AH220" s="179"/>
      <c r="AI220" s="179"/>
      <c r="AK220" s="179"/>
      <c r="AP220" s="36"/>
      <c r="AQ220" s="36"/>
      <c r="AR220" s="36"/>
      <c r="AS220" s="36"/>
      <c r="AT220" s="36"/>
      <c r="AU220" s="36"/>
    </row>
    <row r="221" spans="1:47" hidden="1" x14ac:dyDescent="0.3">
      <c r="A221" s="302" t="s">
        <v>146</v>
      </c>
      <c r="B221" s="161" t="s">
        <v>145</v>
      </c>
      <c r="C221" s="161"/>
      <c r="E221" s="51"/>
      <c r="F221" s="51"/>
      <c r="G221" s="51"/>
      <c r="H221" s="681"/>
      <c r="I221" s="681"/>
      <c r="J221" s="51"/>
      <c r="L221" s="51"/>
      <c r="N221" s="36"/>
      <c r="O221" s="36"/>
      <c r="P221" s="36"/>
      <c r="Q221" s="36"/>
      <c r="R221" s="36"/>
      <c r="S221" s="36"/>
      <c r="V221" s="5"/>
      <c r="X221" s="5"/>
      <c r="Z221" s="5"/>
      <c r="AB221" s="36"/>
      <c r="AC221" s="166"/>
      <c r="AD221" s="179"/>
      <c r="AE221" s="5"/>
      <c r="AF221" s="179"/>
      <c r="AG221" s="179"/>
      <c r="AH221" s="179"/>
      <c r="AI221" s="179"/>
      <c r="AK221" s="179"/>
      <c r="AP221" s="36"/>
      <c r="AQ221" s="36"/>
      <c r="AR221" s="36"/>
      <c r="AS221" s="36"/>
      <c r="AT221" s="36"/>
      <c r="AU221" s="36"/>
    </row>
    <row r="222" spans="1:47" hidden="1" x14ac:dyDescent="0.3">
      <c r="A222" s="302" t="s">
        <v>157</v>
      </c>
      <c r="B222" s="161" t="s">
        <v>156</v>
      </c>
      <c r="C222" s="161"/>
      <c r="E222" s="51"/>
      <c r="F222" s="51"/>
      <c r="G222" s="51"/>
      <c r="H222" s="681"/>
      <c r="I222" s="681"/>
      <c r="J222" s="51"/>
      <c r="L222" s="51"/>
      <c r="N222" s="36"/>
      <c r="O222" s="36"/>
      <c r="P222" s="36"/>
      <c r="Q222" s="36"/>
      <c r="R222" s="36"/>
      <c r="S222" s="36"/>
      <c r="V222" s="5"/>
      <c r="X222" s="5"/>
      <c r="Z222" s="5"/>
      <c r="AB222" s="36"/>
      <c r="AC222" s="166"/>
      <c r="AD222" s="179"/>
      <c r="AE222" s="5"/>
      <c r="AF222" s="179"/>
      <c r="AG222" s="179"/>
      <c r="AH222" s="179"/>
      <c r="AI222" s="179"/>
      <c r="AK222" s="179"/>
      <c r="AP222" s="36"/>
      <c r="AQ222" s="36"/>
      <c r="AR222" s="36"/>
      <c r="AS222" s="36"/>
      <c r="AT222" s="36"/>
      <c r="AU222" s="36"/>
    </row>
    <row r="223" spans="1:47" hidden="1" x14ac:dyDescent="0.3">
      <c r="A223" s="302" t="s">
        <v>155</v>
      </c>
      <c r="B223" s="161" t="s">
        <v>154</v>
      </c>
      <c r="C223" s="161"/>
      <c r="E223" s="51"/>
      <c r="F223" s="51"/>
      <c r="G223" s="51"/>
      <c r="H223" s="681"/>
      <c r="I223" s="681"/>
      <c r="J223" s="51"/>
      <c r="L223" s="51"/>
      <c r="N223" s="36"/>
      <c r="O223" s="36"/>
      <c r="P223" s="36"/>
      <c r="Q223" s="36"/>
      <c r="R223" s="36"/>
      <c r="S223" s="36"/>
      <c r="V223" s="5"/>
      <c r="X223" s="5"/>
      <c r="Z223" s="5"/>
      <c r="AB223" s="36"/>
      <c r="AC223" s="166"/>
      <c r="AD223" s="179"/>
      <c r="AE223" s="5"/>
      <c r="AF223" s="179"/>
      <c r="AG223" s="179"/>
      <c r="AH223" s="179"/>
      <c r="AI223" s="179"/>
      <c r="AK223" s="179"/>
      <c r="AP223" s="36"/>
      <c r="AQ223" s="36"/>
      <c r="AR223" s="36"/>
      <c r="AS223" s="36"/>
      <c r="AT223" s="36"/>
      <c r="AU223" s="36"/>
    </row>
    <row r="224" spans="1:47" hidden="1" x14ac:dyDescent="0.3">
      <c r="A224" s="302" t="s">
        <v>153</v>
      </c>
      <c r="B224" s="161" t="s">
        <v>152</v>
      </c>
      <c r="C224" s="161"/>
      <c r="E224" s="51"/>
      <c r="F224" s="51"/>
      <c r="G224" s="51"/>
      <c r="H224" s="681"/>
      <c r="I224" s="681"/>
      <c r="J224" s="51"/>
      <c r="L224" s="51"/>
      <c r="N224" s="36"/>
      <c r="O224" s="36"/>
      <c r="P224" s="36"/>
      <c r="Q224" s="36"/>
      <c r="R224" s="36"/>
      <c r="S224" s="36"/>
      <c r="V224" s="5"/>
      <c r="X224" s="5"/>
      <c r="Z224" s="5"/>
      <c r="AB224" s="36"/>
      <c r="AC224" s="166"/>
      <c r="AD224" s="179"/>
      <c r="AE224" s="5"/>
      <c r="AF224" s="179"/>
      <c r="AG224" s="179"/>
      <c r="AH224" s="179"/>
      <c r="AI224" s="179"/>
      <c r="AK224" s="179"/>
      <c r="AP224" s="36"/>
      <c r="AQ224" s="36"/>
      <c r="AR224" s="36"/>
      <c r="AS224" s="36"/>
      <c r="AT224" s="36"/>
      <c r="AU224" s="36"/>
    </row>
    <row r="225" spans="1:47" hidden="1" x14ac:dyDescent="0.3">
      <c r="A225" s="302" t="s">
        <v>151</v>
      </c>
      <c r="B225" s="161" t="s">
        <v>150</v>
      </c>
      <c r="C225" s="161"/>
      <c r="E225" s="51"/>
      <c r="F225" s="51"/>
      <c r="G225" s="51"/>
      <c r="H225" s="681"/>
      <c r="I225" s="681"/>
      <c r="J225" s="51"/>
      <c r="L225" s="51"/>
      <c r="N225" s="36"/>
      <c r="O225" s="36"/>
      <c r="P225" s="36"/>
      <c r="Q225" s="36"/>
      <c r="R225" s="36"/>
      <c r="S225" s="36"/>
      <c r="V225" s="5"/>
      <c r="X225" s="5"/>
      <c r="Z225" s="5"/>
      <c r="AB225" s="36"/>
      <c r="AC225" s="166"/>
      <c r="AD225" s="179"/>
      <c r="AE225" s="5"/>
      <c r="AF225" s="179"/>
      <c r="AG225" s="179"/>
      <c r="AH225" s="179"/>
      <c r="AI225" s="179"/>
      <c r="AK225" s="179"/>
      <c r="AP225" s="36"/>
      <c r="AQ225" s="36"/>
      <c r="AR225" s="36"/>
      <c r="AS225" s="36"/>
      <c r="AT225" s="36"/>
      <c r="AU225" s="36"/>
    </row>
    <row r="226" spans="1:47" hidden="1" x14ac:dyDescent="0.3">
      <c r="A226" s="302" t="s">
        <v>161</v>
      </c>
      <c r="B226" s="161" t="s">
        <v>160</v>
      </c>
      <c r="C226" s="161"/>
      <c r="E226" s="51"/>
      <c r="F226" s="51"/>
      <c r="G226" s="51"/>
      <c r="H226" s="681"/>
      <c r="I226" s="681"/>
      <c r="J226" s="51"/>
      <c r="L226" s="51"/>
      <c r="N226" s="36"/>
      <c r="O226" s="36"/>
      <c r="P226" s="36"/>
      <c r="Q226" s="36"/>
      <c r="R226" s="36"/>
      <c r="S226" s="36"/>
      <c r="V226" s="5"/>
      <c r="X226" s="5"/>
      <c r="Z226" s="5"/>
      <c r="AB226" s="36"/>
      <c r="AC226" s="166"/>
      <c r="AD226" s="179"/>
      <c r="AE226" s="5"/>
      <c r="AF226" s="179"/>
      <c r="AG226" s="179"/>
      <c r="AH226" s="179"/>
      <c r="AI226" s="179"/>
      <c r="AK226" s="179"/>
      <c r="AP226" s="36"/>
      <c r="AQ226" s="36"/>
      <c r="AR226" s="36"/>
      <c r="AS226" s="36"/>
      <c r="AT226" s="36"/>
      <c r="AU226" s="36"/>
    </row>
    <row r="227" spans="1:47" hidden="1" x14ac:dyDescent="0.3">
      <c r="A227" s="302" t="s">
        <v>159</v>
      </c>
      <c r="B227" s="161" t="s">
        <v>158</v>
      </c>
      <c r="C227" s="161"/>
      <c r="E227" s="51"/>
      <c r="F227" s="51"/>
      <c r="G227" s="51"/>
      <c r="H227" s="681"/>
      <c r="I227" s="681"/>
      <c r="J227" s="51"/>
      <c r="L227" s="51"/>
      <c r="N227" s="36"/>
      <c r="O227" s="36"/>
      <c r="P227" s="36"/>
      <c r="Q227" s="36"/>
      <c r="R227" s="36"/>
      <c r="S227" s="36"/>
      <c r="V227" s="5"/>
      <c r="X227" s="5"/>
      <c r="Z227" s="5"/>
      <c r="AB227" s="36"/>
      <c r="AC227" s="166"/>
      <c r="AD227" s="179"/>
      <c r="AE227" s="5"/>
      <c r="AF227" s="179"/>
      <c r="AG227" s="179"/>
      <c r="AH227" s="179"/>
      <c r="AI227" s="179"/>
      <c r="AK227" s="179"/>
      <c r="AP227" s="36"/>
      <c r="AQ227" s="36"/>
      <c r="AR227" s="36"/>
      <c r="AS227" s="36"/>
      <c r="AT227" s="36"/>
      <c r="AU227" s="36"/>
    </row>
    <row r="228" spans="1:47" hidden="1" x14ac:dyDescent="0.3">
      <c r="A228" s="303" t="s">
        <v>542</v>
      </c>
      <c r="B228" s="162" t="s">
        <v>170</v>
      </c>
      <c r="C228" s="162"/>
      <c r="E228" s="51"/>
      <c r="F228" s="51"/>
      <c r="G228" s="51"/>
      <c r="H228" s="681"/>
      <c r="I228" s="681"/>
      <c r="J228" s="51"/>
      <c r="L228" s="51"/>
      <c r="N228" s="36"/>
      <c r="O228" s="36"/>
      <c r="P228" s="36"/>
      <c r="Q228" s="36"/>
      <c r="R228" s="36"/>
      <c r="S228" s="36"/>
      <c r="V228" s="5"/>
      <c r="X228" s="5"/>
      <c r="Z228" s="5"/>
      <c r="AB228" s="36"/>
      <c r="AC228" s="166"/>
      <c r="AD228" s="179"/>
      <c r="AE228" s="5"/>
      <c r="AF228" s="179"/>
      <c r="AG228" s="179"/>
      <c r="AH228" s="179"/>
      <c r="AI228" s="179"/>
      <c r="AK228" s="179"/>
      <c r="AP228" s="36"/>
      <c r="AQ228" s="36"/>
      <c r="AR228" s="36"/>
      <c r="AS228" s="36"/>
      <c r="AT228" s="36"/>
      <c r="AU228" s="36"/>
    </row>
    <row r="229" spans="1:47" hidden="1" x14ac:dyDescent="0.3">
      <c r="A229" s="303" t="s">
        <v>541</v>
      </c>
      <c r="B229" s="162" t="s">
        <v>168</v>
      </c>
      <c r="C229" s="162"/>
      <c r="E229" s="51"/>
      <c r="F229" s="51"/>
      <c r="G229" s="51"/>
      <c r="H229" s="681"/>
      <c r="I229" s="681"/>
      <c r="J229" s="51"/>
      <c r="L229" s="51"/>
      <c r="N229" s="36"/>
      <c r="O229" s="36"/>
      <c r="P229" s="36"/>
      <c r="Q229" s="36"/>
      <c r="R229" s="36"/>
      <c r="S229" s="36"/>
      <c r="V229" s="5"/>
      <c r="X229" s="5"/>
      <c r="Z229" s="5"/>
      <c r="AB229" s="36"/>
      <c r="AC229" s="166"/>
      <c r="AD229" s="179"/>
      <c r="AE229" s="5"/>
      <c r="AF229" s="179"/>
      <c r="AG229" s="179"/>
      <c r="AH229" s="179"/>
      <c r="AI229" s="179"/>
      <c r="AK229" s="179"/>
      <c r="AP229" s="36"/>
      <c r="AQ229" s="36"/>
      <c r="AR229" s="36"/>
      <c r="AS229" s="36"/>
      <c r="AT229" s="36"/>
      <c r="AU229" s="36"/>
    </row>
    <row r="230" spans="1:47" hidden="1" x14ac:dyDescent="0.3">
      <c r="A230" s="303" t="s">
        <v>1016</v>
      </c>
      <c r="B230" s="162" t="s">
        <v>1015</v>
      </c>
      <c r="C230" s="162"/>
      <c r="E230" s="51"/>
      <c r="F230" s="51"/>
      <c r="G230" s="51"/>
      <c r="H230" s="681"/>
      <c r="I230" s="681"/>
      <c r="J230" s="51"/>
      <c r="L230" s="51"/>
      <c r="N230" s="36"/>
      <c r="O230" s="36"/>
      <c r="P230" s="36"/>
      <c r="Q230" s="36"/>
      <c r="R230" s="36"/>
      <c r="S230" s="36"/>
      <c r="V230" s="5"/>
      <c r="X230" s="5"/>
      <c r="Z230" s="5"/>
      <c r="AB230" s="36"/>
      <c r="AC230" s="166"/>
      <c r="AD230" s="179"/>
      <c r="AE230" s="5"/>
      <c r="AF230" s="179"/>
      <c r="AG230" s="179"/>
      <c r="AH230" s="179"/>
      <c r="AI230" s="179"/>
      <c r="AK230" s="179"/>
      <c r="AP230" s="36"/>
      <c r="AQ230" s="36"/>
      <c r="AR230" s="36"/>
      <c r="AS230" s="36"/>
      <c r="AT230" s="36"/>
      <c r="AU230" s="36"/>
    </row>
    <row r="231" spans="1:47" hidden="1" x14ac:dyDescent="0.3">
      <c r="A231" s="303" t="s">
        <v>528</v>
      </c>
      <c r="B231" s="162" t="s">
        <v>180</v>
      </c>
      <c r="C231" s="162"/>
      <c r="E231" s="51"/>
      <c r="F231" s="51"/>
      <c r="G231" s="51"/>
      <c r="H231" s="681"/>
      <c r="I231" s="681"/>
      <c r="J231" s="51"/>
      <c r="L231" s="51"/>
      <c r="N231" s="36"/>
      <c r="O231" s="36"/>
      <c r="P231" s="36"/>
      <c r="Q231" s="36"/>
      <c r="R231" s="36"/>
      <c r="S231" s="36"/>
      <c r="V231" s="5"/>
      <c r="X231" s="5"/>
      <c r="Z231" s="5"/>
      <c r="AB231" s="36"/>
      <c r="AC231" s="166"/>
      <c r="AD231" s="179"/>
      <c r="AE231" s="5"/>
      <c r="AF231" s="179"/>
      <c r="AG231" s="179"/>
      <c r="AH231" s="179"/>
      <c r="AI231" s="179"/>
      <c r="AK231" s="179"/>
      <c r="AP231" s="36"/>
      <c r="AQ231" s="36"/>
      <c r="AR231" s="36"/>
      <c r="AS231" s="36"/>
      <c r="AT231" s="36"/>
      <c r="AU231" s="36"/>
    </row>
    <row r="232" spans="1:47" hidden="1" x14ac:dyDescent="0.3">
      <c r="A232" s="303" t="s">
        <v>549</v>
      </c>
      <c r="B232" s="162" t="s">
        <v>188</v>
      </c>
      <c r="C232" s="162"/>
      <c r="E232" s="51"/>
      <c r="F232" s="51"/>
      <c r="G232" s="51"/>
      <c r="H232" s="681"/>
      <c r="I232" s="681"/>
      <c r="J232" s="51"/>
      <c r="L232" s="51"/>
      <c r="N232" s="36"/>
      <c r="O232" s="36"/>
      <c r="P232" s="36"/>
      <c r="Q232" s="36"/>
      <c r="R232" s="36"/>
      <c r="S232" s="36"/>
      <c r="V232" s="5"/>
      <c r="X232" s="5"/>
      <c r="Z232" s="5"/>
      <c r="AB232" s="36"/>
      <c r="AC232" s="166"/>
      <c r="AD232" s="179"/>
      <c r="AE232" s="5"/>
      <c r="AF232" s="179"/>
      <c r="AG232" s="179"/>
      <c r="AH232" s="179"/>
      <c r="AI232" s="179"/>
      <c r="AK232" s="179"/>
      <c r="AP232" s="36"/>
      <c r="AQ232" s="36"/>
      <c r="AR232" s="36"/>
      <c r="AS232" s="36"/>
      <c r="AT232" s="36"/>
      <c r="AU232" s="36"/>
    </row>
    <row r="233" spans="1:47" hidden="1" x14ac:dyDescent="0.3">
      <c r="A233" s="303" t="s">
        <v>546</v>
      </c>
      <c r="B233" s="162" t="s">
        <v>182</v>
      </c>
      <c r="C233" s="162"/>
      <c r="E233" s="51"/>
      <c r="F233" s="51"/>
      <c r="G233" s="51"/>
      <c r="H233" s="681"/>
      <c r="I233" s="681"/>
      <c r="J233" s="51"/>
      <c r="L233" s="51"/>
      <c r="N233" s="36"/>
      <c r="O233" s="36"/>
      <c r="P233" s="36"/>
      <c r="Q233" s="36"/>
      <c r="R233" s="36"/>
      <c r="S233" s="36"/>
      <c r="V233" s="5"/>
      <c r="X233" s="5"/>
      <c r="Z233" s="5"/>
      <c r="AB233" s="36"/>
      <c r="AC233" s="166"/>
      <c r="AD233" s="179"/>
      <c r="AE233" s="5"/>
      <c r="AF233" s="179"/>
      <c r="AG233" s="179"/>
      <c r="AH233" s="179"/>
      <c r="AI233" s="179"/>
      <c r="AK233" s="179"/>
      <c r="AP233" s="36"/>
      <c r="AQ233" s="36"/>
      <c r="AR233" s="36"/>
      <c r="AS233" s="36"/>
      <c r="AT233" s="36"/>
      <c r="AU233" s="36"/>
    </row>
    <row r="234" spans="1:47" hidden="1" x14ac:dyDescent="0.3">
      <c r="A234" s="303" t="s">
        <v>550</v>
      </c>
      <c r="B234" s="162" t="s">
        <v>190</v>
      </c>
      <c r="C234" s="162"/>
      <c r="E234" s="51"/>
      <c r="F234" s="51"/>
      <c r="G234" s="51"/>
      <c r="H234" s="681"/>
      <c r="I234" s="681"/>
      <c r="J234" s="51"/>
      <c r="L234" s="51"/>
      <c r="N234" s="36"/>
      <c r="O234" s="36"/>
      <c r="P234" s="36"/>
      <c r="Q234" s="36"/>
      <c r="R234" s="36"/>
      <c r="S234" s="36"/>
      <c r="V234" s="5"/>
      <c r="X234" s="5"/>
      <c r="Z234" s="5"/>
      <c r="AB234" s="36"/>
      <c r="AC234" s="166"/>
      <c r="AD234" s="179"/>
      <c r="AE234" s="5"/>
      <c r="AF234" s="179"/>
      <c r="AG234" s="179"/>
      <c r="AH234" s="179"/>
      <c r="AI234" s="179"/>
      <c r="AK234" s="179"/>
      <c r="AP234" s="36"/>
      <c r="AQ234" s="36"/>
      <c r="AR234" s="36"/>
      <c r="AS234" s="36"/>
      <c r="AT234" s="36"/>
      <c r="AU234" s="36"/>
    </row>
    <row r="235" spans="1:47" hidden="1" x14ac:dyDescent="0.3">
      <c r="A235" s="303" t="s">
        <v>139</v>
      </c>
      <c r="B235" s="162" t="s">
        <v>172</v>
      </c>
      <c r="C235" s="162"/>
      <c r="E235" s="51"/>
      <c r="F235" s="51"/>
      <c r="G235" s="51"/>
      <c r="H235" s="681"/>
      <c r="I235" s="681"/>
      <c r="J235" s="51"/>
      <c r="L235" s="51"/>
      <c r="N235" s="36"/>
      <c r="O235" s="36"/>
      <c r="P235" s="36"/>
      <c r="Q235" s="36"/>
      <c r="R235" s="36"/>
      <c r="S235" s="36"/>
      <c r="V235" s="5"/>
      <c r="X235" s="5"/>
      <c r="Z235" s="5"/>
      <c r="AB235" s="36"/>
      <c r="AC235" s="166"/>
      <c r="AD235" s="179"/>
      <c r="AE235" s="5"/>
      <c r="AF235" s="179"/>
      <c r="AG235" s="179"/>
      <c r="AH235" s="179"/>
      <c r="AI235" s="179"/>
      <c r="AK235" s="179"/>
      <c r="AP235" s="36"/>
      <c r="AQ235" s="36"/>
      <c r="AR235" s="36"/>
      <c r="AS235" s="36"/>
      <c r="AT235" s="36"/>
      <c r="AU235" s="36"/>
    </row>
    <row r="236" spans="1:47" hidden="1" x14ac:dyDescent="0.3">
      <c r="A236" s="303" t="s">
        <v>548</v>
      </c>
      <c r="B236" s="162" t="s">
        <v>186</v>
      </c>
      <c r="C236" s="162"/>
      <c r="E236" s="51"/>
      <c r="F236" s="51"/>
      <c r="G236" s="51"/>
      <c r="H236" s="681"/>
      <c r="I236" s="681"/>
      <c r="J236" s="51"/>
      <c r="L236" s="51"/>
      <c r="N236" s="36"/>
      <c r="O236" s="36"/>
      <c r="P236" s="36"/>
      <c r="Q236" s="36"/>
      <c r="R236" s="36"/>
      <c r="S236" s="36"/>
      <c r="V236" s="5"/>
      <c r="X236" s="5"/>
      <c r="Z236" s="5"/>
      <c r="AB236" s="36"/>
      <c r="AC236" s="166"/>
      <c r="AD236" s="179"/>
      <c r="AE236" s="5"/>
      <c r="AF236" s="179"/>
      <c r="AG236" s="179"/>
      <c r="AH236" s="179"/>
      <c r="AI236" s="179"/>
      <c r="AK236" s="179"/>
      <c r="AP236" s="36"/>
      <c r="AQ236" s="36"/>
      <c r="AR236" s="36"/>
      <c r="AS236" s="36"/>
      <c r="AT236" s="36"/>
      <c r="AU236" s="36"/>
    </row>
    <row r="237" spans="1:47" hidden="1" x14ac:dyDescent="0.3">
      <c r="A237" s="303" t="s">
        <v>544</v>
      </c>
      <c r="B237" s="162" t="s">
        <v>176</v>
      </c>
      <c r="C237" s="162"/>
      <c r="E237" s="51"/>
      <c r="F237" s="51"/>
      <c r="G237" s="51"/>
      <c r="H237" s="681"/>
      <c r="I237" s="681"/>
      <c r="J237" s="51"/>
      <c r="L237" s="51"/>
      <c r="N237" s="36"/>
      <c r="O237" s="36"/>
      <c r="P237" s="36"/>
      <c r="Q237" s="36"/>
      <c r="R237" s="36"/>
      <c r="S237" s="36"/>
      <c r="V237" s="5"/>
      <c r="X237" s="5"/>
      <c r="Z237" s="5"/>
      <c r="AB237" s="36"/>
      <c r="AC237" s="166"/>
      <c r="AD237" s="179"/>
      <c r="AE237" s="5"/>
      <c r="AF237" s="179"/>
      <c r="AG237" s="179"/>
      <c r="AH237" s="179"/>
      <c r="AI237" s="179"/>
      <c r="AK237" s="179"/>
      <c r="AP237" s="36"/>
      <c r="AQ237" s="36"/>
      <c r="AR237" s="36"/>
      <c r="AS237" s="36"/>
      <c r="AT237" s="36"/>
      <c r="AU237" s="36"/>
    </row>
    <row r="238" spans="1:47" hidden="1" x14ac:dyDescent="0.3">
      <c r="A238" s="303" t="s">
        <v>551</v>
      </c>
      <c r="B238" s="162" t="s">
        <v>192</v>
      </c>
      <c r="C238" s="162"/>
      <c r="E238" s="51"/>
      <c r="F238" s="51"/>
      <c r="G238" s="51"/>
      <c r="H238" s="681"/>
      <c r="I238" s="681"/>
      <c r="J238" s="51"/>
      <c r="L238" s="51"/>
      <c r="N238" s="36"/>
      <c r="O238" s="36"/>
      <c r="P238" s="36"/>
      <c r="Q238" s="36"/>
      <c r="R238" s="36"/>
      <c r="S238" s="36"/>
      <c r="V238" s="5"/>
      <c r="X238" s="5"/>
      <c r="Z238" s="5"/>
      <c r="AB238" s="36"/>
      <c r="AC238" s="166"/>
      <c r="AD238" s="179"/>
      <c r="AE238" s="5"/>
      <c r="AF238" s="179"/>
      <c r="AG238" s="179"/>
      <c r="AH238" s="179"/>
      <c r="AI238" s="179"/>
      <c r="AK238" s="179"/>
      <c r="AP238" s="36"/>
      <c r="AQ238" s="36"/>
      <c r="AR238" s="36"/>
      <c r="AS238" s="36"/>
      <c r="AT238" s="36"/>
      <c r="AU238" s="36"/>
    </row>
    <row r="239" spans="1:47" hidden="1" x14ac:dyDescent="0.3">
      <c r="A239" s="303" t="s">
        <v>543</v>
      </c>
      <c r="B239" s="162" t="s">
        <v>174</v>
      </c>
      <c r="C239" s="162"/>
      <c r="E239" s="51"/>
      <c r="F239" s="51"/>
      <c r="G239" s="51"/>
      <c r="H239" s="681"/>
      <c r="I239" s="681"/>
      <c r="J239" s="51"/>
      <c r="L239" s="51"/>
      <c r="N239" s="36"/>
      <c r="O239" s="36"/>
      <c r="P239" s="36"/>
      <c r="Q239" s="36"/>
      <c r="R239" s="36"/>
      <c r="S239" s="36"/>
      <c r="V239" s="5"/>
      <c r="X239" s="5"/>
      <c r="Z239" s="5"/>
      <c r="AB239" s="36"/>
      <c r="AC239" s="166"/>
      <c r="AD239" s="179"/>
      <c r="AE239" s="5"/>
      <c r="AF239" s="179"/>
      <c r="AG239" s="179"/>
      <c r="AH239" s="179"/>
      <c r="AI239" s="179"/>
      <c r="AK239" s="179"/>
      <c r="AP239" s="36"/>
      <c r="AQ239" s="36"/>
      <c r="AR239" s="36"/>
      <c r="AS239" s="36"/>
      <c r="AT239" s="36"/>
      <c r="AU239" s="36"/>
    </row>
    <row r="240" spans="1:47" hidden="1" x14ac:dyDescent="0.3">
      <c r="A240" s="303" t="s">
        <v>38</v>
      </c>
      <c r="B240" s="162" t="s">
        <v>166</v>
      </c>
      <c r="C240" s="162"/>
      <c r="E240" s="51"/>
      <c r="F240" s="51"/>
      <c r="G240" s="51"/>
      <c r="H240" s="681"/>
      <c r="I240" s="681"/>
      <c r="J240" s="51"/>
      <c r="L240" s="51"/>
      <c r="N240" s="36"/>
      <c r="O240" s="36"/>
      <c r="P240" s="36"/>
      <c r="Q240" s="36"/>
      <c r="R240" s="36"/>
      <c r="S240" s="36"/>
      <c r="V240" s="5"/>
      <c r="X240" s="5"/>
      <c r="Z240" s="5"/>
      <c r="AB240" s="36"/>
      <c r="AC240" s="166"/>
      <c r="AD240" s="179"/>
      <c r="AE240" s="5"/>
      <c r="AF240" s="179"/>
      <c r="AG240" s="179"/>
      <c r="AH240" s="179"/>
      <c r="AI240" s="179"/>
      <c r="AK240" s="179"/>
      <c r="AP240" s="36"/>
      <c r="AQ240" s="36"/>
      <c r="AR240" s="36"/>
      <c r="AS240" s="36"/>
      <c r="AT240" s="36"/>
      <c r="AU240" s="36"/>
    </row>
    <row r="241" spans="1:47" hidden="1" x14ac:dyDescent="0.3">
      <c r="A241" s="303" t="s">
        <v>533</v>
      </c>
      <c r="B241" s="162" t="s">
        <v>194</v>
      </c>
      <c r="C241" s="162"/>
      <c r="E241" s="51"/>
      <c r="F241" s="51"/>
      <c r="G241" s="51"/>
      <c r="H241" s="681"/>
      <c r="I241" s="681"/>
      <c r="J241" s="51"/>
      <c r="L241" s="51"/>
      <c r="N241" s="36"/>
      <c r="O241" s="36"/>
      <c r="P241" s="36"/>
      <c r="Q241" s="36"/>
      <c r="R241" s="36"/>
      <c r="S241" s="36"/>
      <c r="V241" s="5"/>
      <c r="X241" s="5"/>
      <c r="Z241" s="5"/>
      <c r="AB241" s="36"/>
      <c r="AC241" s="166"/>
      <c r="AD241" s="179"/>
      <c r="AE241" s="5"/>
      <c r="AF241" s="179"/>
      <c r="AG241" s="179"/>
      <c r="AH241" s="179"/>
      <c r="AI241" s="179"/>
      <c r="AK241" s="179"/>
      <c r="AP241" s="36"/>
      <c r="AQ241" s="36"/>
      <c r="AR241" s="36"/>
      <c r="AS241" s="36"/>
      <c r="AT241" s="36"/>
      <c r="AU241" s="36"/>
    </row>
    <row r="242" spans="1:47" hidden="1" x14ac:dyDescent="0.3">
      <c r="A242" s="303" t="s">
        <v>547</v>
      </c>
      <c r="B242" s="162" t="s">
        <v>184</v>
      </c>
      <c r="C242" s="162"/>
      <c r="E242" s="51"/>
      <c r="F242" s="51"/>
      <c r="G242" s="51"/>
      <c r="H242" s="681"/>
      <c r="I242" s="681"/>
      <c r="J242" s="51"/>
      <c r="L242" s="51"/>
      <c r="N242" s="36"/>
      <c r="O242" s="36"/>
      <c r="P242" s="36"/>
      <c r="Q242" s="36"/>
      <c r="R242" s="36"/>
      <c r="S242" s="36"/>
      <c r="V242" s="5"/>
      <c r="X242" s="5"/>
      <c r="Z242" s="5"/>
      <c r="AB242" s="36"/>
      <c r="AC242" s="166"/>
      <c r="AD242" s="179"/>
      <c r="AE242" s="5"/>
      <c r="AF242" s="179"/>
      <c r="AG242" s="179"/>
      <c r="AH242" s="179"/>
      <c r="AI242" s="179"/>
      <c r="AK242" s="179"/>
      <c r="AP242" s="36"/>
      <c r="AQ242" s="36"/>
      <c r="AR242" s="36"/>
      <c r="AS242" s="36"/>
      <c r="AT242" s="36"/>
      <c r="AU242" s="36"/>
    </row>
    <row r="243" spans="1:47" hidden="1" x14ac:dyDescent="0.3">
      <c r="A243" s="303" t="s">
        <v>545</v>
      </c>
      <c r="B243" s="162" t="s">
        <v>178</v>
      </c>
      <c r="C243" s="162"/>
      <c r="E243" s="51"/>
      <c r="F243" s="51"/>
      <c r="G243" s="51"/>
      <c r="H243" s="681"/>
      <c r="I243" s="681"/>
      <c r="J243" s="51"/>
      <c r="L243" s="51"/>
      <c r="N243" s="36"/>
      <c r="O243" s="36"/>
      <c r="P243" s="36"/>
      <c r="Q243" s="36"/>
      <c r="R243" s="36"/>
      <c r="S243" s="36"/>
      <c r="V243" s="5"/>
      <c r="X243" s="5"/>
      <c r="Z243" s="5"/>
      <c r="AB243" s="36"/>
      <c r="AC243" s="166"/>
      <c r="AD243" s="179"/>
      <c r="AE243" s="5"/>
      <c r="AF243" s="179"/>
      <c r="AG243" s="179"/>
      <c r="AH243" s="179"/>
      <c r="AI243" s="179"/>
      <c r="AK243" s="179"/>
      <c r="AP243" s="36"/>
      <c r="AQ243" s="36"/>
      <c r="AR243" s="36"/>
      <c r="AS243" s="36"/>
      <c r="AT243" s="36"/>
      <c r="AU243" s="36"/>
    </row>
    <row r="244" spans="1:47" hidden="1" x14ac:dyDescent="0.3">
      <c r="A244" s="304" t="s">
        <v>529</v>
      </c>
      <c r="B244" s="163" t="s">
        <v>196</v>
      </c>
      <c r="C244" s="163"/>
      <c r="E244" s="51"/>
      <c r="F244" s="51"/>
      <c r="G244" s="51"/>
      <c r="H244" s="681"/>
      <c r="I244" s="681"/>
      <c r="J244" s="51"/>
      <c r="L244" s="51"/>
      <c r="N244" s="36"/>
      <c r="O244" s="36"/>
      <c r="P244" s="36"/>
      <c r="Q244" s="36"/>
      <c r="R244" s="36"/>
      <c r="S244" s="36"/>
      <c r="V244" s="5"/>
      <c r="X244" s="5"/>
      <c r="Z244" s="5"/>
      <c r="AB244" s="36"/>
      <c r="AC244" s="166"/>
      <c r="AD244" s="179"/>
      <c r="AE244" s="5"/>
      <c r="AF244" s="179"/>
      <c r="AG244" s="179"/>
      <c r="AH244" s="179"/>
      <c r="AI244" s="179"/>
      <c r="AK244" s="179"/>
      <c r="AP244" s="36"/>
      <c r="AQ244" s="36"/>
      <c r="AR244" s="36"/>
      <c r="AS244" s="36"/>
      <c r="AT244" s="36"/>
      <c r="AU244" s="36"/>
    </row>
    <row r="245" spans="1:47" hidden="1" x14ac:dyDescent="0.3">
      <c r="A245" s="304" t="s">
        <v>530</v>
      </c>
      <c r="B245" s="163" t="s">
        <v>199</v>
      </c>
      <c r="C245" s="163"/>
      <c r="E245" s="51"/>
      <c r="F245" s="51"/>
      <c r="G245" s="51"/>
      <c r="H245" s="681"/>
      <c r="I245" s="681"/>
      <c r="J245" s="51"/>
      <c r="L245" s="51"/>
      <c r="N245" s="36"/>
      <c r="O245" s="36"/>
      <c r="P245" s="36"/>
      <c r="Q245" s="36"/>
      <c r="R245" s="36"/>
      <c r="S245" s="36"/>
      <c r="V245" s="5"/>
      <c r="X245" s="5"/>
      <c r="Z245" s="5"/>
      <c r="AB245" s="36"/>
      <c r="AC245" s="166"/>
      <c r="AD245" s="179"/>
      <c r="AE245" s="5"/>
      <c r="AF245" s="179"/>
      <c r="AG245" s="179"/>
      <c r="AH245" s="179"/>
      <c r="AI245" s="179"/>
      <c r="AK245" s="179"/>
      <c r="AP245" s="36"/>
      <c r="AQ245" s="36"/>
      <c r="AR245" s="36"/>
      <c r="AS245" s="36"/>
      <c r="AT245" s="36"/>
      <c r="AU245" s="36"/>
    </row>
    <row r="246" spans="1:47" hidden="1" x14ac:dyDescent="0.3">
      <c r="A246" s="304" t="s">
        <v>532</v>
      </c>
      <c r="B246" s="163" t="s">
        <v>203</v>
      </c>
      <c r="C246" s="163"/>
      <c r="E246" s="51"/>
      <c r="F246" s="51"/>
      <c r="G246" s="51"/>
      <c r="H246" s="681"/>
      <c r="I246" s="681"/>
      <c r="J246" s="51"/>
      <c r="L246" s="51"/>
      <c r="N246" s="36"/>
      <c r="O246" s="36"/>
      <c r="P246" s="36"/>
      <c r="Q246" s="36"/>
      <c r="R246" s="36"/>
      <c r="S246" s="36"/>
      <c r="V246" s="5"/>
      <c r="X246" s="5"/>
      <c r="Z246" s="5"/>
      <c r="AB246" s="36"/>
      <c r="AC246" s="166"/>
      <c r="AD246" s="179"/>
      <c r="AE246" s="5"/>
      <c r="AF246" s="179"/>
      <c r="AG246" s="179"/>
      <c r="AH246" s="179"/>
      <c r="AI246" s="179"/>
      <c r="AK246" s="179"/>
      <c r="AP246" s="36"/>
      <c r="AQ246" s="36"/>
      <c r="AR246" s="36"/>
      <c r="AS246" s="36"/>
      <c r="AT246" s="36"/>
      <c r="AU246" s="36"/>
    </row>
    <row r="247" spans="1:47" hidden="1" x14ac:dyDescent="0.3">
      <c r="A247" s="304" t="s">
        <v>531</v>
      </c>
      <c r="B247" s="163" t="s">
        <v>201</v>
      </c>
      <c r="C247" s="163"/>
      <c r="E247" s="51"/>
      <c r="F247" s="51"/>
      <c r="G247" s="51"/>
      <c r="H247" s="681"/>
      <c r="I247" s="681"/>
      <c r="J247" s="51"/>
      <c r="L247" s="51"/>
      <c r="N247" s="36"/>
      <c r="O247" s="36"/>
      <c r="P247" s="36"/>
      <c r="Q247" s="36"/>
      <c r="R247" s="36"/>
      <c r="S247" s="36"/>
      <c r="V247" s="5"/>
      <c r="X247" s="5"/>
      <c r="Z247" s="5"/>
      <c r="AB247" s="36"/>
      <c r="AC247" s="166"/>
      <c r="AD247" s="179"/>
      <c r="AE247" s="5"/>
      <c r="AF247" s="179"/>
      <c r="AG247" s="179"/>
      <c r="AH247" s="179"/>
      <c r="AI247" s="179"/>
      <c r="AK247" s="179"/>
      <c r="AP247" s="36"/>
      <c r="AQ247" s="36"/>
      <c r="AR247" s="36"/>
      <c r="AS247" s="36"/>
      <c r="AT247" s="36"/>
      <c r="AU247" s="36"/>
    </row>
    <row r="248" spans="1:47" hidden="1" x14ac:dyDescent="0.3">
      <c r="A248" s="305" t="s">
        <v>206</v>
      </c>
      <c r="B248" s="164" t="s">
        <v>205</v>
      </c>
      <c r="C248" s="164"/>
      <c r="E248" s="51"/>
      <c r="F248" s="51"/>
      <c r="G248" s="51"/>
      <c r="H248" s="681"/>
      <c r="I248" s="681"/>
      <c r="J248" s="51"/>
      <c r="L248" s="51"/>
      <c r="N248" s="36"/>
      <c r="O248" s="36"/>
      <c r="P248" s="36"/>
      <c r="Q248" s="36"/>
      <c r="R248" s="36"/>
      <c r="S248" s="36"/>
      <c r="V248" s="5"/>
      <c r="X248" s="5"/>
      <c r="Z248" s="5"/>
      <c r="AB248" s="36"/>
      <c r="AC248" s="166"/>
      <c r="AD248" s="179"/>
      <c r="AE248" s="5"/>
      <c r="AF248" s="179"/>
      <c r="AG248" s="179"/>
      <c r="AH248" s="179"/>
      <c r="AI248" s="179"/>
      <c r="AK248" s="179"/>
      <c r="AP248" s="36"/>
      <c r="AQ248" s="36"/>
      <c r="AR248" s="36"/>
      <c r="AS248" s="36"/>
      <c r="AT248" s="36"/>
      <c r="AU248" s="36"/>
    </row>
    <row r="249" spans="1:47" hidden="1" x14ac:dyDescent="0.3">
      <c r="A249" s="305" t="s">
        <v>209</v>
      </c>
      <c r="B249" s="164" t="s">
        <v>208</v>
      </c>
      <c r="C249" s="164"/>
      <c r="E249" s="51"/>
      <c r="F249" s="51"/>
      <c r="G249" s="51"/>
      <c r="H249" s="681"/>
      <c r="I249" s="681"/>
      <c r="J249" s="51"/>
      <c r="L249" s="51"/>
      <c r="N249" s="36"/>
      <c r="O249" s="36"/>
      <c r="P249" s="36"/>
      <c r="Q249" s="36"/>
      <c r="R249" s="36"/>
      <c r="S249" s="36"/>
      <c r="V249" s="5"/>
      <c r="X249" s="5"/>
      <c r="Z249" s="5"/>
      <c r="AB249" s="36"/>
      <c r="AC249" s="166"/>
      <c r="AD249" s="179"/>
      <c r="AE249" s="5"/>
      <c r="AF249" s="179"/>
      <c r="AG249" s="179"/>
      <c r="AH249" s="179"/>
      <c r="AI249" s="179"/>
      <c r="AK249" s="179"/>
      <c r="AP249" s="36"/>
      <c r="AQ249" s="36"/>
      <c r="AR249" s="36"/>
      <c r="AS249" s="36"/>
      <c r="AT249" s="36"/>
      <c r="AU249" s="36"/>
    </row>
    <row r="250" spans="1:47" hidden="1" x14ac:dyDescent="0.3">
      <c r="A250" s="305" t="s">
        <v>211</v>
      </c>
      <c r="B250" s="164" t="s">
        <v>210</v>
      </c>
      <c r="C250" s="164"/>
      <c r="E250" s="51"/>
      <c r="F250" s="51"/>
      <c r="G250" s="51"/>
      <c r="H250" s="681"/>
      <c r="I250" s="681"/>
      <c r="J250" s="51"/>
      <c r="L250" s="51"/>
      <c r="N250" s="36"/>
      <c r="O250" s="36"/>
      <c r="P250" s="36"/>
      <c r="Q250" s="36"/>
      <c r="R250" s="36"/>
      <c r="S250" s="36"/>
      <c r="V250" s="5"/>
      <c r="X250" s="5"/>
      <c r="Z250" s="5"/>
      <c r="AB250" s="36"/>
      <c r="AC250" s="166"/>
      <c r="AD250" s="179"/>
      <c r="AE250" s="5"/>
      <c r="AF250" s="179"/>
      <c r="AG250" s="179"/>
      <c r="AH250" s="179"/>
      <c r="AI250" s="179"/>
      <c r="AK250" s="179"/>
      <c r="AP250" s="36"/>
      <c r="AQ250" s="36"/>
      <c r="AR250" s="36"/>
      <c r="AS250" s="36"/>
      <c r="AT250" s="36"/>
      <c r="AU250" s="36"/>
    </row>
    <row r="251" spans="1:47" hidden="1" x14ac:dyDescent="0.3">
      <c r="A251" s="305" t="s">
        <v>213</v>
      </c>
      <c r="B251" s="164" t="s">
        <v>212</v>
      </c>
      <c r="C251" s="164"/>
      <c r="E251" s="51"/>
      <c r="F251" s="51"/>
      <c r="G251" s="51"/>
      <c r="H251" s="681"/>
      <c r="I251" s="681"/>
      <c r="J251" s="51"/>
      <c r="L251" s="51"/>
      <c r="N251" s="36"/>
      <c r="O251" s="36"/>
      <c r="P251" s="36"/>
      <c r="Q251" s="36"/>
      <c r="R251" s="36"/>
      <c r="S251" s="36"/>
      <c r="V251" s="5"/>
      <c r="X251" s="5"/>
      <c r="Z251" s="5"/>
      <c r="AB251" s="36"/>
      <c r="AC251" s="166"/>
      <c r="AD251" s="179"/>
      <c r="AE251" s="5"/>
      <c r="AF251" s="179"/>
      <c r="AG251" s="179"/>
      <c r="AH251" s="179"/>
      <c r="AI251" s="179"/>
      <c r="AK251" s="179"/>
      <c r="AP251" s="36"/>
      <c r="AQ251" s="36"/>
      <c r="AR251" s="36"/>
      <c r="AS251" s="36"/>
      <c r="AT251" s="36"/>
      <c r="AU251" s="36"/>
    </row>
    <row r="252" spans="1:47" hidden="1" x14ac:dyDescent="0.3">
      <c r="A252" s="305" t="s">
        <v>215</v>
      </c>
      <c r="B252" s="164" t="s">
        <v>214</v>
      </c>
      <c r="C252" s="164"/>
      <c r="E252" s="51"/>
      <c r="F252" s="51"/>
      <c r="G252" s="51"/>
      <c r="H252" s="681"/>
      <c r="I252" s="681"/>
      <c r="J252" s="51"/>
      <c r="L252" s="51"/>
      <c r="N252" s="36"/>
      <c r="O252" s="36"/>
      <c r="P252" s="36"/>
      <c r="Q252" s="36"/>
      <c r="R252" s="36"/>
      <c r="S252" s="36"/>
      <c r="V252" s="5"/>
      <c r="X252" s="5"/>
      <c r="Z252" s="5"/>
      <c r="AB252" s="36"/>
      <c r="AC252" s="166"/>
      <c r="AD252" s="179"/>
      <c r="AE252" s="5"/>
      <c r="AF252" s="179"/>
      <c r="AG252" s="179"/>
      <c r="AH252" s="179"/>
      <c r="AI252" s="179"/>
      <c r="AK252" s="179"/>
      <c r="AP252" s="36"/>
      <c r="AQ252" s="36"/>
      <c r="AR252" s="36"/>
      <c r="AS252" s="36"/>
      <c r="AT252" s="36"/>
      <c r="AU252" s="36"/>
    </row>
    <row r="253" spans="1:47" hidden="1" x14ac:dyDescent="0.3">
      <c r="A253" s="479" t="s">
        <v>540</v>
      </c>
      <c r="B253" s="480" t="s">
        <v>233</v>
      </c>
      <c r="C253" s="481"/>
      <c r="E253" s="51"/>
      <c r="F253" s="51"/>
      <c r="G253" s="51"/>
      <c r="H253" s="681"/>
      <c r="I253" s="681"/>
      <c r="J253" s="51"/>
      <c r="L253" s="51"/>
      <c r="N253" s="36"/>
      <c r="O253" s="36"/>
      <c r="P253" s="36"/>
      <c r="Q253" s="36"/>
      <c r="R253" s="36"/>
      <c r="S253" s="36"/>
      <c r="V253" s="5"/>
      <c r="X253" s="5"/>
      <c r="Z253" s="5"/>
      <c r="AB253" s="36"/>
      <c r="AC253" s="166"/>
      <c r="AD253" s="179"/>
      <c r="AE253" s="5"/>
      <c r="AF253" s="179"/>
      <c r="AG253" s="179"/>
      <c r="AH253" s="179"/>
      <c r="AI253" s="179"/>
      <c r="AK253" s="179"/>
      <c r="AP253" s="36"/>
      <c r="AQ253" s="36"/>
      <c r="AR253" s="36"/>
      <c r="AS253" s="36"/>
      <c r="AT253" s="36"/>
      <c r="AU253" s="36"/>
    </row>
    <row r="254" spans="1:47" hidden="1" x14ac:dyDescent="0.3">
      <c r="A254" s="479" t="s">
        <v>708</v>
      </c>
      <c r="B254" s="481" t="s">
        <v>216</v>
      </c>
      <c r="C254" s="481"/>
      <c r="E254" s="51"/>
      <c r="F254" s="51"/>
      <c r="G254" s="51"/>
      <c r="H254" s="681"/>
      <c r="I254" s="681"/>
      <c r="J254" s="51"/>
      <c r="L254" s="51"/>
      <c r="N254" s="36"/>
      <c r="O254" s="36"/>
      <c r="P254" s="36"/>
      <c r="Q254" s="36"/>
      <c r="R254" s="36"/>
      <c r="S254" s="36"/>
      <c r="V254" s="5"/>
      <c r="X254" s="5"/>
      <c r="Z254" s="5"/>
      <c r="AB254" s="36"/>
      <c r="AC254" s="166"/>
      <c r="AD254" s="179"/>
      <c r="AE254" s="5"/>
      <c r="AF254" s="179"/>
      <c r="AG254" s="179"/>
      <c r="AH254" s="179"/>
      <c r="AI254" s="179"/>
      <c r="AK254" s="179"/>
      <c r="AP254" s="36"/>
      <c r="AQ254" s="36"/>
      <c r="AR254" s="36"/>
      <c r="AS254" s="36"/>
      <c r="AT254" s="36"/>
      <c r="AU254" s="36"/>
    </row>
    <row r="255" spans="1:47" hidden="1" x14ac:dyDescent="0.3">
      <c r="A255" s="479" t="s">
        <v>218</v>
      </c>
      <c r="B255" s="481" t="s">
        <v>216</v>
      </c>
      <c r="C255" s="481"/>
      <c r="E255" s="51"/>
      <c r="F255" s="51"/>
      <c r="G255" s="51"/>
      <c r="H255" s="681"/>
      <c r="I255" s="681"/>
      <c r="J255" s="51"/>
      <c r="L255" s="51"/>
      <c r="N255" s="36"/>
      <c r="O255" s="36"/>
      <c r="P255" s="36"/>
      <c r="Q255" s="36"/>
      <c r="R255" s="36"/>
      <c r="S255" s="36"/>
      <c r="V255" s="5"/>
      <c r="X255" s="5"/>
      <c r="Z255" s="5"/>
      <c r="AB255" s="36"/>
      <c r="AC255" s="166"/>
      <c r="AD255" s="179"/>
      <c r="AE255" s="5"/>
      <c r="AF255" s="179"/>
      <c r="AG255" s="179"/>
      <c r="AH255" s="179"/>
      <c r="AI255" s="179"/>
      <c r="AK255" s="179"/>
      <c r="AP255" s="36"/>
      <c r="AQ255" s="36"/>
      <c r="AR255" s="36"/>
      <c r="AS255" s="36"/>
      <c r="AT255" s="36"/>
      <c r="AU255" s="36"/>
    </row>
    <row r="256" spans="1:47" hidden="1" x14ac:dyDescent="0.3">
      <c r="A256" s="479" t="s">
        <v>486</v>
      </c>
      <c r="B256" s="481" t="s">
        <v>485</v>
      </c>
      <c r="C256" s="481"/>
      <c r="E256" s="51"/>
      <c r="F256" s="51"/>
      <c r="G256" s="51"/>
      <c r="H256" s="681"/>
      <c r="I256" s="681"/>
      <c r="J256" s="51"/>
      <c r="L256" s="51"/>
      <c r="N256" s="36"/>
      <c r="O256" s="36"/>
      <c r="P256" s="36"/>
      <c r="Q256" s="36"/>
      <c r="R256" s="36"/>
      <c r="S256" s="36"/>
      <c r="V256" s="5"/>
      <c r="X256" s="5"/>
      <c r="Z256" s="5"/>
      <c r="AB256" s="36"/>
      <c r="AC256" s="166"/>
      <c r="AD256" s="179"/>
      <c r="AE256" s="5"/>
      <c r="AF256" s="179"/>
      <c r="AG256" s="179"/>
      <c r="AH256" s="179"/>
      <c r="AI256" s="179"/>
      <c r="AK256" s="179"/>
      <c r="AP256" s="36"/>
      <c r="AQ256" s="36"/>
      <c r="AR256" s="36"/>
      <c r="AS256" s="36"/>
      <c r="AT256" s="36"/>
      <c r="AU256" s="36"/>
    </row>
    <row r="257" spans="1:47" hidden="1" x14ac:dyDescent="0.3">
      <c r="A257" s="479" t="s">
        <v>484</v>
      </c>
      <c r="B257" s="481" t="s">
        <v>483</v>
      </c>
      <c r="C257" s="481"/>
      <c r="E257" s="51"/>
      <c r="F257" s="51"/>
      <c r="G257" s="51"/>
      <c r="H257" s="681"/>
      <c r="I257" s="681"/>
      <c r="J257" s="51"/>
      <c r="L257" s="51"/>
      <c r="N257" s="36"/>
      <c r="O257" s="36"/>
      <c r="P257" s="36"/>
      <c r="Q257" s="36"/>
      <c r="R257" s="36"/>
      <c r="S257" s="36"/>
      <c r="V257" s="5"/>
      <c r="X257" s="5"/>
      <c r="Z257" s="5"/>
      <c r="AB257" s="36"/>
      <c r="AC257" s="166"/>
      <c r="AD257" s="179"/>
      <c r="AE257" s="5"/>
      <c r="AF257" s="179"/>
      <c r="AG257" s="179"/>
      <c r="AH257" s="179"/>
      <c r="AI257" s="179"/>
      <c r="AK257" s="179"/>
      <c r="AP257" s="36"/>
      <c r="AQ257" s="36"/>
      <c r="AR257" s="36"/>
      <c r="AS257" s="36"/>
      <c r="AT257" s="36"/>
      <c r="AU257" s="36"/>
    </row>
    <row r="258" spans="1:47" hidden="1" x14ac:dyDescent="0.3">
      <c r="A258" s="479" t="s">
        <v>533</v>
      </c>
      <c r="B258" s="481" t="s">
        <v>219</v>
      </c>
      <c r="C258" s="481"/>
      <c r="E258" s="51"/>
      <c r="F258" s="51"/>
      <c r="G258" s="51"/>
      <c r="H258" s="681"/>
      <c r="I258" s="681"/>
      <c r="J258" s="51"/>
      <c r="L258" s="51"/>
      <c r="N258" s="36"/>
      <c r="O258" s="36"/>
      <c r="P258" s="36"/>
      <c r="Q258" s="36"/>
      <c r="R258" s="36"/>
      <c r="S258" s="36"/>
      <c r="V258" s="5"/>
      <c r="X258" s="5"/>
      <c r="Z258" s="5"/>
      <c r="AB258" s="36"/>
      <c r="AC258" s="166"/>
      <c r="AD258" s="179"/>
      <c r="AE258" s="5"/>
      <c r="AF258" s="179"/>
      <c r="AG258" s="179"/>
      <c r="AH258" s="179"/>
      <c r="AI258" s="179"/>
      <c r="AK258" s="179"/>
      <c r="AP258" s="36"/>
      <c r="AQ258" s="36"/>
      <c r="AR258" s="36"/>
      <c r="AS258" s="36"/>
      <c r="AT258" s="36"/>
      <c r="AU258" s="36"/>
    </row>
    <row r="259" spans="1:47" hidden="1" x14ac:dyDescent="0.3">
      <c r="A259" s="479" t="s">
        <v>537</v>
      </c>
      <c r="B259" s="481" t="s">
        <v>227</v>
      </c>
      <c r="C259" s="481"/>
      <c r="E259" s="51"/>
      <c r="F259" s="51"/>
      <c r="G259" s="51"/>
      <c r="H259" s="681"/>
      <c r="I259" s="681"/>
      <c r="J259" s="51"/>
      <c r="L259" s="51"/>
      <c r="N259" s="36"/>
      <c r="O259" s="36"/>
      <c r="P259" s="36"/>
      <c r="Q259" s="36"/>
      <c r="R259" s="36"/>
      <c r="S259" s="36"/>
      <c r="V259" s="5"/>
      <c r="X259" s="5"/>
      <c r="Z259" s="5"/>
      <c r="AB259" s="36"/>
      <c r="AC259" s="166"/>
      <c r="AD259" s="179"/>
      <c r="AE259" s="5"/>
      <c r="AF259" s="179"/>
      <c r="AG259" s="179"/>
      <c r="AH259" s="179"/>
      <c r="AI259" s="179"/>
      <c r="AK259" s="179"/>
      <c r="AP259" s="36"/>
      <c r="AQ259" s="36"/>
      <c r="AR259" s="36"/>
      <c r="AS259" s="36"/>
      <c r="AT259" s="36"/>
      <c r="AU259" s="36"/>
    </row>
    <row r="260" spans="1:47" hidden="1" x14ac:dyDescent="0.3">
      <c r="A260" s="479" t="s">
        <v>538</v>
      </c>
      <c r="B260" s="481" t="s">
        <v>229</v>
      </c>
      <c r="C260" s="481"/>
      <c r="E260" s="51"/>
      <c r="F260" s="51"/>
      <c r="G260" s="51"/>
      <c r="H260" s="681"/>
      <c r="I260" s="681"/>
      <c r="J260" s="51"/>
      <c r="L260" s="51"/>
      <c r="N260" s="36"/>
      <c r="O260" s="36"/>
      <c r="P260" s="36"/>
      <c r="Q260" s="36"/>
      <c r="R260" s="36"/>
      <c r="S260" s="36"/>
      <c r="V260" s="5"/>
      <c r="X260" s="5"/>
      <c r="Z260" s="5"/>
      <c r="AB260" s="36"/>
      <c r="AC260" s="166"/>
      <c r="AD260" s="179"/>
      <c r="AE260" s="5"/>
      <c r="AF260" s="179"/>
      <c r="AG260" s="179"/>
      <c r="AH260" s="179"/>
      <c r="AI260" s="179"/>
      <c r="AK260" s="179"/>
      <c r="AP260" s="36"/>
      <c r="AQ260" s="36"/>
      <c r="AR260" s="36"/>
      <c r="AS260" s="36"/>
      <c r="AT260" s="36"/>
      <c r="AU260" s="36"/>
    </row>
    <row r="261" spans="1:47" hidden="1" x14ac:dyDescent="0.3">
      <c r="A261" s="479" t="s">
        <v>535</v>
      </c>
      <c r="B261" s="481" t="s">
        <v>223</v>
      </c>
      <c r="C261" s="481"/>
      <c r="E261" s="51"/>
      <c r="F261" s="51"/>
      <c r="G261" s="51"/>
      <c r="H261" s="681"/>
      <c r="I261" s="681"/>
      <c r="J261" s="51"/>
      <c r="L261" s="51"/>
      <c r="N261" s="36"/>
      <c r="O261" s="36"/>
      <c r="P261" s="36"/>
      <c r="Q261" s="36"/>
      <c r="R261" s="36"/>
      <c r="S261" s="36"/>
      <c r="V261" s="5"/>
      <c r="X261" s="5"/>
      <c r="Z261" s="5"/>
      <c r="AB261" s="36"/>
      <c r="AC261" s="166"/>
      <c r="AD261" s="179"/>
      <c r="AE261" s="5"/>
      <c r="AF261" s="179"/>
      <c r="AG261" s="179"/>
      <c r="AH261" s="179"/>
      <c r="AI261" s="179"/>
      <c r="AK261" s="179"/>
      <c r="AP261" s="36"/>
      <c r="AQ261" s="36"/>
      <c r="AR261" s="36"/>
      <c r="AS261" s="36"/>
      <c r="AT261" s="36"/>
      <c r="AU261" s="36"/>
    </row>
    <row r="262" spans="1:47" hidden="1" x14ac:dyDescent="0.3">
      <c r="A262" s="479" t="s">
        <v>539</v>
      </c>
      <c r="B262" s="481" t="s">
        <v>231</v>
      </c>
      <c r="C262" s="481"/>
      <c r="E262" s="51"/>
      <c r="F262" s="51"/>
      <c r="G262" s="51"/>
      <c r="H262" s="681"/>
      <c r="I262" s="681"/>
      <c r="J262" s="51"/>
      <c r="L262" s="51"/>
      <c r="N262" s="36"/>
      <c r="O262" s="36"/>
      <c r="P262" s="36"/>
      <c r="Q262" s="36"/>
      <c r="R262" s="36"/>
      <c r="S262" s="36"/>
      <c r="V262" s="5"/>
      <c r="X262" s="5"/>
      <c r="Z262" s="5"/>
      <c r="AB262" s="36"/>
      <c r="AC262" s="166"/>
      <c r="AD262" s="179"/>
      <c r="AE262" s="5"/>
      <c r="AF262" s="179"/>
      <c r="AG262" s="179"/>
      <c r="AH262" s="179"/>
      <c r="AI262" s="179"/>
      <c r="AK262" s="179"/>
      <c r="AP262" s="36"/>
      <c r="AQ262" s="36"/>
      <c r="AR262" s="36"/>
      <c r="AS262" s="36"/>
      <c r="AT262" s="36"/>
      <c r="AU262" s="36"/>
    </row>
    <row r="263" spans="1:47" hidden="1" x14ac:dyDescent="0.3">
      <c r="A263" s="479" t="s">
        <v>536</v>
      </c>
      <c r="B263" s="481" t="s">
        <v>225</v>
      </c>
      <c r="C263" s="481"/>
      <c r="E263" s="51"/>
      <c r="F263" s="51"/>
      <c r="G263" s="51"/>
      <c r="H263" s="681"/>
      <c r="I263" s="681"/>
      <c r="J263" s="51"/>
      <c r="L263" s="51"/>
      <c r="N263" s="36"/>
      <c r="O263" s="36"/>
      <c r="P263" s="36"/>
      <c r="Q263" s="36"/>
      <c r="R263" s="36"/>
      <c r="S263" s="36"/>
      <c r="V263" s="5"/>
      <c r="X263" s="5"/>
      <c r="Z263" s="5"/>
      <c r="AB263" s="36"/>
      <c r="AC263" s="166"/>
      <c r="AD263" s="179"/>
      <c r="AE263" s="5"/>
      <c r="AF263" s="179"/>
      <c r="AG263" s="179"/>
      <c r="AH263" s="179"/>
      <c r="AI263" s="179"/>
      <c r="AK263" s="179"/>
      <c r="AP263" s="36"/>
      <c r="AQ263" s="36"/>
      <c r="AR263" s="36"/>
      <c r="AS263" s="36"/>
      <c r="AT263" s="36"/>
      <c r="AU263" s="36"/>
    </row>
    <row r="264" spans="1:47" hidden="1" x14ac:dyDescent="0.3">
      <c r="A264" s="479" t="s">
        <v>534</v>
      </c>
      <c r="B264" s="481" t="s">
        <v>221</v>
      </c>
      <c r="C264" s="481"/>
      <c r="E264" s="51"/>
      <c r="F264" s="51"/>
      <c r="G264" s="51"/>
      <c r="H264" s="681"/>
      <c r="I264" s="681"/>
      <c r="J264" s="51"/>
      <c r="L264" s="51"/>
      <c r="N264" s="36"/>
      <c r="O264" s="36"/>
      <c r="P264" s="36"/>
      <c r="Q264" s="36"/>
      <c r="R264" s="36"/>
      <c r="S264" s="36"/>
      <c r="V264" s="5"/>
      <c r="X264" s="5"/>
      <c r="Z264" s="5"/>
      <c r="AB264" s="36"/>
      <c r="AC264" s="166"/>
      <c r="AD264" s="179"/>
      <c r="AE264" s="5"/>
      <c r="AF264" s="179"/>
      <c r="AG264" s="179"/>
      <c r="AH264" s="179"/>
      <c r="AI264" s="179"/>
      <c r="AK264" s="179"/>
      <c r="AP264" s="36"/>
      <c r="AQ264" s="36"/>
      <c r="AR264" s="36"/>
      <c r="AS264" s="36"/>
      <c r="AT264" s="36"/>
      <c r="AU264" s="36"/>
    </row>
    <row r="265" spans="1:47" hidden="1" x14ac:dyDescent="0.3">
      <c r="A265" s="306" t="s">
        <v>553</v>
      </c>
      <c r="B265" s="165" t="s">
        <v>505</v>
      </c>
      <c r="C265" s="165"/>
      <c r="D265" s="45">
        <f>'Rate Inputs'!AC7</f>
        <v>88</v>
      </c>
      <c r="E265" s="51"/>
      <c r="F265" s="51"/>
      <c r="G265" s="51"/>
      <c r="H265" s="681"/>
      <c r="I265" s="681"/>
      <c r="J265" s="51"/>
      <c r="L265" s="51"/>
      <c r="N265" s="36"/>
      <c r="O265" s="36"/>
      <c r="P265" s="36"/>
      <c r="Q265" s="36"/>
      <c r="R265" s="36"/>
      <c r="S265" s="36"/>
      <c r="V265" s="5"/>
      <c r="X265" s="5"/>
      <c r="Z265" s="5"/>
      <c r="AB265" s="36"/>
      <c r="AC265" s="166"/>
      <c r="AD265" s="179"/>
      <c r="AE265" s="5"/>
      <c r="AF265" s="179"/>
      <c r="AG265" s="179"/>
      <c r="AH265" s="179"/>
      <c r="AI265" s="179"/>
      <c r="AK265" s="179"/>
      <c r="AP265" s="36"/>
      <c r="AQ265" s="36"/>
      <c r="AR265" s="36"/>
      <c r="AS265" s="36"/>
      <c r="AT265" s="36"/>
      <c r="AU265" s="36"/>
    </row>
    <row r="266" spans="1:47" hidden="1" x14ac:dyDescent="0.3">
      <c r="A266" s="306" t="s">
        <v>554</v>
      </c>
      <c r="B266" s="165" t="s">
        <v>513</v>
      </c>
      <c r="C266" s="165"/>
      <c r="D266" s="45">
        <f>'Rate Inputs'!AC8</f>
        <v>94</v>
      </c>
      <c r="E266" s="51"/>
      <c r="F266" s="51"/>
      <c r="G266" s="51"/>
      <c r="H266" s="681"/>
      <c r="I266" s="681"/>
      <c r="J266" s="51"/>
      <c r="L266" s="51"/>
      <c r="N266" s="36"/>
      <c r="O266" s="36"/>
      <c r="P266" s="36"/>
      <c r="Q266" s="36"/>
      <c r="R266" s="36"/>
      <c r="S266" s="36"/>
      <c r="V266" s="5"/>
      <c r="X266" s="5"/>
      <c r="Z266" s="5"/>
      <c r="AB266" s="36"/>
      <c r="AC266" s="166"/>
      <c r="AD266" s="179"/>
      <c r="AE266" s="5"/>
      <c r="AF266" s="179"/>
      <c r="AG266" s="179"/>
      <c r="AH266" s="179"/>
      <c r="AI266" s="179"/>
      <c r="AK266" s="179"/>
      <c r="AP266" s="36"/>
      <c r="AQ266" s="36"/>
      <c r="AR266" s="36"/>
      <c r="AS266" s="36"/>
      <c r="AT266" s="36"/>
      <c r="AU266" s="36"/>
    </row>
    <row r="267" spans="1:47" hidden="1" x14ac:dyDescent="0.3">
      <c r="A267" s="306" t="s">
        <v>555</v>
      </c>
      <c r="B267" s="165" t="s">
        <v>487</v>
      </c>
      <c r="C267" s="165"/>
      <c r="D267" s="45">
        <f>'Rate Inputs'!AC9</f>
        <v>65</v>
      </c>
      <c r="E267" s="51"/>
      <c r="F267" s="51"/>
      <c r="G267" s="51"/>
      <c r="H267" s="681"/>
      <c r="I267" s="681"/>
      <c r="J267" s="51"/>
      <c r="L267" s="51"/>
      <c r="N267" s="36"/>
      <c r="O267" s="36"/>
      <c r="P267" s="36"/>
      <c r="Q267" s="36"/>
      <c r="R267" s="36"/>
      <c r="S267" s="36"/>
      <c r="V267" s="5"/>
      <c r="X267" s="5"/>
      <c r="Z267" s="5"/>
      <c r="AB267" s="36"/>
      <c r="AC267" s="166"/>
      <c r="AD267" s="179"/>
      <c r="AE267" s="5"/>
      <c r="AF267" s="179"/>
      <c r="AG267" s="179"/>
      <c r="AH267" s="179"/>
      <c r="AI267" s="179"/>
      <c r="AK267" s="179"/>
      <c r="AP267" s="36"/>
      <c r="AQ267" s="36"/>
      <c r="AR267" s="36"/>
      <c r="AS267" s="36"/>
      <c r="AT267" s="36"/>
      <c r="AU267" s="36"/>
    </row>
    <row r="268" spans="1:47" hidden="1" x14ac:dyDescent="0.3">
      <c r="A268" s="306" t="s">
        <v>548</v>
      </c>
      <c r="B268" s="165" t="s">
        <v>517</v>
      </c>
      <c r="C268" s="165"/>
      <c r="D268" s="45">
        <f>'Rate Inputs'!AC10</f>
        <v>105</v>
      </c>
      <c r="E268" s="51"/>
      <c r="F268" s="51"/>
      <c r="G268" s="51"/>
      <c r="H268" s="681"/>
      <c r="I268" s="681"/>
      <c r="J268" s="51"/>
      <c r="L268" s="51"/>
      <c r="N268" s="36"/>
      <c r="O268" s="36"/>
      <c r="P268" s="36"/>
      <c r="Q268" s="36"/>
      <c r="R268" s="36"/>
      <c r="S268" s="36"/>
      <c r="V268" s="5"/>
      <c r="X268" s="5"/>
      <c r="Z268" s="5"/>
      <c r="AB268" s="36"/>
      <c r="AC268" s="166"/>
      <c r="AD268" s="179"/>
      <c r="AE268" s="5"/>
      <c r="AF268" s="179"/>
      <c r="AG268" s="179"/>
      <c r="AH268" s="179"/>
      <c r="AI268" s="179"/>
      <c r="AK268" s="179"/>
      <c r="AP268" s="36"/>
      <c r="AQ268" s="36"/>
      <c r="AR268" s="36"/>
      <c r="AS268" s="36"/>
      <c r="AT268" s="36"/>
      <c r="AU268" s="36"/>
    </row>
    <row r="269" spans="1:47" hidden="1" x14ac:dyDescent="0.3">
      <c r="A269" s="306" t="s">
        <v>504</v>
      </c>
      <c r="B269" s="165" t="s">
        <v>503</v>
      </c>
      <c r="C269" s="165"/>
      <c r="D269" s="45">
        <f>'Rate Inputs'!AC11</f>
        <v>100</v>
      </c>
      <c r="E269" s="51"/>
      <c r="F269" s="51"/>
      <c r="G269" s="51"/>
      <c r="H269" s="681"/>
      <c r="I269" s="681"/>
      <c r="J269" s="51"/>
      <c r="L269" s="51"/>
      <c r="N269" s="36"/>
      <c r="O269" s="36"/>
      <c r="P269" s="36"/>
      <c r="Q269" s="36"/>
      <c r="R269" s="36"/>
      <c r="S269" s="36"/>
      <c r="V269" s="5"/>
      <c r="X269" s="5"/>
      <c r="Z269" s="5"/>
      <c r="AB269" s="36"/>
      <c r="AC269" s="166"/>
      <c r="AD269" s="179"/>
      <c r="AE269" s="5"/>
      <c r="AF269" s="179"/>
      <c r="AG269" s="179"/>
      <c r="AH269" s="179"/>
      <c r="AI269" s="179"/>
      <c r="AK269" s="179"/>
      <c r="AP269" s="36"/>
      <c r="AQ269" s="36"/>
      <c r="AR269" s="36"/>
      <c r="AS269" s="36"/>
      <c r="AT269" s="36"/>
      <c r="AU269" s="36"/>
    </row>
    <row r="270" spans="1:47" hidden="1" x14ac:dyDescent="0.3">
      <c r="A270" s="306" t="s">
        <v>556</v>
      </c>
      <c r="B270" s="165" t="s">
        <v>497</v>
      </c>
      <c r="C270" s="165"/>
      <c r="D270" s="45">
        <f>'Rate Inputs'!AC12</f>
        <v>100</v>
      </c>
      <c r="E270" s="51"/>
      <c r="F270" s="51"/>
      <c r="G270" s="51"/>
      <c r="H270" s="681"/>
      <c r="I270" s="681"/>
      <c r="J270" s="51"/>
      <c r="L270" s="51"/>
      <c r="N270" s="36"/>
      <c r="O270" s="36"/>
      <c r="P270" s="36"/>
      <c r="Q270" s="36"/>
      <c r="R270" s="36"/>
      <c r="S270" s="36"/>
      <c r="V270" s="5"/>
      <c r="X270" s="5"/>
      <c r="Z270" s="5"/>
      <c r="AB270" s="36"/>
      <c r="AC270" s="166"/>
      <c r="AD270" s="179"/>
      <c r="AE270" s="5"/>
      <c r="AF270" s="179"/>
      <c r="AG270" s="179"/>
      <c r="AH270" s="179"/>
      <c r="AI270" s="179"/>
      <c r="AK270" s="179"/>
      <c r="AP270" s="36"/>
      <c r="AQ270" s="36"/>
      <c r="AR270" s="36"/>
      <c r="AS270" s="36"/>
      <c r="AT270" s="36"/>
      <c r="AU270" s="36"/>
    </row>
    <row r="271" spans="1:47" hidden="1" x14ac:dyDescent="0.3">
      <c r="A271" s="306" t="s">
        <v>558</v>
      </c>
      <c r="B271" s="165" t="s">
        <v>499</v>
      </c>
      <c r="C271" s="165"/>
      <c r="D271" s="45">
        <f>'Rate Inputs'!AC13</f>
        <v>95</v>
      </c>
      <c r="E271" s="51"/>
      <c r="F271" s="51"/>
      <c r="G271" s="51"/>
      <c r="H271" s="681"/>
      <c r="I271" s="681"/>
      <c r="J271" s="51"/>
      <c r="L271" s="51"/>
      <c r="N271" s="36"/>
      <c r="O271" s="36"/>
      <c r="P271" s="36"/>
      <c r="Q271" s="36"/>
      <c r="R271" s="36"/>
      <c r="S271" s="36"/>
      <c r="V271" s="5"/>
      <c r="X271" s="5"/>
      <c r="Z271" s="5"/>
      <c r="AB271" s="36"/>
      <c r="AC271" s="166"/>
      <c r="AD271" s="179"/>
      <c r="AE271" s="5"/>
      <c r="AF271" s="179"/>
      <c r="AG271" s="179"/>
      <c r="AH271" s="179"/>
      <c r="AI271" s="179"/>
      <c r="AK271" s="179"/>
      <c r="AP271" s="36"/>
      <c r="AQ271" s="36"/>
      <c r="AR271" s="36"/>
      <c r="AS271" s="36"/>
      <c r="AT271" s="36"/>
      <c r="AU271" s="36"/>
    </row>
    <row r="272" spans="1:47" hidden="1" x14ac:dyDescent="0.3">
      <c r="A272" s="306" t="s">
        <v>557</v>
      </c>
      <c r="B272" s="165" t="s">
        <v>495</v>
      </c>
      <c r="C272" s="165"/>
      <c r="D272" s="45">
        <f>'Rate Inputs'!AC14</f>
        <v>115</v>
      </c>
      <c r="E272" s="51"/>
      <c r="F272" s="51"/>
      <c r="G272" s="51"/>
      <c r="H272" s="681"/>
      <c r="I272" s="681"/>
      <c r="J272" s="51"/>
      <c r="L272" s="51"/>
      <c r="N272" s="36"/>
      <c r="O272" s="36"/>
      <c r="P272" s="36"/>
      <c r="Q272" s="36"/>
      <c r="R272" s="36"/>
      <c r="S272" s="36"/>
      <c r="V272" s="5"/>
      <c r="X272" s="5"/>
      <c r="Z272" s="5"/>
      <c r="AB272" s="36"/>
      <c r="AC272" s="166"/>
      <c r="AD272" s="179"/>
      <c r="AE272" s="5"/>
      <c r="AF272" s="179"/>
      <c r="AG272" s="179"/>
      <c r="AH272" s="179"/>
      <c r="AI272" s="179"/>
      <c r="AK272" s="179"/>
      <c r="AP272" s="36"/>
      <c r="AQ272" s="36"/>
      <c r="AR272" s="36"/>
      <c r="AS272" s="36"/>
      <c r="AT272" s="36"/>
      <c r="AU272" s="36"/>
    </row>
    <row r="273" spans="1:47" hidden="1" x14ac:dyDescent="0.3">
      <c r="A273" s="306" t="s">
        <v>29</v>
      </c>
      <c r="B273" s="165" t="s">
        <v>489</v>
      </c>
      <c r="C273" s="165"/>
      <c r="D273" s="45">
        <f>'Rate Inputs'!AC15</f>
        <v>65</v>
      </c>
      <c r="E273" s="51"/>
      <c r="F273" s="51"/>
      <c r="G273" s="51"/>
      <c r="H273" s="681"/>
      <c r="I273" s="681"/>
      <c r="J273" s="51"/>
      <c r="L273" s="51"/>
      <c r="N273" s="36"/>
      <c r="O273" s="36"/>
      <c r="P273" s="36"/>
      <c r="Q273" s="36"/>
      <c r="R273" s="36"/>
      <c r="S273" s="36"/>
      <c r="V273" s="5"/>
      <c r="X273" s="5"/>
      <c r="Z273" s="5"/>
      <c r="AB273" s="36"/>
      <c r="AC273" s="166"/>
      <c r="AD273" s="179"/>
      <c r="AE273" s="5"/>
      <c r="AF273" s="179"/>
      <c r="AG273" s="179"/>
      <c r="AH273" s="179"/>
      <c r="AI273" s="179"/>
      <c r="AK273" s="179"/>
      <c r="AP273" s="36"/>
      <c r="AQ273" s="36"/>
      <c r="AR273" s="36"/>
      <c r="AS273" s="36"/>
      <c r="AT273" s="36"/>
      <c r="AU273" s="36"/>
    </row>
    <row r="274" spans="1:47" hidden="1" x14ac:dyDescent="0.3">
      <c r="G274" s="51"/>
      <c r="H274" s="681"/>
      <c r="I274" s="681"/>
      <c r="J274" s="51"/>
      <c r="L274" s="51"/>
      <c r="N274" s="36"/>
      <c r="O274" s="36"/>
      <c r="P274" s="36"/>
      <c r="Q274" s="36"/>
      <c r="R274" s="36"/>
      <c r="S274" s="36"/>
      <c r="V274" s="5"/>
      <c r="X274" s="5"/>
      <c r="Z274" s="5"/>
      <c r="AB274" s="36"/>
      <c r="AC274" s="166"/>
      <c r="AD274" s="179"/>
      <c r="AE274" s="5"/>
      <c r="AF274" s="179"/>
      <c r="AG274" s="179"/>
      <c r="AH274" s="179"/>
      <c r="AI274" s="179"/>
      <c r="AK274" s="179"/>
      <c r="AP274" s="36"/>
      <c r="AQ274" s="36"/>
      <c r="AR274" s="36"/>
      <c r="AS274" s="36"/>
      <c r="AT274" s="36"/>
      <c r="AU274" s="36"/>
    </row>
    <row r="275" spans="1:47" hidden="1" x14ac:dyDescent="0.3">
      <c r="A275" s="255" t="s">
        <v>822</v>
      </c>
      <c r="G275" s="51"/>
      <c r="H275" s="681"/>
      <c r="I275" s="681"/>
      <c r="J275" s="51"/>
      <c r="L275" s="51"/>
      <c r="N275" s="36"/>
      <c r="O275" s="36"/>
      <c r="P275" s="36"/>
      <c r="Q275" s="36"/>
      <c r="R275" s="36"/>
      <c r="S275" s="36"/>
      <c r="V275" s="5"/>
      <c r="X275" s="5"/>
      <c r="Z275" s="5"/>
      <c r="AB275" s="36"/>
      <c r="AC275" s="166"/>
      <c r="AD275" s="179"/>
      <c r="AE275" s="5"/>
      <c r="AF275" s="179"/>
      <c r="AG275" s="179"/>
      <c r="AH275" s="179"/>
      <c r="AI275" s="179"/>
      <c r="AK275" s="179"/>
      <c r="AP275" s="36"/>
      <c r="AQ275" s="36"/>
      <c r="AR275" s="36"/>
      <c r="AS275" s="36"/>
      <c r="AT275" s="36"/>
      <c r="AU275" s="36"/>
    </row>
    <row r="276" spans="1:47" hidden="1" x14ac:dyDescent="0.3">
      <c r="A276" s="36" t="str">
        <f>'Rate Inputs'!U7</f>
        <v>SV</v>
      </c>
      <c r="B276" s="45">
        <f>'Rate Inputs'!W7</f>
        <v>115</v>
      </c>
      <c r="G276" s="51"/>
      <c r="H276" s="681"/>
      <c r="I276" s="681"/>
      <c r="J276" s="51"/>
      <c r="L276" s="51"/>
      <c r="N276" s="36"/>
      <c r="O276" s="36"/>
      <c r="P276" s="36"/>
      <c r="Q276" s="36"/>
      <c r="R276" s="36"/>
      <c r="S276" s="36"/>
      <c r="V276" s="5"/>
      <c r="X276" s="5"/>
      <c r="Z276" s="5"/>
      <c r="AB276" s="36"/>
      <c r="AC276" s="166"/>
      <c r="AD276" s="179"/>
      <c r="AE276" s="5"/>
      <c r="AF276" s="179"/>
      <c r="AG276" s="179"/>
      <c r="AH276" s="179"/>
      <c r="AI276" s="179"/>
      <c r="AK276" s="179"/>
      <c r="AP276" s="36"/>
      <c r="AQ276" s="36"/>
      <c r="AR276" s="36"/>
      <c r="AS276" s="36"/>
      <c r="AT276" s="36"/>
      <c r="AU276" s="36"/>
    </row>
    <row r="277" spans="1:47" hidden="1" x14ac:dyDescent="0.3">
      <c r="A277" s="36" t="str">
        <f>'Rate Inputs'!U8</f>
        <v>S</v>
      </c>
      <c r="B277" s="45">
        <f>'Rate Inputs'!W8</f>
        <v>99.71</v>
      </c>
      <c r="G277" s="51"/>
      <c r="H277" s="681"/>
      <c r="I277" s="681"/>
      <c r="J277" s="51"/>
      <c r="L277" s="51"/>
      <c r="N277" s="36"/>
      <c r="O277" s="36"/>
      <c r="P277" s="36"/>
      <c r="Q277" s="36"/>
      <c r="R277" s="36"/>
      <c r="S277" s="36"/>
      <c r="V277" s="5"/>
      <c r="X277" s="5"/>
      <c r="Z277" s="5"/>
      <c r="AB277" s="36"/>
      <c r="AC277" s="166"/>
      <c r="AD277" s="179"/>
      <c r="AE277" s="5"/>
      <c r="AF277" s="179"/>
      <c r="AG277" s="179"/>
      <c r="AH277" s="179"/>
      <c r="AI277" s="179"/>
      <c r="AK277" s="179"/>
      <c r="AP277" s="36"/>
      <c r="AQ277" s="36"/>
      <c r="AR277" s="36"/>
      <c r="AS277" s="36"/>
      <c r="AT277" s="36"/>
      <c r="AU277" s="36"/>
    </row>
    <row r="278" spans="1:47" hidden="1" x14ac:dyDescent="0.3">
      <c r="A278" s="36" t="str">
        <f>'Rate Inputs'!U9</f>
        <v>GF</v>
      </c>
      <c r="B278" s="45">
        <f>'Rate Inputs'!W9</f>
        <v>96.64</v>
      </c>
      <c r="G278" s="51"/>
      <c r="H278" s="681"/>
      <c r="I278" s="681"/>
      <c r="J278" s="51"/>
      <c r="L278" s="51"/>
      <c r="N278" s="36"/>
      <c r="O278" s="36"/>
      <c r="P278" s="36"/>
      <c r="Q278" s="36"/>
      <c r="R278" s="36"/>
      <c r="S278" s="36"/>
      <c r="V278" s="5"/>
      <c r="X278" s="5"/>
      <c r="Z278" s="5"/>
      <c r="AB278" s="36"/>
      <c r="AC278" s="166"/>
      <c r="AD278" s="179"/>
      <c r="AE278" s="5"/>
      <c r="AF278" s="179"/>
      <c r="AG278" s="179"/>
      <c r="AH278" s="179"/>
      <c r="AI278" s="179"/>
      <c r="AK278" s="179"/>
      <c r="AP278" s="36"/>
      <c r="AQ278" s="36"/>
      <c r="AR278" s="36"/>
      <c r="AS278" s="36"/>
      <c r="AT278" s="36"/>
      <c r="AU278" s="36"/>
    </row>
    <row r="279" spans="1:47" hidden="1" x14ac:dyDescent="0.3">
      <c r="A279" s="36" t="str">
        <f>'Rate Inputs'!U10</f>
        <v>F</v>
      </c>
      <c r="B279" s="45">
        <f>'Rate Inputs'!W10</f>
        <v>93.56</v>
      </c>
      <c r="G279" s="51"/>
      <c r="H279" s="681"/>
      <c r="I279" s="681"/>
      <c r="J279" s="51"/>
      <c r="L279" s="51"/>
      <c r="N279" s="36"/>
      <c r="O279" s="36"/>
      <c r="P279" s="36"/>
      <c r="Q279" s="36"/>
      <c r="R279" s="36"/>
      <c r="S279" s="36"/>
      <c r="V279" s="5"/>
      <c r="X279" s="5"/>
      <c r="Z279" s="5"/>
      <c r="AB279" s="36"/>
      <c r="AC279" s="166"/>
      <c r="AD279" s="179"/>
      <c r="AE279" s="5"/>
      <c r="AF279" s="179"/>
      <c r="AG279" s="179"/>
      <c r="AH279" s="179"/>
      <c r="AI279" s="179"/>
      <c r="AK279" s="179"/>
      <c r="AP279" s="36"/>
      <c r="AQ279" s="36"/>
      <c r="AR279" s="36"/>
      <c r="AS279" s="36"/>
      <c r="AT279" s="36"/>
      <c r="AU279" s="36"/>
    </row>
    <row r="280" spans="1:47" hidden="1" x14ac:dyDescent="0.3">
      <c r="A280" s="36" t="str">
        <f>'Rate Inputs'!U11</f>
        <v>J</v>
      </c>
      <c r="B280" s="45">
        <f>'Rate Inputs'!W11</f>
        <v>87.41</v>
      </c>
      <c r="G280" s="51"/>
      <c r="H280" s="681"/>
      <c r="I280" s="681"/>
      <c r="J280" s="51"/>
      <c r="L280" s="51"/>
      <c r="N280" s="36"/>
      <c r="O280" s="36"/>
      <c r="P280" s="36"/>
      <c r="Q280" s="36"/>
      <c r="R280" s="36"/>
      <c r="S280" s="36"/>
      <c r="V280" s="5"/>
      <c r="X280" s="5"/>
      <c r="Z280" s="5"/>
      <c r="AB280" s="36"/>
      <c r="AC280" s="166"/>
      <c r="AD280" s="179"/>
      <c r="AE280" s="5"/>
      <c r="AF280" s="179"/>
      <c r="AG280" s="179"/>
      <c r="AH280" s="179"/>
      <c r="AI280" s="179"/>
      <c r="AK280" s="179"/>
      <c r="AP280" s="36"/>
      <c r="AQ280" s="36"/>
      <c r="AR280" s="36"/>
      <c r="AS280" s="36"/>
      <c r="AT280" s="36"/>
      <c r="AU280" s="36"/>
    </row>
    <row r="281" spans="1:47" hidden="1" x14ac:dyDescent="0.3">
      <c r="A281" s="36" t="str">
        <f>'Rate Inputs'!U12</f>
        <v>5A</v>
      </c>
      <c r="B281" s="45">
        <f>'Rate Inputs'!W12</f>
        <v>68.38</v>
      </c>
      <c r="G281" s="51"/>
      <c r="H281" s="681"/>
      <c r="I281" s="681"/>
      <c r="J281" s="51"/>
      <c r="L281" s="51"/>
      <c r="N281" s="36"/>
      <c r="O281" s="36"/>
      <c r="P281" s="36"/>
      <c r="Q281" s="36"/>
      <c r="R281" s="36"/>
      <c r="S281" s="36"/>
      <c r="V281" s="5"/>
      <c r="X281" s="5"/>
      <c r="Z281" s="5"/>
      <c r="AB281" s="36"/>
      <c r="AC281" s="166"/>
      <c r="AD281" s="179"/>
      <c r="AE281" s="5"/>
      <c r="AF281" s="179"/>
      <c r="AG281" s="179"/>
      <c r="AH281" s="179"/>
      <c r="AI281" s="179"/>
      <c r="AK281" s="179"/>
      <c r="AP281" s="36"/>
      <c r="AQ281" s="36"/>
      <c r="AR281" s="36"/>
      <c r="AS281" s="36"/>
      <c r="AT281" s="36"/>
      <c r="AU281" s="36"/>
    </row>
    <row r="282" spans="1:47" hidden="1" x14ac:dyDescent="0.3">
      <c r="A282" s="36" t="str">
        <f>'Rate Inputs'!U13</f>
        <v>4A</v>
      </c>
      <c r="B282" s="45">
        <f>'Rate Inputs'!W13</f>
        <v>68.2</v>
      </c>
      <c r="G282" s="51"/>
      <c r="H282" s="681"/>
      <c r="I282" s="681"/>
      <c r="J282" s="51"/>
      <c r="L282" s="51"/>
      <c r="N282" s="36"/>
      <c r="O282" s="36"/>
      <c r="P282" s="36"/>
      <c r="Q282" s="36"/>
      <c r="R282" s="36"/>
      <c r="S282" s="36"/>
      <c r="V282" s="5"/>
      <c r="X282" s="5"/>
      <c r="Z282" s="5"/>
      <c r="AB282" s="36"/>
      <c r="AC282" s="166"/>
      <c r="AD282" s="179"/>
      <c r="AE282" s="5"/>
      <c r="AF282" s="179"/>
      <c r="AG282" s="179"/>
      <c r="AH282" s="179"/>
      <c r="AI282" s="179"/>
      <c r="AK282" s="179"/>
      <c r="AP282" s="36"/>
      <c r="AQ282" s="36"/>
      <c r="AR282" s="36"/>
      <c r="AS282" s="36"/>
      <c r="AT282" s="36"/>
      <c r="AU282" s="36"/>
    </row>
    <row r="283" spans="1:47" hidden="1" x14ac:dyDescent="0.3">
      <c r="A283" s="36" t="str">
        <f>'Rate Inputs'!U14</f>
        <v>3A</v>
      </c>
      <c r="B283" s="45">
        <f>'Rate Inputs'!W14</f>
        <v>62.74</v>
      </c>
      <c r="G283" s="51"/>
      <c r="H283" s="681"/>
      <c r="I283" s="681"/>
      <c r="J283" s="51"/>
      <c r="L283" s="51"/>
      <c r="N283" s="36"/>
      <c r="O283" s="36"/>
      <c r="P283" s="36"/>
      <c r="Q283" s="36"/>
      <c r="R283" s="36"/>
      <c r="S283" s="36"/>
      <c r="V283" s="5"/>
      <c r="X283" s="5"/>
      <c r="Z283" s="5"/>
      <c r="AB283" s="36"/>
      <c r="AC283" s="166"/>
      <c r="AD283" s="179"/>
      <c r="AE283" s="5"/>
      <c r="AF283" s="179"/>
      <c r="AG283" s="179"/>
      <c r="AH283" s="179"/>
      <c r="AI283" s="179"/>
      <c r="AK283" s="179"/>
      <c r="AP283" s="36"/>
      <c r="AQ283" s="36"/>
      <c r="AR283" s="36"/>
      <c r="AS283" s="36"/>
      <c r="AT283" s="36"/>
      <c r="AU283" s="36"/>
    </row>
    <row r="284" spans="1:47" hidden="1" x14ac:dyDescent="0.3">
      <c r="A284" s="36" t="str">
        <f>'Rate Inputs'!U15</f>
        <v>2A</v>
      </c>
      <c r="B284" s="45">
        <f>'Rate Inputs'!W15</f>
        <v>59.27</v>
      </c>
      <c r="G284" s="51"/>
      <c r="H284" s="681"/>
      <c r="I284" s="681"/>
      <c r="J284" s="51"/>
      <c r="L284" s="51"/>
      <c r="N284" s="36"/>
      <c r="O284" s="36"/>
      <c r="P284" s="36"/>
      <c r="Q284" s="36"/>
      <c r="R284" s="36"/>
      <c r="S284" s="36"/>
      <c r="V284" s="5"/>
      <c r="X284" s="5"/>
      <c r="Z284" s="5"/>
      <c r="AB284" s="36"/>
      <c r="AC284" s="166"/>
      <c r="AD284" s="179"/>
      <c r="AE284" s="5"/>
      <c r="AF284" s="179"/>
      <c r="AG284" s="179"/>
      <c r="AH284" s="179"/>
      <c r="AI284" s="179"/>
      <c r="AK284" s="179"/>
      <c r="AP284" s="36"/>
      <c r="AQ284" s="36"/>
      <c r="AR284" s="36"/>
      <c r="AS284" s="36"/>
      <c r="AT284" s="36"/>
      <c r="AU284" s="36"/>
    </row>
    <row r="285" spans="1:47" hidden="1" x14ac:dyDescent="0.3">
      <c r="A285" s="36" t="str">
        <f>'Rate Inputs'!U16</f>
        <v>1A</v>
      </c>
      <c r="B285" s="45">
        <f>'Rate Inputs'!W16</f>
        <v>53.12</v>
      </c>
      <c r="G285" s="51"/>
      <c r="H285" s="681"/>
      <c r="I285" s="681"/>
      <c r="J285" s="51"/>
      <c r="L285" s="51"/>
      <c r="N285" s="36"/>
      <c r="O285" s="36"/>
      <c r="P285" s="36"/>
      <c r="Q285" s="36"/>
      <c r="R285" s="36"/>
      <c r="S285" s="36"/>
      <c r="V285" s="5"/>
      <c r="X285" s="5"/>
      <c r="Z285" s="5"/>
      <c r="AB285" s="36"/>
      <c r="AC285" s="166"/>
      <c r="AD285" s="179"/>
      <c r="AE285" s="5"/>
      <c r="AF285" s="179"/>
      <c r="AG285" s="179"/>
      <c r="AH285" s="179"/>
      <c r="AI285" s="179"/>
      <c r="AK285" s="179"/>
      <c r="AP285" s="36"/>
      <c r="AQ285" s="36"/>
      <c r="AR285" s="36"/>
      <c r="AS285" s="36"/>
      <c r="AT285" s="36"/>
      <c r="AU285" s="36"/>
    </row>
    <row r="286" spans="1:47" hidden="1" x14ac:dyDescent="0.3">
      <c r="A286" s="36" t="str">
        <f>'Rate Inputs'!U17</f>
        <v>PA</v>
      </c>
      <c r="B286" s="45">
        <f>'Rate Inputs'!W17</f>
        <v>43</v>
      </c>
      <c r="G286" s="51"/>
      <c r="H286" s="681"/>
      <c r="I286" s="681"/>
      <c r="J286" s="51"/>
      <c r="L286" s="51"/>
      <c r="N286" s="36"/>
      <c r="O286" s="36"/>
      <c r="P286" s="36"/>
      <c r="Q286" s="36"/>
      <c r="R286" s="36"/>
      <c r="S286" s="36"/>
      <c r="V286" s="5"/>
      <c r="X286" s="5"/>
      <c r="Z286" s="5"/>
      <c r="AB286" s="36"/>
      <c r="AC286" s="166"/>
      <c r="AD286" s="179"/>
      <c r="AE286" s="5"/>
      <c r="AF286" s="179"/>
      <c r="AG286" s="179"/>
      <c r="AH286" s="179"/>
      <c r="AI286" s="179"/>
      <c r="AK286" s="179"/>
      <c r="AP286" s="36"/>
      <c r="AQ286" s="36"/>
      <c r="AR286" s="36"/>
      <c r="AS286" s="36"/>
      <c r="AT286" s="36"/>
      <c r="AU286" s="36"/>
    </row>
    <row r="287" spans="1:47" hidden="1" x14ac:dyDescent="0.3">
      <c r="A287" s="36" t="str">
        <f>'Rate Inputs'!U20</f>
        <v>C1.5</v>
      </c>
      <c r="B287" s="45">
        <f>'Rate Inputs'!X20</f>
        <v>118.81199999999998</v>
      </c>
      <c r="G287" s="51"/>
      <c r="H287" s="681"/>
      <c r="I287" s="681"/>
      <c r="J287" s="51"/>
      <c r="L287" s="51"/>
      <c r="N287" s="36"/>
      <c r="O287" s="36"/>
      <c r="P287" s="36"/>
      <c r="Q287" s="36"/>
      <c r="R287" s="36"/>
      <c r="S287" s="36"/>
      <c r="V287" s="5"/>
      <c r="X287" s="5"/>
      <c r="Z287" s="5"/>
      <c r="AB287" s="36"/>
      <c r="AC287" s="166"/>
      <c r="AD287" s="179"/>
      <c r="AE287" s="5"/>
      <c r="AF287" s="179"/>
      <c r="AG287" s="179"/>
      <c r="AH287" s="179"/>
      <c r="AI287" s="179"/>
      <c r="AK287" s="179"/>
      <c r="AP287" s="36"/>
      <c r="AQ287" s="36"/>
      <c r="AR287" s="36"/>
      <c r="AS287" s="36"/>
      <c r="AT287" s="36"/>
      <c r="AU287" s="36"/>
    </row>
    <row r="288" spans="1:47" hidden="1" x14ac:dyDescent="0.3">
      <c r="A288" s="36" t="str">
        <f>'Rate Inputs'!U21</f>
        <v>C2</v>
      </c>
      <c r="B288" s="45">
        <f>'Rate Inputs'!X21</f>
        <v>148.99200000000002</v>
      </c>
      <c r="G288" s="51"/>
      <c r="H288" s="681"/>
      <c r="I288" s="681"/>
      <c r="J288" s="51"/>
      <c r="L288" s="51"/>
      <c r="N288" s="36"/>
      <c r="O288" s="36"/>
      <c r="P288" s="36"/>
      <c r="Q288" s="36"/>
      <c r="R288" s="36"/>
      <c r="S288" s="36"/>
      <c r="V288" s="5"/>
      <c r="X288" s="5"/>
      <c r="Z288" s="5"/>
      <c r="AB288" s="36"/>
      <c r="AC288" s="166"/>
      <c r="AD288" s="179"/>
      <c r="AE288" s="5"/>
      <c r="AF288" s="179"/>
      <c r="AG288" s="179"/>
      <c r="AH288" s="179"/>
      <c r="AI288" s="179"/>
      <c r="AK288" s="179"/>
      <c r="AP288" s="36"/>
      <c r="AQ288" s="36"/>
      <c r="AR288" s="36"/>
      <c r="AS288" s="36"/>
      <c r="AT288" s="36"/>
      <c r="AU288" s="36"/>
    </row>
    <row r="289" spans="1:47" ht="17.25" hidden="1" thickBot="1" x14ac:dyDescent="0.35">
      <c r="A289" s="487" t="str">
        <f>'Rate Inputs'!U22</f>
        <v>CNS</v>
      </c>
      <c r="B289" s="488">
        <f>'Rate Inputs'!X22</f>
        <v>99.278000000000006</v>
      </c>
      <c r="G289" s="51"/>
      <c r="H289" s="681"/>
      <c r="I289" s="681"/>
      <c r="J289" s="51"/>
      <c r="L289" s="51"/>
      <c r="N289" s="36"/>
      <c r="O289" s="36"/>
      <c r="P289" s="36"/>
      <c r="Q289" s="36"/>
      <c r="R289" s="36"/>
      <c r="S289" s="36"/>
      <c r="V289" s="5"/>
      <c r="X289" s="5"/>
      <c r="Z289" s="5"/>
      <c r="AB289" s="36"/>
      <c r="AC289" s="166"/>
      <c r="AD289" s="179"/>
      <c r="AE289" s="5"/>
      <c r="AF289" s="179"/>
      <c r="AG289" s="179"/>
      <c r="AH289" s="179"/>
      <c r="AI289" s="179"/>
      <c r="AK289" s="179"/>
      <c r="AP289" s="36"/>
      <c r="AQ289" s="36"/>
      <c r="AR289" s="36"/>
      <c r="AS289" s="36"/>
      <c r="AT289" s="36"/>
      <c r="AU289" s="36"/>
    </row>
    <row r="290" spans="1:47" ht="17.25" hidden="1" thickTop="1" x14ac:dyDescent="0.3">
      <c r="B290" s="45"/>
      <c r="G290" s="51"/>
      <c r="H290" s="681"/>
      <c r="I290" s="681"/>
      <c r="J290" s="51"/>
      <c r="L290" s="51"/>
      <c r="N290" s="36"/>
      <c r="O290" s="36"/>
      <c r="P290" s="36"/>
      <c r="Q290" s="36"/>
      <c r="R290" s="36"/>
      <c r="S290" s="36"/>
      <c r="V290" s="5"/>
      <c r="X290" s="5"/>
      <c r="Z290" s="5"/>
      <c r="AB290" s="36"/>
      <c r="AC290" s="166"/>
      <c r="AD290" s="179"/>
      <c r="AE290" s="5"/>
      <c r="AF290" s="179"/>
      <c r="AG290" s="179"/>
      <c r="AH290" s="179"/>
      <c r="AI290" s="179"/>
      <c r="AK290" s="179"/>
      <c r="AP290" s="36"/>
      <c r="AQ290" s="36"/>
      <c r="AR290" s="36"/>
      <c r="AS290" s="36"/>
      <c r="AT290" s="36"/>
      <c r="AU290" s="36"/>
    </row>
    <row r="291" spans="1:47" hidden="1" x14ac:dyDescent="0.3">
      <c r="A291" s="255" t="s">
        <v>823</v>
      </c>
      <c r="B291" s="45"/>
      <c r="G291" s="51"/>
      <c r="H291" s="681"/>
      <c r="I291" s="681"/>
      <c r="J291" s="51"/>
      <c r="L291" s="51"/>
      <c r="N291" s="36"/>
      <c r="O291" s="36"/>
      <c r="P291" s="36"/>
      <c r="Q291" s="36"/>
      <c r="R291" s="36"/>
      <c r="S291" s="36"/>
      <c r="V291" s="5"/>
      <c r="X291" s="5"/>
      <c r="Z291" s="5"/>
      <c r="AB291" s="36"/>
      <c r="AC291" s="166"/>
      <c r="AD291" s="179"/>
      <c r="AE291" s="5"/>
      <c r="AF291" s="179"/>
      <c r="AG291" s="179"/>
      <c r="AH291" s="179"/>
      <c r="AI291" s="179"/>
      <c r="AK291" s="179"/>
      <c r="AP291" s="36"/>
      <c r="AQ291" s="36"/>
      <c r="AR291" s="36"/>
      <c r="AS291" s="36"/>
      <c r="AT291" s="36"/>
      <c r="AU291" s="36"/>
    </row>
    <row r="292" spans="1:47" hidden="1" x14ac:dyDescent="0.3">
      <c r="A292" s="36" t="str">
        <f>'Rate Inputs'!E7</f>
        <v>SV</v>
      </c>
      <c r="B292" s="45">
        <f>'Rate Inputs'!G7</f>
        <v>115</v>
      </c>
      <c r="G292" s="51"/>
      <c r="H292" s="681"/>
      <c r="I292" s="681"/>
      <c r="J292" s="51"/>
      <c r="L292" s="51"/>
      <c r="N292" s="36"/>
      <c r="O292" s="36"/>
      <c r="P292" s="36"/>
      <c r="Q292" s="36"/>
      <c r="R292" s="36"/>
      <c r="S292" s="36"/>
      <c r="V292" s="5"/>
      <c r="X292" s="5"/>
      <c r="Z292" s="5"/>
      <c r="AB292" s="36"/>
      <c r="AC292" s="166"/>
      <c r="AD292" s="179"/>
      <c r="AE292" s="5"/>
      <c r="AF292" s="179"/>
      <c r="AG292" s="179"/>
      <c r="AH292" s="179"/>
      <c r="AI292" s="179"/>
      <c r="AK292" s="179"/>
      <c r="AP292" s="36"/>
      <c r="AQ292" s="36"/>
      <c r="AR292" s="36"/>
      <c r="AS292" s="36"/>
      <c r="AT292" s="36"/>
      <c r="AU292" s="36"/>
    </row>
    <row r="293" spans="1:47" hidden="1" x14ac:dyDescent="0.3">
      <c r="A293" s="36" t="str">
        <f>'Rate Inputs'!E8</f>
        <v>S</v>
      </c>
      <c r="B293" s="45">
        <f>'Rate Inputs'!G8</f>
        <v>99.96</v>
      </c>
      <c r="G293" s="51"/>
      <c r="H293" s="681"/>
      <c r="I293" s="681"/>
      <c r="J293" s="51"/>
      <c r="L293" s="51"/>
      <c r="N293" s="36"/>
      <c r="O293" s="36"/>
      <c r="P293" s="36"/>
      <c r="Q293" s="36"/>
      <c r="R293" s="36"/>
      <c r="S293" s="36"/>
      <c r="V293" s="5"/>
      <c r="X293" s="5"/>
      <c r="Z293" s="5"/>
      <c r="AB293" s="36"/>
      <c r="AC293" s="166"/>
      <c r="AD293" s="179"/>
      <c r="AE293" s="5"/>
      <c r="AF293" s="179"/>
      <c r="AG293" s="179"/>
      <c r="AH293" s="179"/>
      <c r="AI293" s="179"/>
      <c r="AK293" s="179"/>
      <c r="AP293" s="36"/>
      <c r="AQ293" s="36"/>
      <c r="AR293" s="36"/>
      <c r="AS293" s="36"/>
      <c r="AT293" s="36"/>
      <c r="AU293" s="36"/>
    </row>
    <row r="294" spans="1:47" hidden="1" x14ac:dyDescent="0.3">
      <c r="A294" s="36" t="str">
        <f>'Rate Inputs'!E9</f>
        <v>GF</v>
      </c>
      <c r="B294" s="45">
        <f>'Rate Inputs'!G9</f>
        <v>98.2</v>
      </c>
      <c r="G294" s="51"/>
      <c r="H294" s="681"/>
      <c r="I294" s="681"/>
      <c r="J294" s="51"/>
      <c r="L294" s="51"/>
      <c r="N294" s="36"/>
      <c r="O294" s="36"/>
      <c r="P294" s="36"/>
      <c r="Q294" s="36"/>
      <c r="R294" s="36"/>
      <c r="S294" s="36"/>
      <c r="V294" s="5"/>
      <c r="X294" s="5"/>
      <c r="Z294" s="5"/>
      <c r="AB294" s="36"/>
      <c r="AC294" s="166"/>
      <c r="AD294" s="179"/>
      <c r="AE294" s="5"/>
      <c r="AF294" s="179"/>
      <c r="AG294" s="179"/>
      <c r="AH294" s="179"/>
      <c r="AI294" s="179"/>
      <c r="AK294" s="179"/>
      <c r="AP294" s="36"/>
      <c r="AQ294" s="36"/>
      <c r="AR294" s="36"/>
      <c r="AS294" s="36"/>
      <c r="AT294" s="36"/>
      <c r="AU294" s="36"/>
    </row>
    <row r="295" spans="1:47" hidden="1" x14ac:dyDescent="0.3">
      <c r="A295" s="36" t="str">
        <f>'Rate Inputs'!E10</f>
        <v>F</v>
      </c>
      <c r="B295" s="45">
        <f>'Rate Inputs'!G10</f>
        <v>97.03</v>
      </c>
      <c r="G295" s="51"/>
      <c r="H295" s="681"/>
      <c r="I295" s="681"/>
      <c r="J295" s="51"/>
      <c r="L295" s="51"/>
      <c r="N295" s="36"/>
      <c r="O295" s="36"/>
      <c r="P295" s="36"/>
      <c r="Q295" s="36"/>
      <c r="R295" s="36"/>
      <c r="S295" s="36"/>
      <c r="V295" s="5"/>
      <c r="X295" s="5"/>
      <c r="Z295" s="5"/>
      <c r="AB295" s="36"/>
      <c r="AC295" s="166"/>
      <c r="AD295" s="179"/>
      <c r="AE295" s="5"/>
      <c r="AF295" s="179"/>
      <c r="AG295" s="179"/>
      <c r="AH295" s="179"/>
      <c r="AI295" s="179"/>
      <c r="AK295" s="179"/>
      <c r="AP295" s="36"/>
      <c r="AQ295" s="36"/>
      <c r="AR295" s="36"/>
      <c r="AS295" s="36"/>
      <c r="AT295" s="36"/>
      <c r="AU295" s="36"/>
    </row>
    <row r="296" spans="1:47" hidden="1" x14ac:dyDescent="0.3">
      <c r="A296" s="36" t="str">
        <f>'Rate Inputs'!E11</f>
        <v>J</v>
      </c>
      <c r="B296" s="45">
        <f>'Rate Inputs'!G11</f>
        <v>92.93</v>
      </c>
      <c r="G296" s="51"/>
      <c r="H296" s="681"/>
      <c r="I296" s="681"/>
      <c r="J296" s="51"/>
      <c r="L296" s="51"/>
      <c r="N296" s="36"/>
      <c r="O296" s="36"/>
      <c r="P296" s="36"/>
      <c r="Q296" s="36"/>
      <c r="R296" s="36"/>
      <c r="S296" s="36"/>
      <c r="V296" s="5"/>
      <c r="X296" s="5"/>
      <c r="Z296" s="5"/>
      <c r="AB296" s="36"/>
      <c r="AC296" s="166"/>
      <c r="AD296" s="179"/>
      <c r="AE296" s="5"/>
      <c r="AF296" s="179"/>
      <c r="AG296" s="179"/>
      <c r="AH296" s="179"/>
      <c r="AI296" s="179"/>
      <c r="AK296" s="179"/>
      <c r="AP296" s="36"/>
      <c r="AQ296" s="36"/>
      <c r="AR296" s="36"/>
      <c r="AS296" s="36"/>
      <c r="AT296" s="36"/>
      <c r="AU296" s="36"/>
    </row>
    <row r="297" spans="1:47" hidden="1" x14ac:dyDescent="0.3">
      <c r="A297" s="36" t="str">
        <f>'Rate Inputs'!E12</f>
        <v>5A</v>
      </c>
      <c r="B297" s="45">
        <f>'Rate Inputs'!G12</f>
        <v>79</v>
      </c>
      <c r="G297" s="51"/>
      <c r="H297" s="681"/>
      <c r="I297" s="681"/>
      <c r="J297" s="51"/>
      <c r="L297" s="51"/>
      <c r="N297" s="36"/>
      <c r="O297" s="36"/>
      <c r="P297" s="36"/>
      <c r="Q297" s="36"/>
      <c r="R297" s="36"/>
      <c r="S297" s="36"/>
      <c r="V297" s="5"/>
      <c r="X297" s="5"/>
      <c r="Z297" s="5"/>
      <c r="AB297" s="36"/>
      <c r="AC297" s="166"/>
      <c r="AD297" s="179"/>
      <c r="AE297" s="5"/>
      <c r="AF297" s="179"/>
      <c r="AG297" s="179"/>
      <c r="AH297" s="179"/>
      <c r="AI297" s="179"/>
      <c r="AK297" s="179"/>
      <c r="AP297" s="36"/>
      <c r="AQ297" s="36"/>
      <c r="AR297" s="36"/>
      <c r="AS297" s="36"/>
      <c r="AT297" s="36"/>
      <c r="AU297" s="36"/>
    </row>
    <row r="298" spans="1:47" hidden="1" x14ac:dyDescent="0.3">
      <c r="A298" s="36" t="str">
        <f>'Rate Inputs'!E13</f>
        <v>4A</v>
      </c>
      <c r="B298" s="45">
        <f>'Rate Inputs'!G13</f>
        <v>78</v>
      </c>
      <c r="G298" s="51"/>
      <c r="H298" s="681"/>
      <c r="I298" s="681"/>
      <c r="J298" s="51"/>
      <c r="L298" s="51"/>
      <c r="N298" s="36"/>
      <c r="O298" s="36"/>
      <c r="P298" s="36"/>
      <c r="Q298" s="36"/>
      <c r="R298" s="36"/>
      <c r="S298" s="36"/>
      <c r="V298" s="5"/>
      <c r="X298" s="5"/>
      <c r="Z298" s="5"/>
      <c r="AB298" s="36"/>
      <c r="AC298" s="166"/>
      <c r="AD298" s="179"/>
      <c r="AE298" s="5"/>
      <c r="AF298" s="179"/>
      <c r="AG298" s="179"/>
      <c r="AH298" s="179"/>
      <c r="AI298" s="179"/>
      <c r="AK298" s="179"/>
      <c r="AP298" s="36"/>
      <c r="AQ298" s="36"/>
      <c r="AR298" s="36"/>
      <c r="AS298" s="36"/>
      <c r="AT298" s="36"/>
      <c r="AU298" s="36"/>
    </row>
    <row r="299" spans="1:47" hidden="1" x14ac:dyDescent="0.3">
      <c r="A299" s="36" t="str">
        <f>'Rate Inputs'!E14</f>
        <v>3A</v>
      </c>
      <c r="B299" s="45">
        <f>'Rate Inputs'!G14</f>
        <v>72</v>
      </c>
      <c r="G299" s="51"/>
      <c r="H299" s="681"/>
      <c r="I299" s="681"/>
      <c r="J299" s="51"/>
      <c r="L299" s="51"/>
      <c r="N299" s="36"/>
      <c r="O299" s="36"/>
      <c r="P299" s="36"/>
      <c r="Q299" s="36"/>
      <c r="R299" s="36"/>
      <c r="S299" s="36"/>
      <c r="V299" s="5"/>
      <c r="X299" s="5"/>
      <c r="Z299" s="5"/>
      <c r="AB299" s="36"/>
      <c r="AC299" s="166"/>
      <c r="AD299" s="179"/>
      <c r="AE299" s="5"/>
      <c r="AF299" s="179"/>
      <c r="AG299" s="179"/>
      <c r="AH299" s="179"/>
      <c r="AI299" s="179"/>
      <c r="AK299" s="179"/>
      <c r="AP299" s="36"/>
      <c r="AQ299" s="36"/>
      <c r="AR299" s="36"/>
      <c r="AS299" s="36"/>
      <c r="AT299" s="36"/>
      <c r="AU299" s="36"/>
    </row>
    <row r="300" spans="1:47" hidden="1" x14ac:dyDescent="0.3">
      <c r="A300" s="36" t="str">
        <f>'Rate Inputs'!E15</f>
        <v>2A</v>
      </c>
      <c r="B300" s="45">
        <f>'Rate Inputs'!G15</f>
        <v>60.25</v>
      </c>
      <c r="G300" s="51"/>
      <c r="H300" s="681"/>
      <c r="I300" s="681"/>
      <c r="J300" s="51"/>
      <c r="L300" s="51"/>
      <c r="N300" s="36"/>
      <c r="O300" s="36"/>
      <c r="P300" s="36"/>
      <c r="Q300" s="36"/>
      <c r="R300" s="36"/>
      <c r="S300" s="36"/>
      <c r="V300" s="5"/>
      <c r="X300" s="5"/>
      <c r="Z300" s="5"/>
      <c r="AB300" s="36"/>
      <c r="AC300" s="166"/>
      <c r="AD300" s="179"/>
      <c r="AE300" s="5"/>
      <c r="AF300" s="179"/>
      <c r="AG300" s="179"/>
      <c r="AH300" s="179"/>
      <c r="AI300" s="179"/>
      <c r="AK300" s="179"/>
      <c r="AP300" s="36"/>
      <c r="AQ300" s="36"/>
      <c r="AR300" s="36"/>
      <c r="AS300" s="36"/>
      <c r="AT300" s="36"/>
      <c r="AU300" s="36"/>
    </row>
    <row r="301" spans="1:47" hidden="1" x14ac:dyDescent="0.3">
      <c r="A301" s="36" t="str">
        <f>'Rate Inputs'!E16</f>
        <v>1A</v>
      </c>
      <c r="B301" s="45">
        <f>'Rate Inputs'!G16</f>
        <v>57.3</v>
      </c>
      <c r="G301" s="51"/>
      <c r="H301" s="681"/>
      <c r="I301" s="681"/>
      <c r="J301" s="51"/>
      <c r="L301" s="51"/>
      <c r="N301" s="36"/>
      <c r="O301" s="36"/>
      <c r="P301" s="36"/>
      <c r="Q301" s="36"/>
      <c r="R301" s="36"/>
      <c r="S301" s="36"/>
      <c r="V301" s="5"/>
      <c r="X301" s="5"/>
      <c r="Z301" s="5"/>
      <c r="AB301" s="36"/>
      <c r="AC301" s="166"/>
      <c r="AD301" s="179"/>
      <c r="AE301" s="5"/>
      <c r="AF301" s="179"/>
      <c r="AG301" s="179"/>
      <c r="AH301" s="179"/>
      <c r="AI301" s="179"/>
      <c r="AK301" s="179"/>
      <c r="AP301" s="36"/>
      <c r="AQ301" s="36"/>
      <c r="AR301" s="36"/>
      <c r="AS301" s="36"/>
      <c r="AT301" s="36"/>
      <c r="AU301" s="36"/>
    </row>
    <row r="302" spans="1:47" hidden="1" x14ac:dyDescent="0.3">
      <c r="A302" s="36" t="str">
        <f>'Rate Inputs'!E17</f>
        <v>PA</v>
      </c>
      <c r="B302" s="45">
        <f>'Rate Inputs'!G17</f>
        <v>46.59</v>
      </c>
      <c r="G302" s="51"/>
      <c r="H302" s="681"/>
      <c r="I302" s="681"/>
      <c r="J302" s="51"/>
      <c r="L302" s="51"/>
      <c r="N302" s="36"/>
      <c r="O302" s="36"/>
      <c r="P302" s="36"/>
      <c r="Q302" s="36"/>
      <c r="R302" s="36"/>
      <c r="S302" s="36"/>
      <c r="V302" s="5"/>
      <c r="X302" s="5"/>
      <c r="Z302" s="5"/>
      <c r="AB302" s="36"/>
      <c r="AC302" s="166"/>
      <c r="AD302" s="179"/>
      <c r="AE302" s="5"/>
      <c r="AF302" s="179"/>
      <c r="AG302" s="179"/>
      <c r="AH302" s="179"/>
      <c r="AI302" s="179"/>
      <c r="AK302" s="179"/>
      <c r="AP302" s="36"/>
      <c r="AQ302" s="36"/>
      <c r="AR302" s="36"/>
      <c r="AS302" s="36"/>
      <c r="AT302" s="36"/>
      <c r="AU302" s="36"/>
    </row>
    <row r="303" spans="1:47" hidden="1" x14ac:dyDescent="0.3">
      <c r="A303" s="36" t="str">
        <f>'Rate Inputs'!E20</f>
        <v>C1.5</v>
      </c>
      <c r="B303" s="45">
        <f>'Rate Inputs'!H20</f>
        <v>125.50399999999999</v>
      </c>
      <c r="G303" s="51"/>
      <c r="H303" s="681"/>
      <c r="I303" s="681"/>
      <c r="J303" s="51"/>
      <c r="L303" s="51"/>
      <c r="N303" s="36"/>
      <c r="O303" s="36"/>
      <c r="P303" s="36"/>
      <c r="Q303" s="36"/>
      <c r="R303" s="36"/>
      <c r="S303" s="36"/>
      <c r="V303" s="5"/>
      <c r="X303" s="5"/>
      <c r="Z303" s="5"/>
      <c r="AB303" s="36"/>
      <c r="AC303" s="166"/>
      <c r="AD303" s="179"/>
      <c r="AE303" s="5"/>
      <c r="AF303" s="179"/>
      <c r="AG303" s="179"/>
      <c r="AH303" s="179"/>
      <c r="AI303" s="179"/>
      <c r="AK303" s="179"/>
      <c r="AP303" s="36"/>
      <c r="AQ303" s="36"/>
      <c r="AR303" s="36"/>
      <c r="AS303" s="36"/>
      <c r="AT303" s="36"/>
      <c r="AU303" s="36"/>
    </row>
    <row r="304" spans="1:47" hidden="1" x14ac:dyDescent="0.3">
      <c r="A304" s="36" t="str">
        <f>'Rate Inputs'!E21</f>
        <v>C2</v>
      </c>
      <c r="B304" s="45">
        <f>'Rate Inputs'!H21</f>
        <v>152.46800000000002</v>
      </c>
    </row>
    <row r="305" spans="1:2" ht="17.25" hidden="1" thickBot="1" x14ac:dyDescent="0.35">
      <c r="A305" s="487" t="str">
        <f>'Rate Inputs'!E22</f>
        <v>CNS</v>
      </c>
      <c r="B305" s="488">
        <f>'Rate Inputs'!H22</f>
        <v>102.184</v>
      </c>
    </row>
    <row r="306" spans="1:2" ht="17.25" hidden="1" thickTop="1" x14ac:dyDescent="0.3"/>
    <row r="307" spans="1:2" hidden="1" x14ac:dyDescent="0.3">
      <c r="A307" s="255" t="s">
        <v>824</v>
      </c>
      <c r="B307" s="45"/>
    </row>
    <row r="308" spans="1:2" hidden="1" x14ac:dyDescent="0.3">
      <c r="A308" s="36" t="str">
        <f>'Rate Inputs'!M7</f>
        <v>SV</v>
      </c>
      <c r="B308" s="45">
        <f>'Rate Inputs'!O7</f>
        <v>115</v>
      </c>
    </row>
    <row r="309" spans="1:2" hidden="1" x14ac:dyDescent="0.3">
      <c r="A309" s="36" t="str">
        <f>'Rate Inputs'!M8</f>
        <v>S</v>
      </c>
      <c r="B309" s="45">
        <f>'Rate Inputs'!O8</f>
        <v>99.96</v>
      </c>
    </row>
    <row r="310" spans="1:2" hidden="1" x14ac:dyDescent="0.3">
      <c r="A310" s="36" t="str">
        <f>'Rate Inputs'!M9</f>
        <v>GF</v>
      </c>
      <c r="B310" s="45">
        <f>'Rate Inputs'!O9</f>
        <v>98.2</v>
      </c>
    </row>
    <row r="311" spans="1:2" hidden="1" x14ac:dyDescent="0.3">
      <c r="A311" s="36" t="str">
        <f>'Rate Inputs'!M10</f>
        <v>F</v>
      </c>
      <c r="B311" s="45">
        <f>'Rate Inputs'!O10</f>
        <v>97.03</v>
      </c>
    </row>
    <row r="312" spans="1:2" hidden="1" x14ac:dyDescent="0.3">
      <c r="A312" s="36" t="str">
        <f>'Rate Inputs'!M11</f>
        <v>J</v>
      </c>
      <c r="B312" s="45">
        <f>'Rate Inputs'!O11</f>
        <v>92.93</v>
      </c>
    </row>
    <row r="313" spans="1:2" hidden="1" x14ac:dyDescent="0.3">
      <c r="A313" s="36" t="str">
        <f>'Rate Inputs'!M12</f>
        <v>5A</v>
      </c>
      <c r="B313" s="45">
        <f>'Rate Inputs'!O12</f>
        <v>79</v>
      </c>
    </row>
    <row r="314" spans="1:2" hidden="1" x14ac:dyDescent="0.3">
      <c r="A314" s="36" t="str">
        <f>'Rate Inputs'!M13</f>
        <v>4A</v>
      </c>
      <c r="B314" s="45">
        <f>'Rate Inputs'!O13</f>
        <v>78</v>
      </c>
    </row>
    <row r="315" spans="1:2" hidden="1" x14ac:dyDescent="0.3">
      <c r="A315" s="36" t="str">
        <f>'Rate Inputs'!M14</f>
        <v>3A</v>
      </c>
      <c r="B315" s="45">
        <f>'Rate Inputs'!O14</f>
        <v>72</v>
      </c>
    </row>
    <row r="316" spans="1:2" hidden="1" x14ac:dyDescent="0.3">
      <c r="A316" s="36" t="str">
        <f>'Rate Inputs'!M15</f>
        <v>2A</v>
      </c>
      <c r="B316" s="45">
        <f>'Rate Inputs'!O15</f>
        <v>60.25</v>
      </c>
    </row>
    <row r="317" spans="1:2" hidden="1" x14ac:dyDescent="0.3">
      <c r="A317" s="36" t="str">
        <f>'Rate Inputs'!M16</f>
        <v>1A</v>
      </c>
      <c r="B317" s="45">
        <f>'Rate Inputs'!O16</f>
        <v>57.3</v>
      </c>
    </row>
    <row r="318" spans="1:2" hidden="1" x14ac:dyDescent="0.3">
      <c r="A318" s="36" t="str">
        <f>'Rate Inputs'!M17</f>
        <v>PA</v>
      </c>
      <c r="B318" s="45">
        <f>'Rate Inputs'!O17</f>
        <v>46.59</v>
      </c>
    </row>
    <row r="319" spans="1:2" hidden="1" x14ac:dyDescent="0.3">
      <c r="A319" s="36" t="str">
        <f>'Rate Inputs'!M20</f>
        <v>C1.5</v>
      </c>
      <c r="B319" s="45">
        <f>'Rate Inputs'!P20</f>
        <v>125.50399999999999</v>
      </c>
    </row>
    <row r="320" spans="1:2" hidden="1" x14ac:dyDescent="0.3">
      <c r="A320" s="36" t="str">
        <f>'Rate Inputs'!M21</f>
        <v>C2</v>
      </c>
      <c r="B320" s="45">
        <f>'Rate Inputs'!P21</f>
        <v>152.46800000000002</v>
      </c>
    </row>
    <row r="321" spans="1:2" ht="17.25" hidden="1" thickBot="1" x14ac:dyDescent="0.35">
      <c r="A321" s="487" t="str">
        <f>'Rate Inputs'!M22</f>
        <v>CNS</v>
      </c>
      <c r="B321" s="488">
        <f>'Rate Inputs'!P22</f>
        <v>102.184</v>
      </c>
    </row>
    <row r="322" spans="1:2" ht="17.25" hidden="1" thickTop="1" x14ac:dyDescent="0.3"/>
    <row r="323" spans="1:2" hidden="1" x14ac:dyDescent="0.3">
      <c r="A323" s="255" t="s">
        <v>12</v>
      </c>
    </row>
    <row r="324" spans="1:2" hidden="1" x14ac:dyDescent="0.3">
      <c r="A324" s="36" t="s">
        <v>995</v>
      </c>
    </row>
    <row r="325" spans="1:2" hidden="1" x14ac:dyDescent="0.3">
      <c r="A325" s="36" t="s">
        <v>18</v>
      </c>
    </row>
    <row r="326" spans="1:2" hidden="1" x14ac:dyDescent="0.3">
      <c r="A326" s="36" t="s">
        <v>672</v>
      </c>
    </row>
    <row r="327" spans="1:2" hidden="1" x14ac:dyDescent="0.3">
      <c r="A327" s="36" t="s">
        <v>996</v>
      </c>
    </row>
  </sheetData>
  <sheetProtection formatRows="0"/>
  <sortState xmlns:xlrd2="http://schemas.microsoft.com/office/spreadsheetml/2017/richdata2" ref="A296:B305">
    <sortCondition ref="A296"/>
  </sortState>
  <mergeCells count="201">
    <mergeCell ref="B60:D60"/>
    <mergeCell ref="B61:D61"/>
    <mergeCell ref="B62:D62"/>
    <mergeCell ref="B63:D63"/>
    <mergeCell ref="B64:D64"/>
    <mergeCell ref="T183:U183"/>
    <mergeCell ref="B65:D65"/>
    <mergeCell ref="B67:D67"/>
    <mergeCell ref="B68:D68"/>
    <mergeCell ref="B69:D69"/>
    <mergeCell ref="T178:U178"/>
    <mergeCell ref="T179:U179"/>
    <mergeCell ref="B72:D72"/>
    <mergeCell ref="B73:D73"/>
    <mergeCell ref="B74:D74"/>
    <mergeCell ref="B75:D75"/>
    <mergeCell ref="B76:D76"/>
    <mergeCell ref="B77:D77"/>
    <mergeCell ref="B78:D78"/>
    <mergeCell ref="B79:D79"/>
    <mergeCell ref="B80:D80"/>
    <mergeCell ref="B81:D81"/>
    <mergeCell ref="B82:D82"/>
    <mergeCell ref="B83:D83"/>
    <mergeCell ref="B36:D36"/>
    <mergeCell ref="B37:D37"/>
    <mergeCell ref="B38:D38"/>
    <mergeCell ref="B39:D39"/>
    <mergeCell ref="O1:T1"/>
    <mergeCell ref="AL1:AM1"/>
    <mergeCell ref="J17:K17"/>
    <mergeCell ref="J16:K16"/>
    <mergeCell ref="J9:K9"/>
    <mergeCell ref="J13:K13"/>
    <mergeCell ref="J14:K14"/>
    <mergeCell ref="J10:K10"/>
    <mergeCell ref="J11:K11"/>
    <mergeCell ref="J12:K12"/>
    <mergeCell ref="J8:K8"/>
    <mergeCell ref="J15:K15"/>
    <mergeCell ref="Z6:AB6"/>
    <mergeCell ref="J6:K6"/>
    <mergeCell ref="J7:K7"/>
    <mergeCell ref="M6:R6"/>
    <mergeCell ref="J3:K3"/>
    <mergeCell ref="J4:K4"/>
    <mergeCell ref="T191:U191"/>
    <mergeCell ref="T192:U192"/>
    <mergeCell ref="T193:U193"/>
    <mergeCell ref="T184:U184"/>
    <mergeCell ref="T185:U185"/>
    <mergeCell ref="T188:U188"/>
    <mergeCell ref="T189:U189"/>
    <mergeCell ref="T190:U190"/>
    <mergeCell ref="T176:U176"/>
    <mergeCell ref="T177:U177"/>
    <mergeCell ref="T187:U187"/>
    <mergeCell ref="T180:U180"/>
    <mergeCell ref="T181:U181"/>
    <mergeCell ref="T182:U182"/>
    <mergeCell ref="T197:U197"/>
    <mergeCell ref="T194:U194"/>
    <mergeCell ref="T195:U195"/>
    <mergeCell ref="B33:D33"/>
    <mergeCell ref="B34:D34"/>
    <mergeCell ref="B35:D35"/>
    <mergeCell ref="B54:D54"/>
    <mergeCell ref="B55:D55"/>
    <mergeCell ref="B40:D40"/>
    <mergeCell ref="B41:D41"/>
    <mergeCell ref="B42:D42"/>
    <mergeCell ref="B43:D43"/>
    <mergeCell ref="B49:D49"/>
    <mergeCell ref="B50:D50"/>
    <mergeCell ref="B51:D51"/>
    <mergeCell ref="B52:D52"/>
    <mergeCell ref="B53:D53"/>
    <mergeCell ref="B56:D56"/>
    <mergeCell ref="B57:D57"/>
    <mergeCell ref="B58:D58"/>
    <mergeCell ref="B59:D59"/>
    <mergeCell ref="B44:D44"/>
    <mergeCell ref="B45:D45"/>
    <mergeCell ref="B46:D46"/>
    <mergeCell ref="B84:D84"/>
    <mergeCell ref="B85:D85"/>
    <mergeCell ref="U6:W6"/>
    <mergeCell ref="B66:D66"/>
    <mergeCell ref="T175:U175"/>
    <mergeCell ref="T196:U196"/>
    <mergeCell ref="B28:D28"/>
    <mergeCell ref="B29:D29"/>
    <mergeCell ref="B30:D30"/>
    <mergeCell ref="B31:D31"/>
    <mergeCell ref="B32:D32"/>
    <mergeCell ref="B22:D22"/>
    <mergeCell ref="B23:D23"/>
    <mergeCell ref="B24:D24"/>
    <mergeCell ref="B25:D25"/>
    <mergeCell ref="B26:D26"/>
    <mergeCell ref="B20:D20"/>
    <mergeCell ref="B21:D21"/>
    <mergeCell ref="B47:D47"/>
    <mergeCell ref="B48:D48"/>
    <mergeCell ref="B27:D27"/>
    <mergeCell ref="B91:D91"/>
    <mergeCell ref="B92:D92"/>
    <mergeCell ref="B93:D93"/>
    <mergeCell ref="B94:D94"/>
    <mergeCell ref="B95:D95"/>
    <mergeCell ref="B86:D86"/>
    <mergeCell ref="B87:D87"/>
    <mergeCell ref="B88:D88"/>
    <mergeCell ref="B89:D89"/>
    <mergeCell ref="B90:D90"/>
    <mergeCell ref="B101:D101"/>
    <mergeCell ref="B102:D102"/>
    <mergeCell ref="B103:D103"/>
    <mergeCell ref="B104:D104"/>
    <mergeCell ref="B105:D105"/>
    <mergeCell ref="B96:D96"/>
    <mergeCell ref="B97:D97"/>
    <mergeCell ref="B98:D98"/>
    <mergeCell ref="B99:D99"/>
    <mergeCell ref="B100:D100"/>
    <mergeCell ref="B111:D111"/>
    <mergeCell ref="B112:D112"/>
    <mergeCell ref="B113:D113"/>
    <mergeCell ref="B114:D114"/>
    <mergeCell ref="B115:D115"/>
    <mergeCell ref="B106:D106"/>
    <mergeCell ref="B107:D107"/>
    <mergeCell ref="B108:D108"/>
    <mergeCell ref="B109:D109"/>
    <mergeCell ref="B110:D110"/>
    <mergeCell ref="B121:D121"/>
    <mergeCell ref="B124:D124"/>
    <mergeCell ref="B125:D125"/>
    <mergeCell ref="B126:D126"/>
    <mergeCell ref="B127:D127"/>
    <mergeCell ref="B116:D116"/>
    <mergeCell ref="B117:D117"/>
    <mergeCell ref="B118:D118"/>
    <mergeCell ref="B119:D119"/>
    <mergeCell ref="B120:D120"/>
    <mergeCell ref="B133:D133"/>
    <mergeCell ref="B134:D134"/>
    <mergeCell ref="B135:D135"/>
    <mergeCell ref="B136:D136"/>
    <mergeCell ref="B137:D137"/>
    <mergeCell ref="B128:D128"/>
    <mergeCell ref="B129:D129"/>
    <mergeCell ref="B130:D130"/>
    <mergeCell ref="B131:D131"/>
    <mergeCell ref="B132:D132"/>
    <mergeCell ref="B143:D143"/>
    <mergeCell ref="B144:D144"/>
    <mergeCell ref="B145:D145"/>
    <mergeCell ref="B146:D146"/>
    <mergeCell ref="B147:D147"/>
    <mergeCell ref="B138:D138"/>
    <mergeCell ref="B139:D139"/>
    <mergeCell ref="B140:D140"/>
    <mergeCell ref="B141:D141"/>
    <mergeCell ref="B142:D142"/>
    <mergeCell ref="B161:D161"/>
    <mergeCell ref="B162:D162"/>
    <mergeCell ref="B153:D153"/>
    <mergeCell ref="B154:D154"/>
    <mergeCell ref="B155:D155"/>
    <mergeCell ref="B156:D156"/>
    <mergeCell ref="B157:D157"/>
    <mergeCell ref="B148:D148"/>
    <mergeCell ref="B149:D149"/>
    <mergeCell ref="B150:D150"/>
    <mergeCell ref="B151:D151"/>
    <mergeCell ref="B152:D152"/>
    <mergeCell ref="B173:D173"/>
    <mergeCell ref="B8:C8"/>
    <mergeCell ref="B9:C9"/>
    <mergeCell ref="B10:C10"/>
    <mergeCell ref="B11:C11"/>
    <mergeCell ref="B12:C12"/>
    <mergeCell ref="B13:C13"/>
    <mergeCell ref="B14:C14"/>
    <mergeCell ref="B15:C15"/>
    <mergeCell ref="B16:C16"/>
    <mergeCell ref="B17:C17"/>
    <mergeCell ref="B168:D168"/>
    <mergeCell ref="B169:D169"/>
    <mergeCell ref="B170:D170"/>
    <mergeCell ref="B171:D171"/>
    <mergeCell ref="B172:D172"/>
    <mergeCell ref="B163:D163"/>
    <mergeCell ref="B164:D164"/>
    <mergeCell ref="B165:D165"/>
    <mergeCell ref="B166:D166"/>
    <mergeCell ref="B167:D167"/>
    <mergeCell ref="B158:D158"/>
    <mergeCell ref="B159:D159"/>
    <mergeCell ref="B160:D160"/>
  </mergeCells>
  <conditionalFormatting sqref="N20:N69 N72:N121 N124:N173">
    <cfRule type="expression" dxfId="93" priority="56">
      <formula>N20&gt;#REF!</formula>
    </cfRule>
  </conditionalFormatting>
  <conditionalFormatting sqref="M124:M159">
    <cfRule type="expression" dxfId="92" priority="40">
      <formula>"AH54&gt;0"</formula>
    </cfRule>
  </conditionalFormatting>
  <conditionalFormatting sqref="J8:J17 K8">
    <cfRule type="expression" dxfId="91" priority="31">
      <formula>AND(N8&gt;0,J8="")</formula>
    </cfRule>
  </conditionalFormatting>
  <conditionalFormatting sqref="Z176:Z185 Z188:Z197 Z20:Z69 Z72:Z121 Z124:Z173">
    <cfRule type="cellIs" dxfId="90" priority="30" operator="greaterThan">
      <formula>0</formula>
    </cfRule>
  </conditionalFormatting>
  <conditionalFormatting sqref="E8:F17 E188:F197 E200:F209 E176:F185">
    <cfRule type="expression" dxfId="89" priority="57">
      <formula>AND(AH8&gt;0,D8="")</formula>
    </cfRule>
  </conditionalFormatting>
  <conditionalFormatting sqref="E200:F209 E8:F17 E188:F197 E176:F185">
    <cfRule type="expression" dxfId="88" priority="61">
      <formula>AND(R8&gt;0,D8="")</formula>
    </cfRule>
  </conditionalFormatting>
  <conditionalFormatting sqref="E72:F121 E124:F173 E20:F69">
    <cfRule type="notContainsBlanks" dxfId="87" priority="62">
      <formula>LEN(TRIM(E20))&gt;0</formula>
    </cfRule>
  </conditionalFormatting>
  <conditionalFormatting sqref="G20:G69">
    <cfRule type="expression" dxfId="86" priority="6">
      <formula>AND(B20="",P20&gt;0)</formula>
    </cfRule>
  </conditionalFormatting>
  <conditionalFormatting sqref="G72:G121">
    <cfRule type="expression" dxfId="85" priority="5">
      <formula>AND(B72="",P72&gt;0)</formula>
    </cfRule>
  </conditionalFormatting>
  <conditionalFormatting sqref="G124:G173">
    <cfRule type="expression" dxfId="84" priority="4">
      <formula>AND(B124="",P124&gt;0)</formula>
    </cfRule>
  </conditionalFormatting>
  <conditionalFormatting sqref="K20:K69">
    <cfRule type="expression" dxfId="83" priority="3">
      <formula>AND(K20="",J20&gt;0)</formula>
    </cfRule>
  </conditionalFormatting>
  <conditionalFormatting sqref="K72:K121">
    <cfRule type="expression" dxfId="82" priority="2">
      <formula>AND(K72="",J72&gt;0)</formula>
    </cfRule>
  </conditionalFormatting>
  <conditionalFormatting sqref="K124:K173">
    <cfRule type="expression" dxfId="81" priority="1">
      <formula>AND(K124="",J124&gt;0)</formula>
    </cfRule>
  </conditionalFormatting>
  <dataValidations count="8">
    <dataValidation type="list" allowBlank="1" showInputMessage="1" showErrorMessage="1" sqref="D176:D185" xr:uid="{00000000-0002-0000-0100-000000000000}">
      <formula1>$A$244:$A$247</formula1>
    </dataValidation>
    <dataValidation type="list" allowBlank="1" showInputMessage="1" showErrorMessage="1" sqref="D200:D209" xr:uid="{00000000-0002-0000-0100-000001000000}">
      <formula1>$A$228:$A$243</formula1>
    </dataValidation>
    <dataValidation type="list" allowBlank="1" showInputMessage="1" showErrorMessage="1" sqref="D188:D197" xr:uid="{00000000-0002-0000-0100-000002000000}">
      <formula1>$A$253:$A$264</formula1>
    </dataValidation>
    <dataValidation type="list" allowBlank="1" showInputMessage="1" showErrorMessage="1" sqref="D8:D17" xr:uid="{00000000-0002-0000-0100-000003000000}">
      <formula1>$A$265:$A$273</formula1>
    </dataValidation>
    <dataValidation type="list" allowBlank="1" showInputMessage="1" showErrorMessage="1" sqref="E124:F173" xr:uid="{00000000-0002-0000-0100-000004000000}">
      <formula1>$A$308:$A$321</formula1>
    </dataValidation>
    <dataValidation type="list" allowBlank="1" showInputMessage="1" showErrorMessage="1" sqref="E20:F69" xr:uid="{00000000-0002-0000-0100-000005000000}">
      <formula1>$A$276:$A$289</formula1>
    </dataValidation>
    <dataValidation type="list" allowBlank="1" showInputMessage="1" showErrorMessage="1" sqref="E72:F121" xr:uid="{00000000-0002-0000-0100-000006000000}">
      <formula1>$A$292:$A$305</formula1>
    </dataValidation>
    <dataValidation type="list" allowBlank="1" showInputMessage="1" showErrorMessage="1" sqref="K72:K121 K124:K173 K20:K69" xr:uid="{00000000-0002-0000-0100-000007000000}">
      <formula1>$A$324:$A$327</formula1>
    </dataValidation>
  </dataValidations>
  <printOptions horizontalCentered="1"/>
  <pageMargins left="0.25" right="0.25" top="0.35" bottom="0.34" header="0.17" footer="0.17"/>
  <pageSetup scale="64" orientation="landscape" r:id="rId1"/>
  <headerFooter>
    <oddHeader>&amp;L&amp;"Arial Narrow,Regular"&amp;9&amp;F&amp;R&amp;"Arial Narrow,Regular"&amp;9&amp;A</oddHeader>
    <oddFooter>&amp;L&amp;"Arial Narrow,Regular"&amp;9&amp;D&amp;T&amp;C&amp;"Arial Narrow,Regular"&amp;9Page &amp;P of &amp;N&amp;R&amp;"Arial Narrow,Regular"&amp;9&amp;Z&amp;F</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tint="-0.499984740745262"/>
  </sheetPr>
  <dimension ref="A1:O57"/>
  <sheetViews>
    <sheetView showGridLines="0" topLeftCell="A28" workbookViewId="0">
      <selection activeCell="A56" sqref="A56"/>
    </sheetView>
  </sheetViews>
  <sheetFormatPr defaultColWidth="8.85546875" defaultRowHeight="12.75" x14ac:dyDescent="0.2"/>
  <cols>
    <col min="1" max="1" width="4.42578125" style="270" customWidth="1"/>
    <col min="2" max="4" width="7.42578125" style="50" customWidth="1"/>
    <col min="5" max="5" width="8.85546875" style="50"/>
    <col min="6" max="6" width="5.7109375" style="50" customWidth="1"/>
    <col min="7" max="7" width="1.28515625" style="50" customWidth="1"/>
    <col min="8" max="8" width="8.7109375" style="50" customWidth="1"/>
    <col min="9" max="13" width="8.85546875" style="50"/>
    <col min="14" max="14" width="4.42578125" style="50" customWidth="1"/>
    <col min="15" max="15" width="10.42578125" style="50" customWidth="1"/>
    <col min="16" max="16" width="9.140625" style="50" customWidth="1"/>
    <col min="17" max="18" width="8.85546875" style="50"/>
    <col min="19" max="19" width="9.140625" style="50" customWidth="1"/>
    <col min="20" max="20" width="8.85546875" style="50"/>
    <col min="21" max="22" width="9.140625" style="50" customWidth="1"/>
    <col min="23" max="28" width="8.85546875" style="50"/>
    <col min="29" max="29" width="9.140625" style="50" customWidth="1"/>
    <col min="30" max="30" width="8.85546875" style="50"/>
    <col min="31" max="31" width="9.140625" style="50" customWidth="1"/>
    <col min="32" max="16384" width="8.85546875" style="50"/>
  </cols>
  <sheetData>
    <row r="1" spans="1:15" x14ac:dyDescent="0.2">
      <c r="B1" s="895" t="s">
        <v>132</v>
      </c>
      <c r="C1" s="895"/>
      <c r="D1" s="895"/>
      <c r="E1" s="895"/>
      <c r="F1" s="895"/>
      <c r="G1" s="895"/>
      <c r="H1" s="895"/>
      <c r="I1" s="895"/>
      <c r="J1" s="895"/>
      <c r="K1" s="895"/>
      <c r="L1" s="895"/>
      <c r="M1" s="895"/>
      <c r="N1" s="895"/>
      <c r="O1" s="895"/>
    </row>
    <row r="2" spans="1:15" ht="9" customHeight="1" x14ac:dyDescent="0.2"/>
    <row r="3" spans="1:15" ht="13.5" x14ac:dyDescent="0.25">
      <c r="B3" s="44" t="s">
        <v>686</v>
      </c>
    </row>
    <row r="4" spans="1:15" s="52" customFormat="1" ht="13.5" x14ac:dyDescent="0.25">
      <c r="A4" s="271"/>
      <c r="B4" s="894" t="s">
        <v>112</v>
      </c>
      <c r="C4" s="894"/>
      <c r="D4" s="894"/>
      <c r="E4" s="224" t="s">
        <v>7</v>
      </c>
      <c r="F4" s="224" t="s">
        <v>12</v>
      </c>
      <c r="G4" s="51"/>
      <c r="H4" s="224" t="s">
        <v>113</v>
      </c>
      <c r="I4" s="224" t="s">
        <v>114</v>
      </c>
      <c r="J4" s="224" t="s">
        <v>115</v>
      </c>
      <c r="K4" s="224" t="s">
        <v>116</v>
      </c>
      <c r="L4" s="224" t="s">
        <v>117</v>
      </c>
      <c r="M4" s="224" t="s">
        <v>40</v>
      </c>
      <c r="N4" s="51"/>
      <c r="O4" s="224" t="s">
        <v>118</v>
      </c>
    </row>
    <row r="5" spans="1:15" ht="13.5" x14ac:dyDescent="0.25">
      <c r="A5" s="269">
        <v>1.01</v>
      </c>
      <c r="B5" s="226"/>
      <c r="C5" s="227"/>
      <c r="D5" s="228"/>
      <c r="E5" s="229"/>
      <c r="F5" s="230"/>
      <c r="G5" s="231"/>
      <c r="H5" s="232"/>
      <c r="I5" s="233"/>
      <c r="J5" s="233"/>
      <c r="K5" s="233"/>
      <c r="L5" s="233"/>
      <c r="M5" s="230"/>
      <c r="N5" s="36"/>
      <c r="O5" s="219">
        <f t="shared" ref="O5" si="0">MIN(H5:M5)</f>
        <v>0</v>
      </c>
    </row>
    <row r="6" spans="1:15" ht="13.5" x14ac:dyDescent="0.25">
      <c r="A6" s="269">
        <v>1.02</v>
      </c>
      <c r="B6" s="234"/>
      <c r="C6" s="235"/>
      <c r="D6" s="236"/>
      <c r="E6" s="237"/>
      <c r="F6" s="238"/>
      <c r="G6" s="231"/>
      <c r="H6" s="239"/>
      <c r="I6" s="240"/>
      <c r="J6" s="240"/>
      <c r="K6" s="240"/>
      <c r="L6" s="240"/>
      <c r="M6" s="238"/>
      <c r="N6" s="36"/>
      <c r="O6" s="220">
        <f t="shared" ref="O6:O9" si="1">MIN(H6:M6)</f>
        <v>0</v>
      </c>
    </row>
    <row r="7" spans="1:15" ht="13.5" x14ac:dyDescent="0.25">
      <c r="A7" s="269">
        <v>1.03</v>
      </c>
      <c r="B7" s="234"/>
      <c r="C7" s="235"/>
      <c r="D7" s="236"/>
      <c r="E7" s="237"/>
      <c r="F7" s="238"/>
      <c r="G7" s="231"/>
      <c r="H7" s="239"/>
      <c r="I7" s="240"/>
      <c r="J7" s="240"/>
      <c r="K7" s="240"/>
      <c r="L7" s="240"/>
      <c r="M7" s="238"/>
      <c r="N7" s="36"/>
      <c r="O7" s="220">
        <f t="shared" si="1"/>
        <v>0</v>
      </c>
    </row>
    <row r="8" spans="1:15" ht="13.5" x14ac:dyDescent="0.25">
      <c r="A8" s="269">
        <v>1.04</v>
      </c>
      <c r="B8" s="234"/>
      <c r="C8" s="235"/>
      <c r="D8" s="236"/>
      <c r="E8" s="237"/>
      <c r="F8" s="238"/>
      <c r="G8" s="231"/>
      <c r="H8" s="239"/>
      <c r="I8" s="240"/>
      <c r="J8" s="240"/>
      <c r="K8" s="240"/>
      <c r="L8" s="240"/>
      <c r="M8" s="238"/>
      <c r="N8" s="36"/>
      <c r="O8" s="220">
        <f t="shared" si="1"/>
        <v>0</v>
      </c>
    </row>
    <row r="9" spans="1:15" ht="13.5" x14ac:dyDescent="0.25">
      <c r="A9" s="269">
        <v>1.05</v>
      </c>
      <c r="B9" s="292"/>
      <c r="C9" s="242"/>
      <c r="D9" s="243"/>
      <c r="E9" s="244"/>
      <c r="F9" s="245"/>
      <c r="G9" s="231"/>
      <c r="H9" s="239"/>
      <c r="I9" s="240"/>
      <c r="J9" s="240"/>
      <c r="K9" s="240"/>
      <c r="L9" s="240"/>
      <c r="M9" s="238"/>
      <c r="N9" s="36"/>
      <c r="O9" s="294">
        <f t="shared" si="1"/>
        <v>0</v>
      </c>
    </row>
    <row r="10" spans="1:15" ht="13.5" customHeight="1" x14ac:dyDescent="0.25">
      <c r="B10" s="293"/>
      <c r="C10" s="36"/>
      <c r="D10" s="36"/>
      <c r="E10" s="36"/>
      <c r="F10" s="36" t="s">
        <v>119</v>
      </c>
      <c r="G10" s="36"/>
      <c r="H10" s="222">
        <f t="shared" ref="H10:M10" si="2">SUM(H5:H9)</f>
        <v>0</v>
      </c>
      <c r="I10" s="222">
        <f t="shared" si="2"/>
        <v>0</v>
      </c>
      <c r="J10" s="222">
        <f t="shared" si="2"/>
        <v>0</v>
      </c>
      <c r="K10" s="222">
        <f t="shared" si="2"/>
        <v>0</v>
      </c>
      <c r="L10" s="222">
        <f t="shared" si="2"/>
        <v>0</v>
      </c>
      <c r="M10" s="222">
        <f t="shared" si="2"/>
        <v>0</v>
      </c>
      <c r="N10" s="36"/>
      <c r="O10" s="295"/>
    </row>
    <row r="11" spans="1:15" ht="13.5" x14ac:dyDescent="0.25">
      <c r="B11" s="36"/>
      <c r="C11" s="36"/>
      <c r="D11" s="36"/>
      <c r="E11" s="36"/>
      <c r="F11" s="36" t="s">
        <v>133</v>
      </c>
      <c r="G11" s="36"/>
      <c r="H11" s="45" t="str">
        <f>IF(H10=0,"",H10-$O$11)</f>
        <v/>
      </c>
      <c r="I11" s="45" t="str">
        <f t="shared" ref="I11" si="3">IF(I10=0,"",I10-$O$11)</f>
        <v/>
      </c>
      <c r="J11" s="45" t="str">
        <f t="shared" ref="J11" si="4">IF(J10=0,"",J10-$O$11)</f>
        <v/>
      </c>
      <c r="K11" s="45" t="str">
        <f t="shared" ref="K11" si="5">IF(K10=0,"",K10-$O$11)</f>
        <v/>
      </c>
      <c r="L11" s="45" t="str">
        <f t="shared" ref="L11" si="6">IF(L10=0,"",L10-$O$11)</f>
        <v/>
      </c>
      <c r="M11" s="45" t="str">
        <f t="shared" ref="M11" si="7">IF(M10=0,"",M10-$O$11)</f>
        <v/>
      </c>
      <c r="N11" s="53" t="s">
        <v>73</v>
      </c>
      <c r="O11" s="223">
        <f>SUM(O5:O9)</f>
        <v>0</v>
      </c>
    </row>
    <row r="12" spans="1:15" ht="21" customHeight="1" x14ac:dyDescent="0.25">
      <c r="B12" s="44" t="s">
        <v>687</v>
      </c>
    </row>
    <row r="13" spans="1:15" ht="13.5" x14ac:dyDescent="0.25">
      <c r="B13" s="894" t="s">
        <v>112</v>
      </c>
      <c r="C13" s="894"/>
      <c r="D13" s="894"/>
      <c r="E13" s="224" t="s">
        <v>7</v>
      </c>
      <c r="F13" s="224" t="s">
        <v>12</v>
      </c>
      <c r="G13" s="51"/>
      <c r="H13" s="224" t="s">
        <v>120</v>
      </c>
      <c r="I13" s="224" t="s">
        <v>121</v>
      </c>
      <c r="J13" s="224" t="s">
        <v>122</v>
      </c>
      <c r="K13" s="224" t="s">
        <v>123</v>
      </c>
      <c r="L13" s="224" t="s">
        <v>40</v>
      </c>
      <c r="M13" s="224" t="s">
        <v>40</v>
      </c>
      <c r="N13" s="51"/>
      <c r="O13" s="224" t="s">
        <v>118</v>
      </c>
    </row>
    <row r="14" spans="1:15" ht="13.5" x14ac:dyDescent="0.25">
      <c r="A14" s="269">
        <v>2.0099999999999998</v>
      </c>
      <c r="B14" s="226"/>
      <c r="C14" s="227"/>
      <c r="D14" s="228"/>
      <c r="E14" s="229"/>
      <c r="F14" s="230"/>
      <c r="G14" s="2"/>
      <c r="H14" s="232"/>
      <c r="I14" s="233"/>
      <c r="J14" s="233"/>
      <c r="K14" s="233"/>
      <c r="L14" s="233"/>
      <c r="M14" s="230"/>
      <c r="N14" s="36"/>
      <c r="O14" s="219">
        <f t="shared" ref="O14:O18" si="8">MIN(H14:M14)</f>
        <v>0</v>
      </c>
    </row>
    <row r="15" spans="1:15" ht="13.5" x14ac:dyDescent="0.25">
      <c r="A15" s="269">
        <v>2.02</v>
      </c>
      <c r="B15" s="234"/>
      <c r="C15" s="235"/>
      <c r="D15" s="236"/>
      <c r="E15" s="237"/>
      <c r="F15" s="238"/>
      <c r="G15" s="2"/>
      <c r="H15" s="239"/>
      <c r="I15" s="240"/>
      <c r="J15" s="240"/>
      <c r="K15" s="240"/>
      <c r="L15" s="240"/>
      <c r="M15" s="238"/>
      <c r="N15" s="36"/>
      <c r="O15" s="220">
        <f t="shared" ref="O15" si="9">MIN(H15:M15)</f>
        <v>0</v>
      </c>
    </row>
    <row r="16" spans="1:15" ht="13.5" x14ac:dyDescent="0.25">
      <c r="A16" s="269">
        <v>2.0299999999999998</v>
      </c>
      <c r="B16" s="234"/>
      <c r="C16" s="235"/>
      <c r="D16" s="236"/>
      <c r="E16" s="237"/>
      <c r="F16" s="238"/>
      <c r="G16" s="2"/>
      <c r="H16" s="239"/>
      <c r="I16" s="240"/>
      <c r="J16" s="240"/>
      <c r="K16" s="240"/>
      <c r="L16" s="240"/>
      <c r="M16" s="238"/>
      <c r="N16" s="36"/>
      <c r="O16" s="220">
        <f t="shared" si="8"/>
        <v>0</v>
      </c>
    </row>
    <row r="17" spans="1:15" ht="13.5" x14ac:dyDescent="0.25">
      <c r="A17" s="269">
        <v>2.04</v>
      </c>
      <c r="B17" s="234"/>
      <c r="C17" s="235"/>
      <c r="D17" s="236"/>
      <c r="E17" s="237"/>
      <c r="F17" s="238"/>
      <c r="G17" s="2"/>
      <c r="H17" s="239"/>
      <c r="I17" s="240"/>
      <c r="J17" s="240"/>
      <c r="K17" s="240"/>
      <c r="L17" s="240"/>
      <c r="M17" s="238"/>
      <c r="N17" s="36"/>
      <c r="O17" s="220">
        <f t="shared" si="8"/>
        <v>0</v>
      </c>
    </row>
    <row r="18" spans="1:15" ht="13.5" x14ac:dyDescent="0.25">
      <c r="A18" s="269">
        <v>2.0499999999999998</v>
      </c>
      <c r="B18" s="241"/>
      <c r="C18" s="242"/>
      <c r="D18" s="243"/>
      <c r="E18" s="244"/>
      <c r="F18" s="245"/>
      <c r="G18" s="2"/>
      <c r="H18" s="239"/>
      <c r="I18" s="240"/>
      <c r="J18" s="240"/>
      <c r="K18" s="240"/>
      <c r="L18" s="240"/>
      <c r="M18" s="238"/>
      <c r="N18" s="36"/>
      <c r="O18" s="294">
        <f t="shared" si="8"/>
        <v>0</v>
      </c>
    </row>
    <row r="19" spans="1:15" ht="13.5" x14ac:dyDescent="0.25">
      <c r="B19" s="36"/>
      <c r="C19" s="36"/>
      <c r="D19" s="36"/>
      <c r="E19" s="36"/>
      <c r="F19" s="36" t="s">
        <v>119</v>
      </c>
      <c r="G19" s="36"/>
      <c r="H19" s="222">
        <f t="shared" ref="H19:M19" si="10">SUM(H14:H18)</f>
        <v>0</v>
      </c>
      <c r="I19" s="222">
        <f t="shared" si="10"/>
        <v>0</v>
      </c>
      <c r="J19" s="222">
        <f t="shared" si="10"/>
        <v>0</v>
      </c>
      <c r="K19" s="222">
        <f t="shared" si="10"/>
        <v>0</v>
      </c>
      <c r="L19" s="222">
        <f t="shared" si="10"/>
        <v>0</v>
      </c>
      <c r="M19" s="222">
        <f t="shared" si="10"/>
        <v>0</v>
      </c>
      <c r="N19" s="36"/>
      <c r="O19" s="295"/>
    </row>
    <row r="20" spans="1:15" ht="13.5" x14ac:dyDescent="0.25">
      <c r="B20" s="36"/>
      <c r="C20" s="36"/>
      <c r="D20" s="36"/>
      <c r="E20" s="36"/>
      <c r="F20" s="36" t="s">
        <v>133</v>
      </c>
      <c r="G20" s="36"/>
      <c r="H20" s="45" t="str">
        <f>IF(H19=0,"",H19-$O$20)</f>
        <v/>
      </c>
      <c r="I20" s="45" t="str">
        <f t="shared" ref="I20:M20" si="11">IF(I19=0,"",I19-$O$20)</f>
        <v/>
      </c>
      <c r="J20" s="45" t="str">
        <f t="shared" si="11"/>
        <v/>
      </c>
      <c r="K20" s="45" t="str">
        <f t="shared" si="11"/>
        <v/>
      </c>
      <c r="L20" s="45" t="str">
        <f t="shared" si="11"/>
        <v/>
      </c>
      <c r="M20" s="45" t="str">
        <f t="shared" si="11"/>
        <v/>
      </c>
      <c r="N20" s="53" t="s">
        <v>73</v>
      </c>
      <c r="O20" s="223">
        <f>SUM(O14:O18)</f>
        <v>0</v>
      </c>
    </row>
    <row r="21" spans="1:15" ht="21" customHeight="1" x14ac:dyDescent="0.25">
      <c r="B21" s="44" t="s">
        <v>703</v>
      </c>
    </row>
    <row r="22" spans="1:15" ht="13.5" x14ac:dyDescent="0.25">
      <c r="B22" s="894" t="s">
        <v>112</v>
      </c>
      <c r="C22" s="894"/>
      <c r="D22" s="894"/>
      <c r="E22" s="224" t="s">
        <v>7</v>
      </c>
      <c r="F22" s="224" t="s">
        <v>12</v>
      </c>
      <c r="G22" s="51"/>
      <c r="H22" s="224" t="s">
        <v>116</v>
      </c>
      <c r="I22" s="224" t="s">
        <v>704</v>
      </c>
      <c r="J22" s="224" t="s">
        <v>705</v>
      </c>
      <c r="K22" s="224" t="s">
        <v>706</v>
      </c>
      <c r="L22" s="224"/>
      <c r="M22" s="224"/>
      <c r="N22" s="51"/>
      <c r="O22" s="224" t="s">
        <v>118</v>
      </c>
    </row>
    <row r="23" spans="1:15" ht="13.5" x14ac:dyDescent="0.25">
      <c r="A23" s="269">
        <v>2.0099999999999998</v>
      </c>
      <c r="B23" s="226"/>
      <c r="C23" s="227"/>
      <c r="D23" s="228"/>
      <c r="E23" s="229"/>
      <c r="F23" s="230"/>
      <c r="G23" s="2"/>
      <c r="H23" s="232"/>
      <c r="I23" s="233"/>
      <c r="J23" s="233"/>
      <c r="K23" s="233"/>
      <c r="L23" s="233"/>
      <c r="M23" s="230"/>
      <c r="N23" s="36"/>
      <c r="O23" s="219">
        <f t="shared" ref="O23:O27" si="12">MIN(H23:M23)</f>
        <v>0</v>
      </c>
    </row>
    <row r="24" spans="1:15" ht="13.5" x14ac:dyDescent="0.25">
      <c r="A24" s="269">
        <v>2.02</v>
      </c>
      <c r="B24" s="234"/>
      <c r="C24" s="235"/>
      <c r="D24" s="236"/>
      <c r="E24" s="237"/>
      <c r="F24" s="238"/>
      <c r="G24" s="2"/>
      <c r="H24" s="239"/>
      <c r="I24" s="240"/>
      <c r="J24" s="240"/>
      <c r="K24" s="240"/>
      <c r="L24" s="240"/>
      <c r="M24" s="238"/>
      <c r="N24" s="36"/>
      <c r="O24" s="220">
        <f t="shared" si="12"/>
        <v>0</v>
      </c>
    </row>
    <row r="25" spans="1:15" ht="13.5" x14ac:dyDescent="0.25">
      <c r="A25" s="269">
        <v>2.0299999999999998</v>
      </c>
      <c r="B25" s="234"/>
      <c r="C25" s="235"/>
      <c r="D25" s="236"/>
      <c r="E25" s="237"/>
      <c r="F25" s="238"/>
      <c r="G25" s="2"/>
      <c r="H25" s="239"/>
      <c r="I25" s="240"/>
      <c r="J25" s="240"/>
      <c r="K25" s="240"/>
      <c r="L25" s="240"/>
      <c r="M25" s="238"/>
      <c r="N25" s="36"/>
      <c r="O25" s="220">
        <f t="shared" si="12"/>
        <v>0</v>
      </c>
    </row>
    <row r="26" spans="1:15" ht="13.5" x14ac:dyDescent="0.25">
      <c r="A26" s="269">
        <v>2.04</v>
      </c>
      <c r="B26" s="234"/>
      <c r="C26" s="235"/>
      <c r="D26" s="236"/>
      <c r="E26" s="237"/>
      <c r="F26" s="238"/>
      <c r="G26" s="2"/>
      <c r="H26" s="239"/>
      <c r="I26" s="240"/>
      <c r="J26" s="240"/>
      <c r="K26" s="240"/>
      <c r="L26" s="240"/>
      <c r="M26" s="238"/>
      <c r="N26" s="36"/>
      <c r="O26" s="220">
        <f t="shared" si="12"/>
        <v>0</v>
      </c>
    </row>
    <row r="27" spans="1:15" ht="13.5" x14ac:dyDescent="0.25">
      <c r="A27" s="269">
        <v>2.0499999999999998</v>
      </c>
      <c r="B27" s="241"/>
      <c r="C27" s="242"/>
      <c r="D27" s="243"/>
      <c r="E27" s="244"/>
      <c r="F27" s="245"/>
      <c r="G27" s="2"/>
      <c r="H27" s="239"/>
      <c r="I27" s="240"/>
      <c r="J27" s="240"/>
      <c r="K27" s="240"/>
      <c r="L27" s="240"/>
      <c r="M27" s="238"/>
      <c r="N27" s="36"/>
      <c r="O27" s="294">
        <f t="shared" si="12"/>
        <v>0</v>
      </c>
    </row>
    <row r="28" spans="1:15" ht="13.5" x14ac:dyDescent="0.25">
      <c r="B28" s="36"/>
      <c r="C28" s="36"/>
      <c r="D28" s="36"/>
      <c r="E28" s="36"/>
      <c r="F28" s="36" t="s">
        <v>119</v>
      </c>
      <c r="G28" s="36"/>
      <c r="H28" s="222">
        <f t="shared" ref="H28:M28" si="13">SUM(H23:H27)</f>
        <v>0</v>
      </c>
      <c r="I28" s="222">
        <f t="shared" si="13"/>
        <v>0</v>
      </c>
      <c r="J28" s="222">
        <f t="shared" si="13"/>
        <v>0</v>
      </c>
      <c r="K28" s="222">
        <f t="shared" si="13"/>
        <v>0</v>
      </c>
      <c r="L28" s="222">
        <f t="shared" si="13"/>
        <v>0</v>
      </c>
      <c r="M28" s="222">
        <f t="shared" si="13"/>
        <v>0</v>
      </c>
      <c r="N28" s="36"/>
      <c r="O28" s="295"/>
    </row>
    <row r="29" spans="1:15" ht="13.5" x14ac:dyDescent="0.25">
      <c r="B29" s="36"/>
      <c r="C29" s="36"/>
      <c r="D29" s="36"/>
      <c r="E29" s="36"/>
      <c r="F29" s="36" t="s">
        <v>133</v>
      </c>
      <c r="G29" s="36"/>
      <c r="H29" s="45" t="str">
        <f>IF(H28=0,"",H28-$O$20)</f>
        <v/>
      </c>
      <c r="I29" s="45" t="str">
        <f t="shared" ref="I29:M29" si="14">IF(I28=0,"",I28-$O$20)</f>
        <v/>
      </c>
      <c r="J29" s="45" t="str">
        <f t="shared" si="14"/>
        <v/>
      </c>
      <c r="K29" s="45" t="str">
        <f t="shared" si="14"/>
        <v/>
      </c>
      <c r="L29" s="45" t="str">
        <f t="shared" si="14"/>
        <v/>
      </c>
      <c r="M29" s="45" t="str">
        <f t="shared" si="14"/>
        <v/>
      </c>
      <c r="N29" s="53" t="s">
        <v>73</v>
      </c>
      <c r="O29" s="223">
        <f>SUM(O23:O27)</f>
        <v>0</v>
      </c>
    </row>
    <row r="30" spans="1:15" ht="18" customHeight="1" x14ac:dyDescent="0.25">
      <c r="B30" s="44" t="s">
        <v>38</v>
      </c>
    </row>
    <row r="31" spans="1:15" ht="13.5" x14ac:dyDescent="0.25">
      <c r="B31" s="894" t="s">
        <v>112</v>
      </c>
      <c r="C31" s="894"/>
      <c r="D31" s="894"/>
      <c r="E31" s="224" t="s">
        <v>7</v>
      </c>
      <c r="F31" s="224" t="s">
        <v>12</v>
      </c>
      <c r="G31" s="51"/>
      <c r="H31" s="224" t="s">
        <v>124</v>
      </c>
      <c r="I31" s="224" t="s">
        <v>125</v>
      </c>
      <c r="J31" s="224" t="s">
        <v>126</v>
      </c>
      <c r="K31" s="224" t="s">
        <v>40</v>
      </c>
      <c r="L31" s="224" t="s">
        <v>40</v>
      </c>
      <c r="M31" s="224" t="s">
        <v>40</v>
      </c>
      <c r="N31" s="51"/>
      <c r="O31" s="224" t="s">
        <v>118</v>
      </c>
    </row>
    <row r="32" spans="1:15" ht="13.5" x14ac:dyDescent="0.25">
      <c r="A32" s="269">
        <v>3.01</v>
      </c>
      <c r="B32" s="226" t="s">
        <v>707</v>
      </c>
      <c r="C32" s="227"/>
      <c r="D32" s="228"/>
      <c r="E32" s="248"/>
      <c r="F32" s="249"/>
      <c r="G32" s="2"/>
      <c r="H32" s="232"/>
      <c r="I32" s="233"/>
      <c r="J32" s="233"/>
      <c r="K32" s="233"/>
      <c r="L32" s="233"/>
      <c r="M32" s="230"/>
      <c r="N32" s="36"/>
      <c r="O32" s="219">
        <f>MIN(H32:M32)</f>
        <v>0</v>
      </c>
    </row>
    <row r="33" spans="1:15" ht="13.5" x14ac:dyDescent="0.25">
      <c r="A33" s="269">
        <v>3.02</v>
      </c>
      <c r="B33" s="234"/>
      <c r="C33" s="235"/>
      <c r="D33" s="236"/>
      <c r="E33" s="250"/>
      <c r="F33" s="251"/>
      <c r="G33" s="2"/>
      <c r="H33" s="239"/>
      <c r="I33" s="240"/>
      <c r="J33" s="240"/>
      <c r="K33" s="240"/>
      <c r="L33" s="240"/>
      <c r="M33" s="238"/>
      <c r="N33" s="36"/>
      <c r="O33" s="220">
        <f t="shared" ref="O33:O34" si="15">MIN(H33:M33)</f>
        <v>0</v>
      </c>
    </row>
    <row r="34" spans="1:15" ht="13.5" x14ac:dyDescent="0.25">
      <c r="A34" s="269">
        <v>3.03</v>
      </c>
      <c r="B34" s="241"/>
      <c r="C34" s="242"/>
      <c r="D34" s="243"/>
      <c r="E34" s="252"/>
      <c r="F34" s="253"/>
      <c r="G34" s="2"/>
      <c r="H34" s="246"/>
      <c r="I34" s="247"/>
      <c r="J34" s="247"/>
      <c r="K34" s="247"/>
      <c r="L34" s="247"/>
      <c r="M34" s="245"/>
      <c r="N34" s="36"/>
      <c r="O34" s="221">
        <f t="shared" si="15"/>
        <v>0</v>
      </c>
    </row>
    <row r="35" spans="1:15" ht="13.5" x14ac:dyDescent="0.25">
      <c r="B35" s="36"/>
      <c r="C35" s="36"/>
      <c r="D35" s="36"/>
      <c r="E35" s="36"/>
      <c r="F35" s="36" t="s">
        <v>119</v>
      </c>
      <c r="G35" s="36"/>
      <c r="H35" s="222">
        <f t="shared" ref="H35:M35" si="16">SUM(H32:H34)</f>
        <v>0</v>
      </c>
      <c r="I35" s="222">
        <f t="shared" si="16"/>
        <v>0</v>
      </c>
      <c r="J35" s="222">
        <f t="shared" si="16"/>
        <v>0</v>
      </c>
      <c r="K35" s="222">
        <f t="shared" si="16"/>
        <v>0</v>
      </c>
      <c r="L35" s="222">
        <f t="shared" si="16"/>
        <v>0</v>
      </c>
      <c r="M35" s="222">
        <f t="shared" si="16"/>
        <v>0</v>
      </c>
      <c r="N35" s="36"/>
      <c r="O35" s="36"/>
    </row>
    <row r="36" spans="1:15" ht="13.5" x14ac:dyDescent="0.25">
      <c r="B36" s="36"/>
      <c r="C36" s="36"/>
      <c r="D36" s="36"/>
      <c r="E36" s="36"/>
      <c r="F36" s="36" t="s">
        <v>133</v>
      </c>
      <c r="G36" s="36"/>
      <c r="H36" s="45" t="str">
        <f t="shared" ref="H36:M36" si="17">IF(H35=0,"",H35-$O$36)</f>
        <v/>
      </c>
      <c r="I36" s="45" t="str">
        <f t="shared" si="17"/>
        <v/>
      </c>
      <c r="J36" s="45" t="str">
        <f t="shared" si="17"/>
        <v/>
      </c>
      <c r="K36" s="45" t="str">
        <f t="shared" si="17"/>
        <v/>
      </c>
      <c r="L36" s="45" t="str">
        <f t="shared" si="17"/>
        <v/>
      </c>
      <c r="M36" s="45" t="str">
        <f t="shared" si="17"/>
        <v/>
      </c>
      <c r="N36" s="53" t="s">
        <v>73</v>
      </c>
      <c r="O36" s="223">
        <f>SUM(O32:O34)</f>
        <v>0</v>
      </c>
    </row>
    <row r="37" spans="1:15" ht="13.5" x14ac:dyDescent="0.25">
      <c r="B37" s="44" t="s">
        <v>37</v>
      </c>
    </row>
    <row r="38" spans="1:15" ht="13.5" x14ac:dyDescent="0.25">
      <c r="B38" s="894" t="s">
        <v>112</v>
      </c>
      <c r="C38" s="894"/>
      <c r="D38" s="894"/>
      <c r="E38" s="224" t="s">
        <v>7</v>
      </c>
      <c r="F38" s="224" t="s">
        <v>12</v>
      </c>
      <c r="G38" s="51"/>
      <c r="H38" s="224" t="s">
        <v>127</v>
      </c>
      <c r="I38" s="224" t="s">
        <v>128</v>
      </c>
      <c r="J38" s="224" t="s">
        <v>129</v>
      </c>
      <c r="K38" s="224" t="s">
        <v>130</v>
      </c>
      <c r="L38" s="224" t="s">
        <v>40</v>
      </c>
      <c r="M38" s="224" t="s">
        <v>40</v>
      </c>
      <c r="N38" s="51"/>
      <c r="O38" s="224" t="s">
        <v>118</v>
      </c>
    </row>
    <row r="39" spans="1:15" ht="13.5" x14ac:dyDescent="0.25">
      <c r="A39" s="269">
        <v>4.01</v>
      </c>
      <c r="B39" s="226" t="s">
        <v>707</v>
      </c>
      <c r="C39" s="227"/>
      <c r="D39" s="228"/>
      <c r="E39" s="229"/>
      <c r="F39" s="230"/>
      <c r="G39" s="2"/>
      <c r="H39" s="232"/>
      <c r="I39" s="233"/>
      <c r="J39" s="233"/>
      <c r="K39" s="233"/>
      <c r="L39" s="233"/>
      <c r="M39" s="230"/>
      <c r="N39" s="36"/>
      <c r="O39" s="219">
        <f t="shared" ref="O39:O41" si="18">MIN(H39:M39)</f>
        <v>0</v>
      </c>
    </row>
    <row r="40" spans="1:15" ht="13.5" x14ac:dyDescent="0.25">
      <c r="A40" s="269">
        <v>4.0199999999999996</v>
      </c>
      <c r="B40" s="234"/>
      <c r="C40" s="235"/>
      <c r="D40" s="236"/>
      <c r="E40" s="237"/>
      <c r="F40" s="238"/>
      <c r="G40" s="2"/>
      <c r="H40" s="239"/>
      <c r="I40" s="240"/>
      <c r="J40" s="240"/>
      <c r="K40" s="240"/>
      <c r="L40" s="240"/>
      <c r="M40" s="238"/>
      <c r="N40" s="36"/>
      <c r="O40" s="220">
        <f t="shared" si="18"/>
        <v>0</v>
      </c>
    </row>
    <row r="41" spans="1:15" ht="13.5" x14ac:dyDescent="0.25">
      <c r="A41" s="269">
        <v>4.03</v>
      </c>
      <c r="B41" s="241"/>
      <c r="C41" s="242"/>
      <c r="D41" s="243"/>
      <c r="E41" s="244"/>
      <c r="F41" s="245"/>
      <c r="G41" s="2"/>
      <c r="H41" s="246"/>
      <c r="I41" s="247"/>
      <c r="J41" s="247"/>
      <c r="K41" s="247"/>
      <c r="L41" s="247"/>
      <c r="M41" s="245"/>
      <c r="N41" s="36"/>
      <c r="O41" s="221">
        <f t="shared" si="18"/>
        <v>0</v>
      </c>
    </row>
    <row r="42" spans="1:15" ht="13.5" x14ac:dyDescent="0.25">
      <c r="B42" s="36"/>
      <c r="C42" s="36"/>
      <c r="D42" s="36"/>
      <c r="E42" s="36"/>
      <c r="F42" s="36" t="s">
        <v>119</v>
      </c>
      <c r="G42" s="36"/>
      <c r="H42" s="222">
        <f t="shared" ref="H42:M42" si="19">SUM(H39:H41)</f>
        <v>0</v>
      </c>
      <c r="I42" s="222">
        <f t="shared" si="19"/>
        <v>0</v>
      </c>
      <c r="J42" s="222">
        <f t="shared" si="19"/>
        <v>0</v>
      </c>
      <c r="K42" s="222">
        <f t="shared" si="19"/>
        <v>0</v>
      </c>
      <c r="L42" s="222">
        <f t="shared" si="19"/>
        <v>0</v>
      </c>
      <c r="M42" s="222">
        <f t="shared" si="19"/>
        <v>0</v>
      </c>
      <c r="N42" s="36"/>
      <c r="O42" s="36"/>
    </row>
    <row r="43" spans="1:15" ht="13.5" x14ac:dyDescent="0.25">
      <c r="B43" s="36"/>
      <c r="C43" s="36"/>
      <c r="D43" s="36"/>
      <c r="E43" s="36"/>
      <c r="F43" s="36" t="s">
        <v>133</v>
      </c>
      <c r="G43" s="36"/>
      <c r="H43" s="45" t="str">
        <f t="shared" ref="H43:M43" si="20">IF(H42=0,"",H42-$O$43)</f>
        <v/>
      </c>
      <c r="I43" s="45" t="str">
        <f t="shared" si="20"/>
        <v/>
      </c>
      <c r="J43" s="45" t="str">
        <f t="shared" si="20"/>
        <v/>
      </c>
      <c r="K43" s="45" t="str">
        <f t="shared" si="20"/>
        <v/>
      </c>
      <c r="L43" s="45" t="str">
        <f t="shared" si="20"/>
        <v/>
      </c>
      <c r="M43" s="45" t="str">
        <f t="shared" si="20"/>
        <v/>
      </c>
      <c r="N43" s="53" t="s">
        <v>73</v>
      </c>
      <c r="O43" s="223">
        <f>SUM(O39:O41)</f>
        <v>0</v>
      </c>
    </row>
    <row r="44" spans="1:15" ht="13.5" x14ac:dyDescent="0.25">
      <c r="B44" s="44" t="s">
        <v>39</v>
      </c>
    </row>
    <row r="45" spans="1:15" ht="13.5" x14ac:dyDescent="0.25">
      <c r="B45" s="894" t="s">
        <v>112</v>
      </c>
      <c r="C45" s="894"/>
      <c r="D45" s="894"/>
      <c r="E45" s="224" t="s">
        <v>7</v>
      </c>
      <c r="F45" s="224" t="s">
        <v>12</v>
      </c>
      <c r="G45" s="51"/>
      <c r="H45" s="224" t="s">
        <v>688</v>
      </c>
      <c r="I45" s="224" t="s">
        <v>690</v>
      </c>
      <c r="J45" s="224" t="s">
        <v>40</v>
      </c>
      <c r="K45" s="224" t="s">
        <v>40</v>
      </c>
      <c r="L45" s="224" t="s">
        <v>40</v>
      </c>
      <c r="M45" s="224" t="s">
        <v>40</v>
      </c>
      <c r="N45" s="51"/>
      <c r="O45" s="224" t="s">
        <v>118</v>
      </c>
    </row>
    <row r="46" spans="1:15" ht="13.5" x14ac:dyDescent="0.25">
      <c r="A46" s="269">
        <v>5.01</v>
      </c>
      <c r="B46" s="226" t="s">
        <v>707</v>
      </c>
      <c r="C46" s="227"/>
      <c r="D46" s="228"/>
      <c r="E46" s="229"/>
      <c r="F46" s="230"/>
      <c r="G46" s="2"/>
      <c r="H46" s="232"/>
      <c r="I46" s="233"/>
      <c r="J46" s="233"/>
      <c r="K46" s="233"/>
      <c r="L46" s="233"/>
      <c r="M46" s="230"/>
      <c r="N46" s="36"/>
      <c r="O46" s="219">
        <f t="shared" ref="O46:O48" si="21">MIN(H46:M46)</f>
        <v>0</v>
      </c>
    </row>
    <row r="47" spans="1:15" ht="13.5" x14ac:dyDescent="0.25">
      <c r="A47" s="269">
        <v>5.0199999999999996</v>
      </c>
      <c r="B47" s="234"/>
      <c r="C47" s="235"/>
      <c r="D47" s="236"/>
      <c r="E47" s="237"/>
      <c r="F47" s="238"/>
      <c r="G47" s="2"/>
      <c r="H47" s="239"/>
      <c r="I47" s="240"/>
      <c r="J47" s="240"/>
      <c r="K47" s="240"/>
      <c r="L47" s="240"/>
      <c r="M47" s="238"/>
      <c r="N47" s="36"/>
      <c r="O47" s="220">
        <f t="shared" si="21"/>
        <v>0</v>
      </c>
    </row>
    <row r="48" spans="1:15" ht="13.5" x14ac:dyDescent="0.25">
      <c r="A48" s="269">
        <v>5.03</v>
      </c>
      <c r="B48" s="241"/>
      <c r="C48" s="242"/>
      <c r="D48" s="243"/>
      <c r="E48" s="244"/>
      <c r="F48" s="245"/>
      <c r="G48" s="2"/>
      <c r="H48" s="246"/>
      <c r="I48" s="247"/>
      <c r="J48" s="247"/>
      <c r="K48" s="247"/>
      <c r="L48" s="247"/>
      <c r="M48" s="245"/>
      <c r="N48" s="36"/>
      <c r="O48" s="221">
        <f t="shared" si="21"/>
        <v>0</v>
      </c>
    </row>
    <row r="49" spans="1:15" ht="13.5" x14ac:dyDescent="0.25">
      <c r="B49" s="36"/>
      <c r="C49" s="36"/>
      <c r="D49" s="36"/>
      <c r="E49" s="36"/>
      <c r="F49" s="36" t="s">
        <v>119</v>
      </c>
      <c r="G49" s="36"/>
      <c r="H49" s="222">
        <f t="shared" ref="H49:M49" si="22">SUM(H46:H48)</f>
        <v>0</v>
      </c>
      <c r="I49" s="222">
        <f t="shared" si="22"/>
        <v>0</v>
      </c>
      <c r="J49" s="222">
        <f t="shared" si="22"/>
        <v>0</v>
      </c>
      <c r="K49" s="222">
        <f t="shared" si="22"/>
        <v>0</v>
      </c>
      <c r="L49" s="222">
        <f t="shared" si="22"/>
        <v>0</v>
      </c>
      <c r="M49" s="222">
        <f t="shared" si="22"/>
        <v>0</v>
      </c>
      <c r="N49" s="36"/>
      <c r="O49" s="36"/>
    </row>
    <row r="50" spans="1:15" ht="13.5" x14ac:dyDescent="0.25">
      <c r="B50" s="36"/>
      <c r="C50" s="36"/>
      <c r="D50" s="36"/>
      <c r="E50" s="36"/>
      <c r="F50" s="36" t="s">
        <v>133</v>
      </c>
      <c r="G50" s="36"/>
      <c r="H50" s="45" t="str">
        <f t="shared" ref="H50:M50" si="23">IF(H49=0,"",H49-$O$50)</f>
        <v/>
      </c>
      <c r="I50" s="45" t="str">
        <f t="shared" si="23"/>
        <v/>
      </c>
      <c r="J50" s="45" t="str">
        <f t="shared" si="23"/>
        <v/>
      </c>
      <c r="K50" s="45" t="str">
        <f t="shared" si="23"/>
        <v/>
      </c>
      <c r="L50" s="45" t="str">
        <f t="shared" si="23"/>
        <v/>
      </c>
      <c r="M50" s="45" t="str">
        <f t="shared" si="23"/>
        <v/>
      </c>
      <c r="N50" s="53" t="s">
        <v>73</v>
      </c>
      <c r="O50" s="223">
        <f>SUM(O46:O48)</f>
        <v>0</v>
      </c>
    </row>
    <row r="51" spans="1:15" ht="13.5" x14ac:dyDescent="0.25">
      <c r="B51" s="44" t="s">
        <v>131</v>
      </c>
    </row>
    <row r="52" spans="1:15" ht="13.5" x14ac:dyDescent="0.25">
      <c r="B52" s="894" t="s">
        <v>112</v>
      </c>
      <c r="C52" s="894"/>
      <c r="D52" s="894"/>
      <c r="E52" s="224" t="s">
        <v>7</v>
      </c>
      <c r="F52" s="224" t="s">
        <v>12</v>
      </c>
      <c r="G52" s="51"/>
      <c r="H52" s="225" t="s">
        <v>689</v>
      </c>
      <c r="I52" s="225" t="s">
        <v>40</v>
      </c>
      <c r="J52" s="225" t="s">
        <v>40</v>
      </c>
      <c r="K52" s="225" t="s">
        <v>40</v>
      </c>
      <c r="L52" s="225" t="s">
        <v>40</v>
      </c>
      <c r="M52" s="225" t="s">
        <v>40</v>
      </c>
      <c r="N52" s="51"/>
      <c r="O52" s="224" t="s">
        <v>118</v>
      </c>
    </row>
    <row r="53" spans="1:15" ht="13.5" x14ac:dyDescent="0.25">
      <c r="A53" s="269">
        <v>6.01</v>
      </c>
      <c r="B53" s="226"/>
      <c r="C53" s="227"/>
      <c r="D53" s="228"/>
      <c r="E53" s="229"/>
      <c r="F53" s="230"/>
      <c r="G53" s="2"/>
      <c r="H53" s="232"/>
      <c r="I53" s="233"/>
      <c r="J53" s="233"/>
      <c r="K53" s="233"/>
      <c r="L53" s="233"/>
      <c r="M53" s="230"/>
      <c r="N53" s="36"/>
      <c r="O53" s="219">
        <f t="shared" ref="O53:O55" si="24">MIN(H53:M53)</f>
        <v>0</v>
      </c>
    </row>
    <row r="54" spans="1:15" ht="13.5" x14ac:dyDescent="0.25">
      <c r="A54" s="269">
        <v>6.02</v>
      </c>
      <c r="B54" s="234"/>
      <c r="C54" s="235"/>
      <c r="D54" s="236"/>
      <c r="E54" s="237"/>
      <c r="F54" s="238"/>
      <c r="G54" s="2"/>
      <c r="H54" s="239"/>
      <c r="I54" s="240"/>
      <c r="J54" s="240"/>
      <c r="K54" s="240"/>
      <c r="L54" s="240"/>
      <c r="M54" s="238"/>
      <c r="N54" s="36"/>
      <c r="O54" s="220">
        <f t="shared" si="24"/>
        <v>0</v>
      </c>
    </row>
    <row r="55" spans="1:15" ht="13.5" x14ac:dyDescent="0.25">
      <c r="A55" s="269">
        <v>6.03</v>
      </c>
      <c r="B55" s="241"/>
      <c r="C55" s="242"/>
      <c r="D55" s="243"/>
      <c r="E55" s="244"/>
      <c r="F55" s="245"/>
      <c r="G55" s="2"/>
      <c r="H55" s="246"/>
      <c r="I55" s="247"/>
      <c r="J55" s="247"/>
      <c r="K55" s="247"/>
      <c r="L55" s="247"/>
      <c r="M55" s="245"/>
      <c r="N55" s="36"/>
      <c r="O55" s="221">
        <f t="shared" si="24"/>
        <v>0</v>
      </c>
    </row>
    <row r="56" spans="1:15" ht="13.5" x14ac:dyDescent="0.25">
      <c r="B56" s="36"/>
      <c r="C56" s="36"/>
      <c r="D56" s="36"/>
      <c r="E56" s="36"/>
      <c r="F56" s="36" t="s">
        <v>119</v>
      </c>
      <c r="G56" s="36"/>
      <c r="H56" s="222">
        <f t="shared" ref="H56:M56" si="25">SUM(H53:H55)</f>
        <v>0</v>
      </c>
      <c r="I56" s="222">
        <f t="shared" si="25"/>
        <v>0</v>
      </c>
      <c r="J56" s="222">
        <f t="shared" si="25"/>
        <v>0</v>
      </c>
      <c r="K56" s="222">
        <f t="shared" si="25"/>
        <v>0</v>
      </c>
      <c r="L56" s="222">
        <f t="shared" si="25"/>
        <v>0</v>
      </c>
      <c r="M56" s="222">
        <f t="shared" si="25"/>
        <v>0</v>
      </c>
      <c r="N56" s="36"/>
      <c r="O56" s="36"/>
    </row>
    <row r="57" spans="1:15" ht="13.5" x14ac:dyDescent="0.25">
      <c r="B57" s="36"/>
      <c r="C57" s="36"/>
      <c r="D57" s="36"/>
      <c r="E57" s="36"/>
      <c r="F57" s="36" t="s">
        <v>133</v>
      </c>
      <c r="G57" s="36"/>
      <c r="H57" s="45" t="str">
        <f t="shared" ref="H57:M57" si="26">IF(H56=0,"",H56-$O$57)</f>
        <v/>
      </c>
      <c r="I57" s="45" t="str">
        <f t="shared" si="26"/>
        <v/>
      </c>
      <c r="J57" s="45" t="str">
        <f t="shared" si="26"/>
        <v/>
      </c>
      <c r="K57" s="45" t="str">
        <f t="shared" si="26"/>
        <v/>
      </c>
      <c r="L57" s="45" t="str">
        <f t="shared" si="26"/>
        <v/>
      </c>
      <c r="M57" s="45" t="str">
        <f t="shared" si="26"/>
        <v/>
      </c>
      <c r="N57" s="53" t="s">
        <v>73</v>
      </c>
      <c r="O57" s="223">
        <f>SUM(O53:O55)</f>
        <v>0</v>
      </c>
    </row>
  </sheetData>
  <sheetProtection formatCells="0" formatColumns="0" formatRows="0"/>
  <mergeCells count="8">
    <mergeCell ref="B45:D45"/>
    <mergeCell ref="B52:D52"/>
    <mergeCell ref="B1:O1"/>
    <mergeCell ref="B4:D4"/>
    <mergeCell ref="B13:D13"/>
    <mergeCell ref="B31:D31"/>
    <mergeCell ref="B38:D38"/>
    <mergeCell ref="B22:D22"/>
  </mergeCells>
  <printOptions horizontalCentered="1"/>
  <pageMargins left="0.25" right="0.25" top="0.75" bottom="0.75" header="0.3" footer="0.3"/>
  <pageSetup scale="87" orientation="portrait" r:id="rId1"/>
  <headerFooter>
    <oddFooter>&amp;L&amp;"Arial Narrow,Regular"&amp;9&amp;D@&amp;T&amp;C&amp;"Arial Narrow,Regular"&amp;9Page &amp;P of &amp;N&amp;R&amp;"Arial Narrow,Regular"&amp;9&amp;Z&amp;F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6" tint="-0.499984740745262"/>
  </sheetPr>
  <dimension ref="A1:R26"/>
  <sheetViews>
    <sheetView showGridLines="0" zoomScale="110" zoomScaleNormal="110" zoomScalePageLayoutView="110" workbookViewId="0">
      <selection activeCell="H13" sqref="H13"/>
    </sheetView>
  </sheetViews>
  <sheetFormatPr defaultColWidth="8.85546875" defaultRowHeight="13.5" x14ac:dyDescent="0.25"/>
  <cols>
    <col min="1" max="1" width="3.85546875" style="36" customWidth="1"/>
    <col min="2" max="4" width="5.7109375" style="36" customWidth="1"/>
    <col min="5" max="5" width="12.42578125" style="36" customWidth="1"/>
    <col min="6" max="6" width="9.140625" style="36" customWidth="1"/>
    <col min="7" max="7" width="4.42578125" style="36" customWidth="1"/>
    <col min="8" max="8" width="7.28515625" style="36" customWidth="1"/>
    <col min="9" max="10" width="11.42578125" style="36" customWidth="1"/>
    <col min="11" max="11" width="3" style="36" customWidth="1"/>
    <col min="12" max="16384" width="8.85546875" style="36"/>
  </cols>
  <sheetData>
    <row r="1" spans="1:18" ht="16.5" x14ac:dyDescent="0.3">
      <c r="A1" s="833" t="s">
        <v>103</v>
      </c>
      <c r="B1" s="833"/>
      <c r="C1" s="833"/>
      <c r="D1" s="833"/>
      <c r="E1" s="833"/>
      <c r="F1" s="833"/>
      <c r="G1" s="833"/>
      <c r="H1" s="833"/>
      <c r="I1" s="833"/>
      <c r="J1" s="833"/>
      <c r="K1" s="833"/>
      <c r="L1" s="833"/>
      <c r="M1" s="833"/>
      <c r="N1" s="833"/>
      <c r="O1" s="833"/>
      <c r="P1" s="833"/>
      <c r="Q1" s="833"/>
    </row>
    <row r="2" spans="1:18" x14ac:dyDescent="0.25">
      <c r="A2" s="255"/>
      <c r="B2" s="255"/>
      <c r="C2" s="255"/>
      <c r="D2" s="255"/>
      <c r="E2" s="255"/>
      <c r="F2" s="255"/>
      <c r="G2" s="255"/>
      <c r="H2" s="255"/>
      <c r="I2" s="255"/>
      <c r="J2" s="255"/>
      <c r="K2" s="255"/>
      <c r="L2" s="255"/>
      <c r="M2" s="255"/>
      <c r="N2" s="255"/>
      <c r="O2" s="255"/>
      <c r="P2" s="255"/>
      <c r="Q2" s="255"/>
      <c r="R2" s="255"/>
    </row>
    <row r="3" spans="1:18" x14ac:dyDescent="0.25">
      <c r="A3" s="186"/>
      <c r="B3" s="186" t="s">
        <v>71</v>
      </c>
      <c r="C3" s="186"/>
      <c r="D3" s="186"/>
      <c r="E3" s="186"/>
      <c r="F3" s="186"/>
      <c r="G3" s="186"/>
      <c r="H3" s="186"/>
      <c r="I3" s="186"/>
      <c r="J3" s="186"/>
      <c r="K3" s="186"/>
      <c r="L3" s="186"/>
      <c r="M3" s="186"/>
      <c r="N3" s="186"/>
      <c r="O3" s="186"/>
      <c r="P3" s="186"/>
      <c r="Q3" s="186"/>
      <c r="R3" s="186"/>
    </row>
    <row r="4" spans="1:18" x14ac:dyDescent="0.25">
      <c r="A4" s="786"/>
      <c r="B4" s="791" t="s">
        <v>85</v>
      </c>
      <c r="C4" s="791" t="s">
        <v>99</v>
      </c>
      <c r="D4" s="791" t="s">
        <v>86</v>
      </c>
      <c r="H4" s="791" t="s">
        <v>100</v>
      </c>
      <c r="I4" s="791" t="s">
        <v>35</v>
      </c>
      <c r="J4" s="791" t="s">
        <v>73</v>
      </c>
      <c r="L4" s="44" t="s">
        <v>87</v>
      </c>
    </row>
    <row r="5" spans="1:18" x14ac:dyDescent="0.25">
      <c r="A5" s="786"/>
      <c r="B5" s="804" t="s">
        <v>576</v>
      </c>
      <c r="C5" s="805"/>
      <c r="D5" s="806"/>
      <c r="E5" s="803" t="s">
        <v>92</v>
      </c>
      <c r="H5" s="795">
        <v>1</v>
      </c>
      <c r="I5" s="796">
        <v>1200</v>
      </c>
      <c r="J5" s="823">
        <f>I5*H5</f>
        <v>1200</v>
      </c>
      <c r="L5" s="902" t="s">
        <v>101</v>
      </c>
      <c r="M5" s="903"/>
      <c r="N5" s="903"/>
      <c r="O5" s="903"/>
      <c r="P5" s="903"/>
      <c r="Q5" s="904"/>
    </row>
    <row r="6" spans="1:18" x14ac:dyDescent="0.25">
      <c r="A6" s="786"/>
      <c r="B6" s="807" t="s">
        <v>576</v>
      </c>
      <c r="C6" s="808"/>
      <c r="D6" s="809"/>
      <c r="E6" s="803" t="s">
        <v>93</v>
      </c>
      <c r="H6" s="797">
        <v>0</v>
      </c>
      <c r="I6" s="798"/>
      <c r="J6" s="824">
        <f t="shared" ref="J6:J22" si="0">I6*H6</f>
        <v>0</v>
      </c>
      <c r="L6" s="896"/>
      <c r="M6" s="897"/>
      <c r="N6" s="897"/>
      <c r="O6" s="897"/>
      <c r="P6" s="897"/>
      <c r="Q6" s="898"/>
    </row>
    <row r="7" spans="1:18" x14ac:dyDescent="0.25">
      <c r="A7" s="786"/>
      <c r="B7" s="807" t="s">
        <v>576</v>
      </c>
      <c r="C7" s="808"/>
      <c r="D7" s="809"/>
      <c r="E7" s="803" t="s">
        <v>94</v>
      </c>
      <c r="H7" s="797">
        <v>0</v>
      </c>
      <c r="I7" s="798"/>
      <c r="J7" s="824">
        <f t="shared" si="0"/>
        <v>0</v>
      </c>
      <c r="L7" s="896"/>
      <c r="M7" s="897"/>
      <c r="N7" s="897"/>
      <c r="O7" s="897"/>
      <c r="P7" s="897"/>
      <c r="Q7" s="898"/>
    </row>
    <row r="8" spans="1:18" x14ac:dyDescent="0.25">
      <c r="A8" s="786"/>
      <c r="B8" s="807" t="s">
        <v>576</v>
      </c>
      <c r="C8" s="808"/>
      <c r="D8" s="809"/>
      <c r="E8" s="803" t="s">
        <v>1001</v>
      </c>
      <c r="H8" s="797">
        <v>0</v>
      </c>
      <c r="I8" s="798"/>
      <c r="J8" s="824">
        <f t="shared" ref="J8" si="1">I8*H8</f>
        <v>0</v>
      </c>
      <c r="L8" s="896"/>
      <c r="M8" s="897"/>
      <c r="N8" s="897"/>
      <c r="O8" s="897"/>
      <c r="P8" s="897"/>
      <c r="Q8" s="898"/>
    </row>
    <row r="9" spans="1:18" x14ac:dyDescent="0.25">
      <c r="A9" s="786"/>
      <c r="B9" s="807" t="s">
        <v>576</v>
      </c>
      <c r="C9" s="808"/>
      <c r="D9" s="809"/>
      <c r="E9" s="803" t="s">
        <v>1002</v>
      </c>
      <c r="H9" s="797">
        <v>0</v>
      </c>
      <c r="I9" s="798"/>
      <c r="J9" s="824">
        <f t="shared" si="0"/>
        <v>0</v>
      </c>
      <c r="L9" s="896"/>
      <c r="M9" s="897"/>
      <c r="N9" s="897"/>
      <c r="O9" s="897"/>
      <c r="P9" s="897"/>
      <c r="Q9" s="898"/>
    </row>
    <row r="10" spans="1:18" x14ac:dyDescent="0.25">
      <c r="B10" s="807" t="s">
        <v>576</v>
      </c>
      <c r="C10" s="808"/>
      <c r="D10" s="809"/>
      <c r="E10" s="803" t="s">
        <v>95</v>
      </c>
      <c r="H10" s="797">
        <v>1</v>
      </c>
      <c r="I10" s="798">
        <v>50</v>
      </c>
      <c r="J10" s="824">
        <f t="shared" si="0"/>
        <v>50</v>
      </c>
      <c r="L10" s="896"/>
      <c r="M10" s="897"/>
      <c r="N10" s="897"/>
      <c r="O10" s="897"/>
      <c r="P10" s="897"/>
      <c r="Q10" s="898"/>
    </row>
    <row r="11" spans="1:18" x14ac:dyDescent="0.25">
      <c r="A11" s="786"/>
      <c r="B11" s="807"/>
      <c r="C11" s="808"/>
      <c r="D11" s="809"/>
      <c r="E11" s="803" t="s">
        <v>96</v>
      </c>
      <c r="H11" s="797">
        <v>0</v>
      </c>
      <c r="I11" s="798"/>
      <c r="J11" s="824">
        <f t="shared" si="0"/>
        <v>0</v>
      </c>
      <c r="L11" s="896"/>
      <c r="M11" s="897"/>
      <c r="N11" s="897"/>
      <c r="O11" s="897"/>
      <c r="P11" s="897"/>
      <c r="Q11" s="898"/>
    </row>
    <row r="12" spans="1:18" x14ac:dyDescent="0.25">
      <c r="A12" s="786"/>
      <c r="B12" s="807" t="s">
        <v>576</v>
      </c>
      <c r="C12" s="808"/>
      <c r="D12" s="809"/>
      <c r="E12" s="803" t="s">
        <v>97</v>
      </c>
      <c r="H12" s="797"/>
      <c r="I12" s="798"/>
      <c r="J12" s="824">
        <f t="shared" si="0"/>
        <v>0</v>
      </c>
      <c r="L12" s="792"/>
      <c r="M12" s="793"/>
      <c r="N12" s="793"/>
      <c r="O12" s="793"/>
      <c r="P12" s="793"/>
      <c r="Q12" s="794"/>
    </row>
    <row r="13" spans="1:18" x14ac:dyDescent="0.25">
      <c r="A13" s="786"/>
      <c r="B13" s="807"/>
      <c r="C13" s="808"/>
      <c r="D13" s="809"/>
      <c r="E13" s="803" t="s">
        <v>98</v>
      </c>
      <c r="H13" s="797"/>
      <c r="I13" s="798"/>
      <c r="J13" s="824">
        <f t="shared" si="0"/>
        <v>0</v>
      </c>
      <c r="L13" s="792"/>
      <c r="M13" s="793"/>
      <c r="N13" s="793"/>
      <c r="O13" s="793"/>
      <c r="P13" s="793"/>
      <c r="Q13" s="794"/>
    </row>
    <row r="14" spans="1:18" x14ac:dyDescent="0.25">
      <c r="A14" s="786"/>
      <c r="B14" s="807"/>
      <c r="C14" s="808"/>
      <c r="D14" s="809"/>
      <c r="E14" s="803" t="s">
        <v>98</v>
      </c>
      <c r="H14" s="797"/>
      <c r="I14" s="798"/>
      <c r="J14" s="824">
        <f t="shared" si="0"/>
        <v>0</v>
      </c>
      <c r="L14" s="792"/>
      <c r="M14" s="793"/>
      <c r="N14" s="793"/>
      <c r="O14" s="793"/>
      <c r="P14" s="793"/>
      <c r="Q14" s="794"/>
    </row>
    <row r="15" spans="1:18" x14ac:dyDescent="0.25">
      <c r="A15" s="786"/>
      <c r="B15" s="807"/>
      <c r="C15" s="808"/>
      <c r="D15" s="809"/>
      <c r="E15" s="803" t="s">
        <v>98</v>
      </c>
      <c r="H15" s="797"/>
      <c r="I15" s="798"/>
      <c r="J15" s="824">
        <f t="shared" si="0"/>
        <v>0</v>
      </c>
      <c r="L15" s="792"/>
      <c r="M15" s="793"/>
      <c r="N15" s="793"/>
      <c r="O15" s="793"/>
      <c r="P15" s="793"/>
      <c r="Q15" s="794"/>
    </row>
    <row r="16" spans="1:18" x14ac:dyDescent="0.25">
      <c r="A16" s="786"/>
      <c r="B16" s="807"/>
      <c r="C16" s="808"/>
      <c r="D16" s="809"/>
      <c r="E16" s="803" t="s">
        <v>98</v>
      </c>
      <c r="H16" s="797"/>
      <c r="I16" s="798"/>
      <c r="J16" s="824">
        <f t="shared" si="0"/>
        <v>0</v>
      </c>
      <c r="L16" s="792"/>
      <c r="M16" s="793"/>
      <c r="N16" s="793"/>
      <c r="O16" s="793"/>
      <c r="P16" s="793"/>
      <c r="Q16" s="794"/>
    </row>
    <row r="17" spans="1:17" x14ac:dyDescent="0.25">
      <c r="A17" s="786"/>
      <c r="B17" s="807"/>
      <c r="C17" s="808"/>
      <c r="D17" s="809"/>
      <c r="E17" s="803" t="s">
        <v>98</v>
      </c>
      <c r="H17" s="797">
        <v>0</v>
      </c>
      <c r="I17" s="798"/>
      <c r="J17" s="824">
        <f t="shared" si="0"/>
        <v>0</v>
      </c>
      <c r="L17" s="896"/>
      <c r="M17" s="897"/>
      <c r="N17" s="897"/>
      <c r="O17" s="897"/>
      <c r="P17" s="897"/>
      <c r="Q17" s="898"/>
    </row>
    <row r="18" spans="1:17" x14ac:dyDescent="0.25">
      <c r="A18" s="786"/>
      <c r="B18" s="810"/>
      <c r="C18" s="811"/>
      <c r="D18" s="812"/>
      <c r="E18" s="803" t="s">
        <v>98</v>
      </c>
      <c r="H18" s="799">
        <v>0</v>
      </c>
      <c r="I18" s="800"/>
      <c r="J18" s="824">
        <f t="shared" si="0"/>
        <v>0</v>
      </c>
      <c r="L18" s="896"/>
      <c r="M18" s="897"/>
      <c r="N18" s="897"/>
      <c r="O18" s="897"/>
      <c r="P18" s="897"/>
      <c r="Q18" s="898"/>
    </row>
    <row r="19" spans="1:17" x14ac:dyDescent="0.25">
      <c r="A19" s="786"/>
      <c r="B19" s="810"/>
      <c r="C19" s="811"/>
      <c r="D19" s="812"/>
      <c r="E19" s="803" t="s">
        <v>98</v>
      </c>
      <c r="H19" s="799">
        <v>0</v>
      </c>
      <c r="I19" s="800"/>
      <c r="J19" s="825">
        <f t="shared" ref="J19" si="2">I19*H19</f>
        <v>0</v>
      </c>
      <c r="L19" s="896"/>
      <c r="M19" s="897"/>
      <c r="N19" s="897"/>
      <c r="O19" s="897"/>
      <c r="P19" s="897"/>
      <c r="Q19" s="898"/>
    </row>
    <row r="20" spans="1:17" x14ac:dyDescent="0.25">
      <c r="A20" s="786"/>
      <c r="B20" s="810"/>
      <c r="C20" s="811"/>
      <c r="D20" s="812"/>
      <c r="E20" s="803" t="s">
        <v>98</v>
      </c>
      <c r="H20" s="799">
        <v>0</v>
      </c>
      <c r="I20" s="800"/>
      <c r="J20" s="825">
        <f t="shared" ref="J20" si="3">I20*H20</f>
        <v>0</v>
      </c>
      <c r="L20" s="896"/>
      <c r="M20" s="897"/>
      <c r="N20" s="897"/>
      <c r="O20" s="897"/>
      <c r="P20" s="897"/>
      <c r="Q20" s="898"/>
    </row>
    <row r="21" spans="1:17" x14ac:dyDescent="0.25">
      <c r="A21" s="786"/>
      <c r="B21" s="810"/>
      <c r="C21" s="811"/>
      <c r="D21" s="812"/>
      <c r="E21" s="803" t="s">
        <v>98</v>
      </c>
      <c r="H21" s="799">
        <v>0</v>
      </c>
      <c r="I21" s="800"/>
      <c r="J21" s="825">
        <f t="shared" si="0"/>
        <v>0</v>
      </c>
      <c r="L21" s="896"/>
      <c r="M21" s="897"/>
      <c r="N21" s="897"/>
      <c r="O21" s="897"/>
      <c r="P21" s="897"/>
      <c r="Q21" s="898"/>
    </row>
    <row r="22" spans="1:17" x14ac:dyDescent="0.25">
      <c r="A22" s="786"/>
      <c r="B22" s="813"/>
      <c r="C22" s="814"/>
      <c r="D22" s="815"/>
      <c r="E22" s="803" t="s">
        <v>98</v>
      </c>
      <c r="H22" s="801">
        <v>0</v>
      </c>
      <c r="I22" s="802"/>
      <c r="J22" s="826">
        <f t="shared" si="0"/>
        <v>0</v>
      </c>
      <c r="L22" s="899"/>
      <c r="M22" s="900"/>
      <c r="N22" s="900"/>
      <c r="O22" s="900"/>
      <c r="P22" s="900"/>
      <c r="Q22" s="901"/>
    </row>
    <row r="23" spans="1:17" x14ac:dyDescent="0.25">
      <c r="A23" s="786"/>
      <c r="H23" s="36">
        <v>0</v>
      </c>
      <c r="I23" s="36" t="s">
        <v>73</v>
      </c>
      <c r="J23" s="45">
        <f>SUM(J5:J22)</f>
        <v>1250</v>
      </c>
    </row>
    <row r="24" spans="1:17" x14ac:dyDescent="0.25">
      <c r="A24" s="786"/>
    </row>
    <row r="25" spans="1:17" x14ac:dyDescent="0.25">
      <c r="A25" s="786"/>
    </row>
    <row r="26" spans="1:17" x14ac:dyDescent="0.25">
      <c r="A26" s="786"/>
    </row>
  </sheetData>
  <mergeCells count="14">
    <mergeCell ref="A1:Q1"/>
    <mergeCell ref="L11:Q11"/>
    <mergeCell ref="L17:Q17"/>
    <mergeCell ref="L22:Q22"/>
    <mergeCell ref="L5:Q5"/>
    <mergeCell ref="L6:Q6"/>
    <mergeCell ref="L7:Q7"/>
    <mergeCell ref="L9:Q9"/>
    <mergeCell ref="L10:Q10"/>
    <mergeCell ref="L18:Q18"/>
    <mergeCell ref="L19:Q19"/>
    <mergeCell ref="L20:Q20"/>
    <mergeCell ref="L21:Q21"/>
    <mergeCell ref="L8:Q8"/>
  </mergeCells>
  <printOptions horizontalCentered="1"/>
  <pageMargins left="0.5" right="0.5" top="0.5" bottom="0.75" header="0.25" footer="0.3"/>
  <pageSetup scale="91" orientation="landscape" r:id="rId1"/>
  <headerFooter>
    <oddHeader>&amp;L&amp;"Arial Narrow,Regular"&amp;9&amp;F&amp;R&amp;"Arial Narrow,Regular"&amp;9&amp;A</oddHeader>
    <oddFooter>&amp;L&amp;"Arial Narrow,Regular"&amp;9&amp;D&amp;T&amp;C&amp;"Arial Narrow,Regular"&amp;9Page &amp;P of &amp;N&amp;R&amp;"Arial Narrow,Regular"&amp;9&amp;Z&amp;F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N187"/>
  <sheetViews>
    <sheetView workbookViewId="0">
      <pane ySplit="2" topLeftCell="A105" activePane="bottomLeft" state="frozen"/>
      <selection pane="bottomLeft" activeCell="C172" sqref="C172"/>
    </sheetView>
  </sheetViews>
  <sheetFormatPr defaultColWidth="8.85546875" defaultRowHeight="12.75" x14ac:dyDescent="0.2"/>
  <cols>
    <col min="1" max="1" width="11.28515625" style="110" bestFit="1" customWidth="1"/>
    <col min="2" max="2" width="29.28515625" style="110" customWidth="1"/>
    <col min="3" max="3" width="9.42578125" style="110" bestFit="1" customWidth="1"/>
    <col min="4" max="4" width="18" style="110" customWidth="1"/>
    <col min="5" max="5" width="9.42578125" style="110" customWidth="1"/>
    <col min="6" max="6" width="12.28515625" style="110" bestFit="1" customWidth="1"/>
    <col min="7" max="7" width="8.85546875" style="111" customWidth="1"/>
    <col min="8" max="16384" width="8.85546875" style="110"/>
  </cols>
  <sheetData>
    <row r="1" spans="1:14" x14ac:dyDescent="0.2">
      <c r="A1" s="112">
        <v>1</v>
      </c>
      <c r="B1" s="112">
        <v>2</v>
      </c>
      <c r="C1" s="112">
        <v>3</v>
      </c>
      <c r="D1" s="112">
        <v>4</v>
      </c>
      <c r="E1" s="112">
        <v>5</v>
      </c>
      <c r="F1" s="112">
        <v>6</v>
      </c>
      <c r="G1" s="112">
        <v>7</v>
      </c>
      <c r="H1" s="112">
        <v>8</v>
      </c>
      <c r="I1" s="112">
        <v>9</v>
      </c>
      <c r="J1" s="112">
        <v>10</v>
      </c>
      <c r="K1" s="112">
        <v>11</v>
      </c>
      <c r="L1" s="112">
        <v>12</v>
      </c>
      <c r="M1" s="112">
        <v>13</v>
      </c>
      <c r="N1" s="112">
        <v>14</v>
      </c>
    </row>
    <row r="2" spans="1:14" s="109" customFormat="1" ht="32.25" customHeight="1" x14ac:dyDescent="0.2">
      <c r="A2" s="107" t="s">
        <v>140</v>
      </c>
      <c r="B2" s="107" t="s">
        <v>141</v>
      </c>
      <c r="C2" s="107" t="s">
        <v>142</v>
      </c>
      <c r="D2" s="107" t="s">
        <v>143</v>
      </c>
      <c r="E2" s="107" t="s">
        <v>521</v>
      </c>
      <c r="F2" s="107" t="s">
        <v>144</v>
      </c>
      <c r="G2" s="108" t="s">
        <v>523</v>
      </c>
      <c r="H2" s="109" t="s">
        <v>524</v>
      </c>
    </row>
    <row r="3" spans="1:14" x14ac:dyDescent="0.2">
      <c r="A3" s="110" t="s">
        <v>145</v>
      </c>
      <c r="B3" s="110" t="s">
        <v>146</v>
      </c>
      <c r="C3" s="110">
        <v>2</v>
      </c>
      <c r="D3" s="110" t="s">
        <v>3</v>
      </c>
      <c r="E3" s="110">
        <v>100</v>
      </c>
      <c r="F3" s="110" t="s">
        <v>147</v>
      </c>
      <c r="G3" s="111">
        <v>3</v>
      </c>
      <c r="H3" s="110">
        <v>20</v>
      </c>
    </row>
    <row r="4" spans="1:14" x14ac:dyDescent="0.2">
      <c r="A4" s="110" t="s">
        <v>148</v>
      </c>
      <c r="B4" s="110" t="s">
        <v>149</v>
      </c>
      <c r="C4" s="110">
        <v>2</v>
      </c>
      <c r="D4" s="110" t="s">
        <v>3</v>
      </c>
      <c r="E4" s="110">
        <v>100</v>
      </c>
      <c r="F4" s="110" t="s">
        <v>147</v>
      </c>
      <c r="G4" s="111">
        <v>3</v>
      </c>
      <c r="H4" s="110">
        <v>20</v>
      </c>
    </row>
    <row r="5" spans="1:14" x14ac:dyDescent="0.2">
      <c r="A5" s="110" t="s">
        <v>150</v>
      </c>
      <c r="B5" s="110" t="s">
        <v>151</v>
      </c>
      <c r="C5" s="110">
        <v>2</v>
      </c>
      <c r="D5" s="110" t="s">
        <v>3</v>
      </c>
      <c r="E5" s="110">
        <v>100</v>
      </c>
      <c r="F5" s="110" t="s">
        <v>147</v>
      </c>
      <c r="G5" s="111">
        <v>3</v>
      </c>
      <c r="H5" s="110">
        <v>20</v>
      </c>
    </row>
    <row r="6" spans="1:14" x14ac:dyDescent="0.2">
      <c r="A6" s="110" t="s">
        <v>152</v>
      </c>
      <c r="B6" s="110" t="s">
        <v>153</v>
      </c>
      <c r="C6" s="110">
        <v>2</v>
      </c>
      <c r="D6" s="110" t="s">
        <v>3</v>
      </c>
      <c r="E6" s="110">
        <v>100</v>
      </c>
      <c r="F6" s="110" t="s">
        <v>147</v>
      </c>
      <c r="G6" s="111">
        <v>3</v>
      </c>
      <c r="H6" s="110">
        <v>20</v>
      </c>
    </row>
    <row r="7" spans="1:14" x14ac:dyDescent="0.2">
      <c r="A7" s="110" t="s">
        <v>154</v>
      </c>
      <c r="B7" s="110" t="s">
        <v>155</v>
      </c>
      <c r="C7" s="110">
        <v>2</v>
      </c>
      <c r="D7" s="110" t="s">
        <v>3</v>
      </c>
      <c r="E7" s="110">
        <v>100</v>
      </c>
      <c r="F7" s="110" t="s">
        <v>147</v>
      </c>
      <c r="G7" s="111">
        <v>3</v>
      </c>
      <c r="H7" s="110">
        <v>20</v>
      </c>
    </row>
    <row r="8" spans="1:14" x14ac:dyDescent="0.2">
      <c r="A8" s="110" t="s">
        <v>156</v>
      </c>
      <c r="B8" s="110" t="s">
        <v>157</v>
      </c>
      <c r="C8" s="110">
        <v>2</v>
      </c>
      <c r="D8" s="110" t="s">
        <v>3</v>
      </c>
      <c r="E8" s="110">
        <v>100</v>
      </c>
      <c r="F8" s="110" t="s">
        <v>147</v>
      </c>
      <c r="G8" s="111">
        <v>3</v>
      </c>
      <c r="H8" s="110">
        <v>20</v>
      </c>
    </row>
    <row r="9" spans="1:14" x14ac:dyDescent="0.2">
      <c r="A9" s="110" t="s">
        <v>158</v>
      </c>
      <c r="B9" s="110" t="s">
        <v>159</v>
      </c>
      <c r="C9" s="110">
        <v>2</v>
      </c>
      <c r="D9" s="110" t="s">
        <v>3</v>
      </c>
      <c r="E9" s="110">
        <v>100</v>
      </c>
      <c r="F9" s="110" t="s">
        <v>147</v>
      </c>
      <c r="G9" s="111">
        <v>3</v>
      </c>
      <c r="H9" s="110">
        <v>20</v>
      </c>
    </row>
    <row r="10" spans="1:14" x14ac:dyDescent="0.2">
      <c r="A10" s="110" t="s">
        <v>160</v>
      </c>
      <c r="B10" s="110" t="s">
        <v>161</v>
      </c>
      <c r="C10" s="110">
        <v>2</v>
      </c>
      <c r="D10" s="110" t="s">
        <v>3</v>
      </c>
      <c r="E10" s="110">
        <v>100</v>
      </c>
      <c r="F10" s="110" t="s">
        <v>147</v>
      </c>
      <c r="G10" s="111">
        <v>3</v>
      </c>
      <c r="H10" s="110">
        <v>20</v>
      </c>
    </row>
    <row r="11" spans="1:14" x14ac:dyDescent="0.2">
      <c r="A11" s="110" t="s">
        <v>162</v>
      </c>
      <c r="B11" s="110" t="s">
        <v>163</v>
      </c>
      <c r="C11" s="110">
        <v>2</v>
      </c>
      <c r="D11" s="110" t="s">
        <v>3</v>
      </c>
      <c r="E11" s="110">
        <v>100</v>
      </c>
      <c r="F11" s="110" t="s">
        <v>147</v>
      </c>
      <c r="G11" s="111">
        <v>3</v>
      </c>
      <c r="H11" s="110">
        <v>20</v>
      </c>
    </row>
    <row r="12" spans="1:14" x14ac:dyDescent="0.2">
      <c r="A12" s="110" t="s">
        <v>164</v>
      </c>
      <c r="B12" s="110" t="s">
        <v>165</v>
      </c>
      <c r="C12" s="110">
        <v>2</v>
      </c>
      <c r="D12" s="110" t="s">
        <v>3</v>
      </c>
      <c r="E12" s="110">
        <v>100</v>
      </c>
      <c r="F12" s="110" t="s">
        <v>147</v>
      </c>
      <c r="G12" s="111">
        <v>3</v>
      </c>
      <c r="H12" s="110">
        <v>20</v>
      </c>
    </row>
    <row r="13" spans="1:14" x14ac:dyDescent="0.2">
      <c r="A13" s="110" t="s">
        <v>166</v>
      </c>
      <c r="B13" s="110" t="s">
        <v>167</v>
      </c>
      <c r="C13" s="110">
        <v>3</v>
      </c>
      <c r="D13" s="110" t="s">
        <v>136</v>
      </c>
      <c r="E13" s="110">
        <v>1</v>
      </c>
      <c r="F13" s="110" t="s">
        <v>18</v>
      </c>
      <c r="G13" s="111">
        <v>3</v>
      </c>
      <c r="H13" s="110">
        <v>30</v>
      </c>
    </row>
    <row r="14" spans="1:14" x14ac:dyDescent="0.2">
      <c r="A14" s="110" t="s">
        <v>168</v>
      </c>
      <c r="B14" s="110" t="s">
        <v>169</v>
      </c>
      <c r="C14" s="110">
        <v>3</v>
      </c>
      <c r="D14" s="110" t="s">
        <v>136</v>
      </c>
      <c r="E14" s="110">
        <v>1</v>
      </c>
      <c r="F14" s="110" t="s">
        <v>18</v>
      </c>
      <c r="G14" s="111">
        <v>3</v>
      </c>
      <c r="H14" s="110">
        <v>30</v>
      </c>
    </row>
    <row r="15" spans="1:14" x14ac:dyDescent="0.2">
      <c r="A15" s="110" t="s">
        <v>170</v>
      </c>
      <c r="B15" s="110" t="s">
        <v>171</v>
      </c>
      <c r="C15" s="110">
        <v>3</v>
      </c>
      <c r="D15" s="110" t="s">
        <v>136</v>
      </c>
      <c r="E15" s="110">
        <v>1</v>
      </c>
      <c r="F15" s="110" t="s">
        <v>18</v>
      </c>
      <c r="G15" s="111">
        <v>3</v>
      </c>
      <c r="H15" s="110">
        <v>30</v>
      </c>
    </row>
    <row r="16" spans="1:14" x14ac:dyDescent="0.2">
      <c r="A16" s="110" t="s">
        <v>172</v>
      </c>
      <c r="B16" s="110" t="s">
        <v>173</v>
      </c>
      <c r="C16" s="110">
        <v>3</v>
      </c>
      <c r="D16" s="110" t="s">
        <v>136</v>
      </c>
      <c r="E16" s="110">
        <v>1</v>
      </c>
      <c r="F16" s="110" t="s">
        <v>18</v>
      </c>
      <c r="G16" s="111">
        <v>3</v>
      </c>
      <c r="H16" s="110">
        <v>30</v>
      </c>
    </row>
    <row r="17" spans="1:8" x14ac:dyDescent="0.2">
      <c r="A17" s="110" t="s">
        <v>174</v>
      </c>
      <c r="B17" s="110" t="s">
        <v>175</v>
      </c>
      <c r="C17" s="110">
        <v>3</v>
      </c>
      <c r="D17" s="110" t="s">
        <v>136</v>
      </c>
      <c r="E17" s="110">
        <v>1</v>
      </c>
      <c r="F17" s="110" t="s">
        <v>18</v>
      </c>
      <c r="G17" s="111">
        <v>3</v>
      </c>
      <c r="H17" s="110">
        <v>30</v>
      </c>
    </row>
    <row r="18" spans="1:8" x14ac:dyDescent="0.2">
      <c r="A18" s="110" t="s">
        <v>176</v>
      </c>
      <c r="B18" s="110" t="s">
        <v>177</v>
      </c>
      <c r="C18" s="110">
        <v>3</v>
      </c>
      <c r="D18" s="110" t="s">
        <v>136</v>
      </c>
      <c r="E18" s="110">
        <v>1</v>
      </c>
      <c r="F18" s="110" t="s">
        <v>18</v>
      </c>
      <c r="G18" s="111">
        <v>3</v>
      </c>
      <c r="H18" s="110">
        <v>30</v>
      </c>
    </row>
    <row r="19" spans="1:8" x14ac:dyDescent="0.2">
      <c r="A19" s="110" t="s">
        <v>178</v>
      </c>
      <c r="B19" s="110" t="s">
        <v>179</v>
      </c>
      <c r="C19" s="110">
        <v>3</v>
      </c>
      <c r="D19" s="110" t="s">
        <v>136</v>
      </c>
      <c r="E19" s="110">
        <v>1</v>
      </c>
      <c r="F19" s="110" t="s">
        <v>18</v>
      </c>
      <c r="G19" s="111">
        <v>3</v>
      </c>
      <c r="H19" s="110">
        <v>30</v>
      </c>
    </row>
    <row r="20" spans="1:8" x14ac:dyDescent="0.2">
      <c r="A20" s="110" t="s">
        <v>180</v>
      </c>
      <c r="B20" s="110" t="s">
        <v>181</v>
      </c>
      <c r="C20" s="110">
        <v>3</v>
      </c>
      <c r="D20" s="110" t="s">
        <v>136</v>
      </c>
      <c r="E20" s="110">
        <v>1</v>
      </c>
      <c r="F20" s="110" t="s">
        <v>18</v>
      </c>
      <c r="G20" s="111">
        <v>3</v>
      </c>
      <c r="H20" s="110">
        <v>30</v>
      </c>
    </row>
    <row r="21" spans="1:8" x14ac:dyDescent="0.2">
      <c r="A21" s="110" t="s">
        <v>182</v>
      </c>
      <c r="B21" s="110" t="s">
        <v>183</v>
      </c>
      <c r="C21" s="110">
        <v>3</v>
      </c>
      <c r="D21" s="110" t="s">
        <v>136</v>
      </c>
      <c r="E21" s="110">
        <v>1</v>
      </c>
      <c r="F21" s="110" t="s">
        <v>18</v>
      </c>
      <c r="G21" s="111">
        <v>3</v>
      </c>
      <c r="H21" s="110">
        <v>30</v>
      </c>
    </row>
    <row r="22" spans="1:8" x14ac:dyDescent="0.2">
      <c r="A22" s="110" t="s">
        <v>184</v>
      </c>
      <c r="B22" s="110" t="s">
        <v>185</v>
      </c>
      <c r="C22" s="110">
        <v>3</v>
      </c>
      <c r="D22" s="110" t="s">
        <v>136</v>
      </c>
      <c r="E22" s="110">
        <v>1</v>
      </c>
      <c r="F22" s="110" t="s">
        <v>18</v>
      </c>
      <c r="G22" s="111">
        <v>3</v>
      </c>
      <c r="H22" s="110">
        <v>30</v>
      </c>
    </row>
    <row r="23" spans="1:8" x14ac:dyDescent="0.2">
      <c r="A23" s="110" t="s">
        <v>186</v>
      </c>
      <c r="B23" s="110" t="s">
        <v>187</v>
      </c>
      <c r="C23" s="110">
        <v>3</v>
      </c>
      <c r="D23" s="110" t="s">
        <v>136</v>
      </c>
      <c r="E23" s="110">
        <v>1</v>
      </c>
      <c r="F23" s="110" t="s">
        <v>18</v>
      </c>
      <c r="G23" s="111">
        <v>3</v>
      </c>
      <c r="H23" s="110">
        <v>30</v>
      </c>
    </row>
    <row r="24" spans="1:8" x14ac:dyDescent="0.2">
      <c r="A24" s="110" t="s">
        <v>188</v>
      </c>
      <c r="B24" s="110" t="s">
        <v>189</v>
      </c>
      <c r="C24" s="110">
        <v>3</v>
      </c>
      <c r="D24" s="110" t="s">
        <v>136</v>
      </c>
      <c r="E24" s="110">
        <v>1</v>
      </c>
      <c r="F24" s="110" t="s">
        <v>18</v>
      </c>
      <c r="G24" s="111">
        <v>3</v>
      </c>
      <c r="H24" s="110">
        <v>30</v>
      </c>
    </row>
    <row r="25" spans="1:8" x14ac:dyDescent="0.2">
      <c r="A25" s="110" t="s">
        <v>190</v>
      </c>
      <c r="B25" s="110" t="s">
        <v>191</v>
      </c>
      <c r="C25" s="110">
        <v>3</v>
      </c>
      <c r="D25" s="110" t="s">
        <v>136</v>
      </c>
      <c r="E25" s="110">
        <v>1</v>
      </c>
      <c r="F25" s="110" t="s">
        <v>18</v>
      </c>
      <c r="G25" s="111">
        <v>3</v>
      </c>
      <c r="H25" s="110">
        <v>30</v>
      </c>
    </row>
    <row r="26" spans="1:8" x14ac:dyDescent="0.2">
      <c r="A26" s="110" t="s">
        <v>192</v>
      </c>
      <c r="B26" s="110" t="s">
        <v>193</v>
      </c>
      <c r="C26" s="110">
        <v>3</v>
      </c>
      <c r="D26" s="110" t="s">
        <v>136</v>
      </c>
      <c r="E26" s="110">
        <v>1</v>
      </c>
      <c r="F26" s="110" t="s">
        <v>18</v>
      </c>
      <c r="G26" s="111">
        <v>3</v>
      </c>
      <c r="H26" s="110">
        <v>30</v>
      </c>
    </row>
    <row r="27" spans="1:8" x14ac:dyDescent="0.2">
      <c r="A27" s="110" t="s">
        <v>194</v>
      </c>
      <c r="B27" s="110" t="s">
        <v>195</v>
      </c>
      <c r="C27" s="110">
        <v>3</v>
      </c>
      <c r="D27" s="110" t="s">
        <v>136</v>
      </c>
      <c r="E27" s="110">
        <v>1</v>
      </c>
      <c r="F27" s="110" t="s">
        <v>18</v>
      </c>
      <c r="G27" s="111">
        <v>3</v>
      </c>
      <c r="H27" s="110">
        <v>30</v>
      </c>
    </row>
    <row r="28" spans="1:8" x14ac:dyDescent="0.2">
      <c r="A28" s="110" t="s">
        <v>196</v>
      </c>
      <c r="B28" s="110" t="s">
        <v>197</v>
      </c>
      <c r="C28" s="110">
        <v>4</v>
      </c>
      <c r="D28" s="110" t="s">
        <v>198</v>
      </c>
      <c r="E28" s="110">
        <v>100</v>
      </c>
      <c r="F28" s="110" t="s">
        <v>147</v>
      </c>
      <c r="G28" s="111">
        <v>3</v>
      </c>
      <c r="H28" s="110">
        <v>20</v>
      </c>
    </row>
    <row r="29" spans="1:8" x14ac:dyDescent="0.2">
      <c r="A29" s="110" t="s">
        <v>199</v>
      </c>
      <c r="B29" s="110" t="s">
        <v>200</v>
      </c>
      <c r="C29" s="110">
        <v>4</v>
      </c>
      <c r="D29" s="110" t="s">
        <v>198</v>
      </c>
      <c r="E29" s="110">
        <v>100</v>
      </c>
      <c r="F29" s="110" t="s">
        <v>147</v>
      </c>
      <c r="G29" s="111">
        <v>3</v>
      </c>
      <c r="H29" s="110">
        <v>20</v>
      </c>
    </row>
    <row r="30" spans="1:8" x14ac:dyDescent="0.2">
      <c r="A30" s="110" t="s">
        <v>201</v>
      </c>
      <c r="B30" s="110" t="s">
        <v>202</v>
      </c>
      <c r="C30" s="110">
        <v>4</v>
      </c>
      <c r="D30" s="110" t="s">
        <v>198</v>
      </c>
      <c r="E30" s="110">
        <v>100</v>
      </c>
      <c r="F30" s="110" t="s">
        <v>147</v>
      </c>
      <c r="G30" s="111">
        <v>3</v>
      </c>
      <c r="H30" s="110">
        <v>20</v>
      </c>
    </row>
    <row r="31" spans="1:8" x14ac:dyDescent="0.2">
      <c r="A31" s="110" t="s">
        <v>203</v>
      </c>
      <c r="B31" s="110" t="s">
        <v>204</v>
      </c>
      <c r="C31" s="110">
        <v>4</v>
      </c>
      <c r="D31" s="110" t="s">
        <v>198</v>
      </c>
      <c r="E31" s="110">
        <v>100</v>
      </c>
      <c r="F31" s="110" t="s">
        <v>147</v>
      </c>
      <c r="G31" s="111">
        <v>3</v>
      </c>
      <c r="H31" s="110">
        <v>20</v>
      </c>
    </row>
    <row r="32" spans="1:8" x14ac:dyDescent="0.2">
      <c r="A32" s="110" t="s">
        <v>205</v>
      </c>
      <c r="B32" s="110" t="s">
        <v>206</v>
      </c>
      <c r="C32" s="110">
        <v>5</v>
      </c>
      <c r="D32" s="110" t="s">
        <v>207</v>
      </c>
      <c r="E32" s="110">
        <v>100</v>
      </c>
      <c r="F32" s="110" t="s">
        <v>18</v>
      </c>
      <c r="G32" s="111">
        <v>3</v>
      </c>
      <c r="H32" s="110">
        <v>20</v>
      </c>
    </row>
    <row r="33" spans="1:8" x14ac:dyDescent="0.2">
      <c r="A33" s="110" t="s">
        <v>208</v>
      </c>
      <c r="B33" s="110" t="s">
        <v>209</v>
      </c>
      <c r="C33" s="110">
        <v>5</v>
      </c>
      <c r="D33" s="110" t="s">
        <v>207</v>
      </c>
      <c r="E33" s="110">
        <v>100</v>
      </c>
      <c r="F33" s="110" t="s">
        <v>18</v>
      </c>
      <c r="G33" s="111">
        <v>3</v>
      </c>
      <c r="H33" s="110">
        <v>20</v>
      </c>
    </row>
    <row r="34" spans="1:8" x14ac:dyDescent="0.2">
      <c r="A34" s="110" t="s">
        <v>210</v>
      </c>
      <c r="B34" s="110" t="s">
        <v>211</v>
      </c>
      <c r="C34" s="110">
        <v>5</v>
      </c>
      <c r="D34" s="110" t="s">
        <v>207</v>
      </c>
      <c r="E34" s="110">
        <v>100</v>
      </c>
      <c r="F34" s="110" t="s">
        <v>18</v>
      </c>
      <c r="G34" s="111">
        <v>3</v>
      </c>
      <c r="H34" s="110">
        <v>20</v>
      </c>
    </row>
    <row r="35" spans="1:8" x14ac:dyDescent="0.2">
      <c r="A35" s="110" t="s">
        <v>212</v>
      </c>
      <c r="B35" s="110" t="s">
        <v>213</v>
      </c>
      <c r="C35" s="110">
        <v>5</v>
      </c>
      <c r="D35" s="110" t="s">
        <v>207</v>
      </c>
      <c r="E35" s="110">
        <v>100</v>
      </c>
      <c r="F35" s="110" t="s">
        <v>18</v>
      </c>
      <c r="G35" s="111">
        <v>3</v>
      </c>
      <c r="H35" s="110">
        <v>20</v>
      </c>
    </row>
    <row r="36" spans="1:8" x14ac:dyDescent="0.2">
      <c r="A36" s="110" t="s">
        <v>214</v>
      </c>
      <c r="B36" s="110" t="s">
        <v>215</v>
      </c>
      <c r="C36" s="110">
        <v>5</v>
      </c>
      <c r="D36" s="110" t="s">
        <v>207</v>
      </c>
      <c r="E36" s="110">
        <v>100</v>
      </c>
      <c r="F36" s="110" t="s">
        <v>18</v>
      </c>
      <c r="G36" s="111">
        <v>3</v>
      </c>
      <c r="H36" s="110">
        <v>20</v>
      </c>
    </row>
    <row r="37" spans="1:8" x14ac:dyDescent="0.2">
      <c r="A37" s="110" t="s">
        <v>216</v>
      </c>
      <c r="B37" s="110" t="s">
        <v>217</v>
      </c>
      <c r="C37" s="110">
        <v>6</v>
      </c>
      <c r="D37" s="110" t="s">
        <v>218</v>
      </c>
      <c r="E37" s="110">
        <v>100</v>
      </c>
      <c r="F37" s="110" t="s">
        <v>147</v>
      </c>
      <c r="G37" s="111">
        <v>3</v>
      </c>
      <c r="H37" s="110">
        <v>20</v>
      </c>
    </row>
    <row r="38" spans="1:8" x14ac:dyDescent="0.2">
      <c r="A38" s="110" t="s">
        <v>219</v>
      </c>
      <c r="B38" s="110" t="s">
        <v>220</v>
      </c>
      <c r="C38" s="110">
        <v>6</v>
      </c>
      <c r="D38" s="110" t="s">
        <v>218</v>
      </c>
      <c r="E38" s="110">
        <v>100</v>
      </c>
      <c r="F38" s="110" t="s">
        <v>147</v>
      </c>
      <c r="G38" s="111">
        <v>3</v>
      </c>
      <c r="H38" s="110">
        <v>20</v>
      </c>
    </row>
    <row r="39" spans="1:8" x14ac:dyDescent="0.2">
      <c r="A39" s="110" t="s">
        <v>221</v>
      </c>
      <c r="B39" s="110" t="s">
        <v>222</v>
      </c>
      <c r="C39" s="110">
        <v>6</v>
      </c>
      <c r="D39" s="110" t="s">
        <v>218</v>
      </c>
      <c r="E39" s="110">
        <v>100</v>
      </c>
      <c r="F39" s="110" t="s">
        <v>147</v>
      </c>
      <c r="G39" s="111">
        <v>3</v>
      </c>
      <c r="H39" s="110">
        <v>20</v>
      </c>
    </row>
    <row r="40" spans="1:8" x14ac:dyDescent="0.2">
      <c r="A40" s="110" t="s">
        <v>223</v>
      </c>
      <c r="B40" s="110" t="s">
        <v>224</v>
      </c>
      <c r="C40" s="110">
        <v>6</v>
      </c>
      <c r="D40" s="110" t="s">
        <v>218</v>
      </c>
      <c r="E40" s="110">
        <v>100</v>
      </c>
      <c r="F40" s="110" t="s">
        <v>147</v>
      </c>
      <c r="G40" s="111">
        <v>3</v>
      </c>
      <c r="H40" s="110">
        <v>20</v>
      </c>
    </row>
    <row r="41" spans="1:8" x14ac:dyDescent="0.2">
      <c r="A41" s="110" t="s">
        <v>225</v>
      </c>
      <c r="B41" s="110" t="s">
        <v>226</v>
      </c>
      <c r="C41" s="110">
        <v>6</v>
      </c>
      <c r="D41" s="110" t="s">
        <v>218</v>
      </c>
      <c r="E41" s="110">
        <v>100</v>
      </c>
      <c r="F41" s="110" t="s">
        <v>147</v>
      </c>
      <c r="G41" s="111">
        <v>3</v>
      </c>
      <c r="H41" s="110">
        <v>20</v>
      </c>
    </row>
    <row r="42" spans="1:8" x14ac:dyDescent="0.2">
      <c r="A42" s="110" t="s">
        <v>227</v>
      </c>
      <c r="B42" s="110" t="s">
        <v>228</v>
      </c>
      <c r="C42" s="110">
        <v>6</v>
      </c>
      <c r="D42" s="110" t="s">
        <v>218</v>
      </c>
      <c r="E42" s="110">
        <v>100</v>
      </c>
      <c r="F42" s="110" t="s">
        <v>147</v>
      </c>
      <c r="G42" s="111">
        <v>3</v>
      </c>
      <c r="H42" s="110">
        <v>20</v>
      </c>
    </row>
    <row r="43" spans="1:8" x14ac:dyDescent="0.2">
      <c r="A43" s="110" t="s">
        <v>229</v>
      </c>
      <c r="B43" s="110" t="s">
        <v>230</v>
      </c>
      <c r="C43" s="110">
        <v>6</v>
      </c>
      <c r="D43" s="110" t="s">
        <v>218</v>
      </c>
      <c r="E43" s="110">
        <v>100</v>
      </c>
      <c r="F43" s="110" t="s">
        <v>147</v>
      </c>
      <c r="G43" s="111">
        <v>3</v>
      </c>
      <c r="H43" s="110">
        <v>20</v>
      </c>
    </row>
    <row r="44" spans="1:8" x14ac:dyDescent="0.2">
      <c r="A44" s="110" t="s">
        <v>231</v>
      </c>
      <c r="B44" s="110" t="s">
        <v>232</v>
      </c>
      <c r="C44" s="110">
        <v>6</v>
      </c>
      <c r="D44" s="110" t="s">
        <v>218</v>
      </c>
      <c r="E44" s="110">
        <v>100</v>
      </c>
      <c r="F44" s="110" t="s">
        <v>147</v>
      </c>
      <c r="G44" s="111">
        <v>3</v>
      </c>
      <c r="H44" s="110">
        <v>20</v>
      </c>
    </row>
    <row r="45" spans="1:8" x14ac:dyDescent="0.2">
      <c r="A45" s="110" t="s">
        <v>233</v>
      </c>
      <c r="B45" s="110" t="s">
        <v>234</v>
      </c>
      <c r="C45" s="110">
        <v>6</v>
      </c>
      <c r="D45" s="110" t="s">
        <v>218</v>
      </c>
      <c r="E45" s="110">
        <v>100</v>
      </c>
      <c r="F45" s="110" t="s">
        <v>147</v>
      </c>
      <c r="G45" s="111">
        <v>3</v>
      </c>
      <c r="H45" s="110">
        <v>20</v>
      </c>
    </row>
    <row r="46" spans="1:8" x14ac:dyDescent="0.2">
      <c r="A46" s="110" t="s">
        <v>235</v>
      </c>
      <c r="B46" s="110" t="s">
        <v>236</v>
      </c>
      <c r="C46" s="110">
        <v>1</v>
      </c>
      <c r="D46" s="110" t="s">
        <v>2</v>
      </c>
      <c r="E46" s="110">
        <v>100</v>
      </c>
      <c r="F46" s="110" t="s">
        <v>147</v>
      </c>
      <c r="G46" s="111">
        <v>3</v>
      </c>
      <c r="H46" s="110">
        <v>10</v>
      </c>
    </row>
    <row r="47" spans="1:8" x14ac:dyDescent="0.2">
      <c r="A47" s="110" t="s">
        <v>237</v>
      </c>
      <c r="B47" s="110" t="s">
        <v>238</v>
      </c>
      <c r="C47" s="110">
        <v>1</v>
      </c>
      <c r="D47" s="110" t="s">
        <v>2</v>
      </c>
      <c r="E47" s="110">
        <v>100</v>
      </c>
      <c r="F47" s="110" t="s">
        <v>147</v>
      </c>
      <c r="G47" s="111">
        <v>3</v>
      </c>
      <c r="H47" s="110">
        <v>10</v>
      </c>
    </row>
    <row r="48" spans="1:8" x14ac:dyDescent="0.2">
      <c r="A48" s="110" t="s">
        <v>239</v>
      </c>
      <c r="B48" s="110" t="s">
        <v>240</v>
      </c>
      <c r="C48" s="110">
        <v>1</v>
      </c>
      <c r="D48" s="110" t="s">
        <v>2</v>
      </c>
      <c r="E48" s="110">
        <v>100</v>
      </c>
      <c r="F48" s="110" t="s">
        <v>147</v>
      </c>
      <c r="G48" s="111">
        <v>3</v>
      </c>
      <c r="H48" s="110">
        <v>10</v>
      </c>
    </row>
    <row r="49" spans="1:8" x14ac:dyDescent="0.2">
      <c r="A49" s="110" t="s">
        <v>241</v>
      </c>
      <c r="B49" s="110" t="s">
        <v>242</v>
      </c>
      <c r="C49" s="110">
        <v>1</v>
      </c>
      <c r="D49" s="110" t="s">
        <v>2</v>
      </c>
      <c r="E49" s="110">
        <v>100</v>
      </c>
      <c r="F49" s="110" t="s">
        <v>147</v>
      </c>
      <c r="G49" s="111">
        <v>3</v>
      </c>
      <c r="H49" s="110">
        <v>10</v>
      </c>
    </row>
    <row r="50" spans="1:8" x14ac:dyDescent="0.2">
      <c r="A50" s="110" t="s">
        <v>243</v>
      </c>
      <c r="B50" s="110" t="s">
        <v>244</v>
      </c>
      <c r="C50" s="110">
        <v>1</v>
      </c>
      <c r="D50" s="110" t="s">
        <v>2</v>
      </c>
      <c r="E50" s="110">
        <v>100</v>
      </c>
      <c r="F50" s="110" t="s">
        <v>147</v>
      </c>
      <c r="G50" s="111">
        <v>3</v>
      </c>
      <c r="H50" s="110">
        <v>10</v>
      </c>
    </row>
    <row r="51" spans="1:8" x14ac:dyDescent="0.2">
      <c r="A51" s="110" t="s">
        <v>245</v>
      </c>
      <c r="B51" s="110" t="s">
        <v>246</v>
      </c>
      <c r="C51" s="110">
        <v>1</v>
      </c>
      <c r="D51" s="110" t="s">
        <v>2</v>
      </c>
      <c r="E51" s="110">
        <v>100</v>
      </c>
      <c r="F51" s="110" t="s">
        <v>147</v>
      </c>
      <c r="G51" s="111">
        <v>3</v>
      </c>
      <c r="H51" s="110">
        <v>10</v>
      </c>
    </row>
    <row r="52" spans="1:8" x14ac:dyDescent="0.2">
      <c r="A52" s="110" t="s">
        <v>247</v>
      </c>
      <c r="B52" s="110" t="s">
        <v>248</v>
      </c>
      <c r="C52" s="110">
        <v>1</v>
      </c>
      <c r="D52" s="110" t="s">
        <v>2</v>
      </c>
      <c r="E52" s="110">
        <v>100</v>
      </c>
      <c r="F52" s="110" t="s">
        <v>147</v>
      </c>
      <c r="G52" s="111">
        <v>3</v>
      </c>
      <c r="H52" s="110">
        <v>10</v>
      </c>
    </row>
    <row r="53" spans="1:8" x14ac:dyDescent="0.2">
      <c r="A53" s="110" t="s">
        <v>249</v>
      </c>
      <c r="B53" s="110" t="s">
        <v>250</v>
      </c>
      <c r="C53" s="110">
        <v>1</v>
      </c>
      <c r="D53" s="110" t="s">
        <v>2</v>
      </c>
      <c r="E53" s="110">
        <v>100</v>
      </c>
      <c r="F53" s="110" t="s">
        <v>147</v>
      </c>
      <c r="G53" s="111">
        <v>3</v>
      </c>
      <c r="H53" s="110">
        <v>10</v>
      </c>
    </row>
    <row r="54" spans="1:8" x14ac:dyDescent="0.2">
      <c r="A54" s="110" t="s">
        <v>251</v>
      </c>
      <c r="B54" s="110" t="s">
        <v>252</v>
      </c>
      <c r="C54" s="110">
        <v>1</v>
      </c>
      <c r="D54" s="110" t="s">
        <v>2</v>
      </c>
      <c r="E54" s="110">
        <v>100</v>
      </c>
      <c r="F54" s="110" t="s">
        <v>147</v>
      </c>
      <c r="G54" s="111">
        <v>3</v>
      </c>
      <c r="H54" s="110">
        <v>10</v>
      </c>
    </row>
    <row r="55" spans="1:8" x14ac:dyDescent="0.2">
      <c r="A55" s="110" t="s">
        <v>253</v>
      </c>
      <c r="B55" s="110" t="s">
        <v>254</v>
      </c>
      <c r="C55" s="110">
        <v>1</v>
      </c>
      <c r="D55" s="110" t="s">
        <v>2</v>
      </c>
      <c r="E55" s="110">
        <v>100</v>
      </c>
      <c r="F55" s="110" t="s">
        <v>147</v>
      </c>
      <c r="G55" s="111">
        <v>3</v>
      </c>
      <c r="H55" s="110">
        <v>10</v>
      </c>
    </row>
    <row r="56" spans="1:8" x14ac:dyDescent="0.2">
      <c r="A56" s="110" t="s">
        <v>255</v>
      </c>
      <c r="B56" s="110" t="s">
        <v>256</v>
      </c>
      <c r="C56" s="110">
        <v>1</v>
      </c>
      <c r="D56" s="110" t="s">
        <v>2</v>
      </c>
      <c r="E56" s="110">
        <v>100</v>
      </c>
      <c r="F56" s="110" t="s">
        <v>147</v>
      </c>
      <c r="G56" s="111">
        <v>3</v>
      </c>
      <c r="H56" s="110">
        <v>10</v>
      </c>
    </row>
    <row r="57" spans="1:8" x14ac:dyDescent="0.2">
      <c r="A57" s="110" t="s">
        <v>257</v>
      </c>
      <c r="B57" s="110" t="s">
        <v>258</v>
      </c>
      <c r="C57" s="110">
        <v>1</v>
      </c>
      <c r="D57" s="110" t="s">
        <v>2</v>
      </c>
      <c r="E57" s="110">
        <v>100</v>
      </c>
      <c r="F57" s="110" t="s">
        <v>147</v>
      </c>
      <c r="G57" s="111">
        <v>3</v>
      </c>
      <c r="H57" s="110">
        <v>10</v>
      </c>
    </row>
    <row r="58" spans="1:8" x14ac:dyDescent="0.2">
      <c r="A58" s="110" t="s">
        <v>259</v>
      </c>
      <c r="B58" s="110" t="s">
        <v>260</v>
      </c>
      <c r="C58" s="110">
        <v>1</v>
      </c>
      <c r="D58" s="110" t="s">
        <v>2</v>
      </c>
      <c r="E58" s="110">
        <v>100</v>
      </c>
      <c r="F58" s="110" t="s">
        <v>147</v>
      </c>
      <c r="G58" s="111">
        <v>3</v>
      </c>
      <c r="H58" s="110">
        <v>10</v>
      </c>
    </row>
    <row r="59" spans="1:8" x14ac:dyDescent="0.2">
      <c r="A59" s="110" t="s">
        <v>261</v>
      </c>
      <c r="B59" s="110" t="s">
        <v>262</v>
      </c>
      <c r="C59" s="110">
        <v>1</v>
      </c>
      <c r="D59" s="110" t="s">
        <v>2</v>
      </c>
      <c r="E59" s="110">
        <v>100</v>
      </c>
      <c r="F59" s="110" t="s">
        <v>147</v>
      </c>
      <c r="G59" s="111">
        <v>3</v>
      </c>
      <c r="H59" s="110">
        <v>10</v>
      </c>
    </row>
    <row r="60" spans="1:8" x14ac:dyDescent="0.2">
      <c r="A60" s="110" t="s">
        <v>263</v>
      </c>
      <c r="B60" s="110" t="s">
        <v>264</v>
      </c>
      <c r="C60" s="110">
        <v>1</v>
      </c>
      <c r="D60" s="110" t="s">
        <v>2</v>
      </c>
      <c r="E60" s="110">
        <v>100</v>
      </c>
      <c r="F60" s="110" t="s">
        <v>147</v>
      </c>
      <c r="G60" s="111">
        <v>3</v>
      </c>
      <c r="H60" s="110">
        <v>10</v>
      </c>
    </row>
    <row r="61" spans="1:8" x14ac:dyDescent="0.2">
      <c r="A61" s="110" t="s">
        <v>265</v>
      </c>
      <c r="B61" s="110" t="s">
        <v>266</v>
      </c>
      <c r="C61" s="110">
        <v>1</v>
      </c>
      <c r="D61" s="110" t="s">
        <v>2</v>
      </c>
      <c r="E61" s="110">
        <v>100</v>
      </c>
      <c r="F61" s="110" t="s">
        <v>147</v>
      </c>
      <c r="G61" s="111">
        <v>3</v>
      </c>
      <c r="H61" s="110">
        <v>10</v>
      </c>
    </row>
    <row r="62" spans="1:8" x14ac:dyDescent="0.2">
      <c r="A62" s="110" t="s">
        <v>267</v>
      </c>
      <c r="B62" s="110" t="s">
        <v>268</v>
      </c>
      <c r="C62" s="110">
        <v>1</v>
      </c>
      <c r="D62" s="110" t="s">
        <v>2</v>
      </c>
      <c r="E62" s="110">
        <v>100</v>
      </c>
      <c r="F62" s="110" t="s">
        <v>147</v>
      </c>
      <c r="G62" s="111">
        <v>3</v>
      </c>
      <c r="H62" s="110">
        <v>10</v>
      </c>
    </row>
    <row r="63" spans="1:8" x14ac:dyDescent="0.2">
      <c r="A63" s="110" t="s">
        <v>269</v>
      </c>
      <c r="B63" s="110" t="s">
        <v>270</v>
      </c>
      <c r="C63" s="110">
        <v>1</v>
      </c>
      <c r="D63" s="110" t="s">
        <v>2</v>
      </c>
      <c r="E63" s="110">
        <v>100</v>
      </c>
      <c r="F63" s="110" t="s">
        <v>147</v>
      </c>
      <c r="G63" s="111">
        <v>3</v>
      </c>
      <c r="H63" s="110">
        <v>10</v>
      </c>
    </row>
    <row r="64" spans="1:8" x14ac:dyDescent="0.2">
      <c r="A64" s="110" t="s">
        <v>271</v>
      </c>
      <c r="B64" s="110" t="s">
        <v>272</v>
      </c>
      <c r="C64" s="110">
        <v>1</v>
      </c>
      <c r="D64" s="110" t="s">
        <v>2</v>
      </c>
      <c r="E64" s="110">
        <v>100</v>
      </c>
      <c r="F64" s="110" t="s">
        <v>147</v>
      </c>
      <c r="G64" s="111">
        <v>3</v>
      </c>
      <c r="H64" s="110">
        <v>10</v>
      </c>
    </row>
    <row r="65" spans="1:8" x14ac:dyDescent="0.2">
      <c r="A65" s="110" t="s">
        <v>273</v>
      </c>
      <c r="B65" s="110" t="s">
        <v>274</v>
      </c>
      <c r="C65" s="110">
        <v>1</v>
      </c>
      <c r="D65" s="110" t="s">
        <v>2</v>
      </c>
      <c r="E65" s="110">
        <v>100</v>
      </c>
      <c r="F65" s="110" t="s">
        <v>147</v>
      </c>
      <c r="G65" s="111">
        <v>3</v>
      </c>
      <c r="H65" s="110">
        <v>10</v>
      </c>
    </row>
    <row r="66" spans="1:8" x14ac:dyDescent="0.2">
      <c r="A66" s="110" t="s">
        <v>275</v>
      </c>
      <c r="B66" s="110" t="s">
        <v>276</v>
      </c>
      <c r="C66" s="110">
        <v>1</v>
      </c>
      <c r="D66" s="110" t="s">
        <v>2</v>
      </c>
      <c r="E66" s="110">
        <v>100</v>
      </c>
      <c r="F66" s="110" t="s">
        <v>147</v>
      </c>
      <c r="G66" s="111">
        <v>3</v>
      </c>
      <c r="H66" s="110">
        <v>10</v>
      </c>
    </row>
    <row r="67" spans="1:8" x14ac:dyDescent="0.2">
      <c r="A67" s="110" t="s">
        <v>277</v>
      </c>
      <c r="B67" s="110" t="s">
        <v>278</v>
      </c>
      <c r="C67" s="110">
        <v>1</v>
      </c>
      <c r="D67" s="110" t="s">
        <v>2</v>
      </c>
      <c r="E67" s="110">
        <v>100</v>
      </c>
      <c r="F67" s="110" t="s">
        <v>147</v>
      </c>
      <c r="G67" s="111">
        <v>3</v>
      </c>
      <c r="H67" s="110">
        <v>10</v>
      </c>
    </row>
    <row r="68" spans="1:8" x14ac:dyDescent="0.2">
      <c r="A68" s="110" t="s">
        <v>279</v>
      </c>
      <c r="B68" s="110" t="s">
        <v>280</v>
      </c>
      <c r="C68" s="110">
        <v>1</v>
      </c>
      <c r="D68" s="110" t="s">
        <v>2</v>
      </c>
      <c r="E68" s="110">
        <v>100</v>
      </c>
      <c r="F68" s="110" t="s">
        <v>147</v>
      </c>
      <c r="G68" s="111">
        <v>3</v>
      </c>
      <c r="H68" s="110">
        <v>10</v>
      </c>
    </row>
    <row r="69" spans="1:8" x14ac:dyDescent="0.2">
      <c r="A69" s="110" t="s">
        <v>281</v>
      </c>
      <c r="B69" s="110" t="s">
        <v>282</v>
      </c>
      <c r="C69" s="110">
        <v>1</v>
      </c>
      <c r="D69" s="110" t="s">
        <v>2</v>
      </c>
      <c r="E69" s="110">
        <v>100</v>
      </c>
      <c r="F69" s="110" t="s">
        <v>147</v>
      </c>
      <c r="G69" s="111">
        <v>3</v>
      </c>
      <c r="H69" s="110">
        <v>10</v>
      </c>
    </row>
    <row r="70" spans="1:8" x14ac:dyDescent="0.2">
      <c r="A70" s="110" t="s">
        <v>283</v>
      </c>
      <c r="B70" s="110" t="s">
        <v>284</v>
      </c>
      <c r="C70" s="110">
        <v>1</v>
      </c>
      <c r="D70" s="110" t="s">
        <v>2</v>
      </c>
      <c r="E70" s="110">
        <v>100</v>
      </c>
      <c r="F70" s="110" t="s">
        <v>147</v>
      </c>
      <c r="G70" s="111">
        <v>3</v>
      </c>
      <c r="H70" s="110">
        <v>10</v>
      </c>
    </row>
    <row r="71" spans="1:8" x14ac:dyDescent="0.2">
      <c r="A71" s="110" t="s">
        <v>285</v>
      </c>
      <c r="B71" s="110" t="s">
        <v>286</v>
      </c>
      <c r="C71" s="110">
        <v>1</v>
      </c>
      <c r="D71" s="110" t="s">
        <v>2</v>
      </c>
      <c r="E71" s="110">
        <v>100</v>
      </c>
      <c r="F71" s="110" t="s">
        <v>147</v>
      </c>
      <c r="G71" s="111">
        <v>3</v>
      </c>
      <c r="H71" s="110">
        <v>10</v>
      </c>
    </row>
    <row r="72" spans="1:8" x14ac:dyDescent="0.2">
      <c r="A72" s="110" t="s">
        <v>287</v>
      </c>
      <c r="B72" s="110" t="s">
        <v>288</v>
      </c>
      <c r="C72" s="110">
        <v>1</v>
      </c>
      <c r="D72" s="110" t="s">
        <v>2</v>
      </c>
      <c r="E72" s="110">
        <v>100</v>
      </c>
      <c r="F72" s="110" t="s">
        <v>147</v>
      </c>
      <c r="G72" s="111">
        <v>3</v>
      </c>
      <c r="H72" s="110">
        <v>10</v>
      </c>
    </row>
    <row r="73" spans="1:8" x14ac:dyDescent="0.2">
      <c r="A73" s="110" t="s">
        <v>289</v>
      </c>
      <c r="B73" s="110" t="s">
        <v>290</v>
      </c>
      <c r="C73" s="110">
        <v>1</v>
      </c>
      <c r="D73" s="110" t="s">
        <v>2</v>
      </c>
      <c r="E73" s="110">
        <v>100</v>
      </c>
      <c r="F73" s="110" t="s">
        <v>147</v>
      </c>
      <c r="G73" s="111">
        <v>3</v>
      </c>
      <c r="H73" s="110">
        <v>10</v>
      </c>
    </row>
    <row r="74" spans="1:8" x14ac:dyDescent="0.2">
      <c r="A74" s="110" t="s">
        <v>291</v>
      </c>
      <c r="B74" s="110" t="s">
        <v>292</v>
      </c>
      <c r="C74" s="110">
        <v>1</v>
      </c>
      <c r="D74" s="110" t="s">
        <v>2</v>
      </c>
      <c r="E74" s="110">
        <v>100</v>
      </c>
      <c r="F74" s="110" t="s">
        <v>147</v>
      </c>
      <c r="G74" s="111">
        <v>3</v>
      </c>
      <c r="H74" s="110">
        <v>10</v>
      </c>
    </row>
    <row r="75" spans="1:8" x14ac:dyDescent="0.2">
      <c r="A75" s="110" t="s">
        <v>293</v>
      </c>
      <c r="B75" s="110" t="s">
        <v>294</v>
      </c>
      <c r="C75" s="110">
        <v>1</v>
      </c>
      <c r="D75" s="110" t="s">
        <v>2</v>
      </c>
      <c r="E75" s="110">
        <v>100</v>
      </c>
      <c r="F75" s="110" t="s">
        <v>147</v>
      </c>
      <c r="G75" s="111">
        <v>3</v>
      </c>
      <c r="H75" s="110">
        <v>10</v>
      </c>
    </row>
    <row r="76" spans="1:8" x14ac:dyDescent="0.2">
      <c r="A76" s="110" t="s">
        <v>295</v>
      </c>
      <c r="B76" s="110" t="s">
        <v>296</v>
      </c>
      <c r="C76" s="110">
        <v>1</v>
      </c>
      <c r="D76" s="110" t="s">
        <v>2</v>
      </c>
      <c r="E76" s="110">
        <v>100</v>
      </c>
      <c r="F76" s="110" t="s">
        <v>147</v>
      </c>
      <c r="G76" s="111">
        <v>3</v>
      </c>
      <c r="H76" s="110">
        <v>10</v>
      </c>
    </row>
    <row r="77" spans="1:8" x14ac:dyDescent="0.2">
      <c r="A77" s="110" t="s">
        <v>297</v>
      </c>
      <c r="B77" s="110" t="s">
        <v>298</v>
      </c>
      <c r="C77" s="110">
        <v>1</v>
      </c>
      <c r="D77" s="110" t="s">
        <v>2</v>
      </c>
      <c r="E77" s="110">
        <v>100</v>
      </c>
      <c r="F77" s="110" t="s">
        <v>147</v>
      </c>
      <c r="G77" s="111">
        <v>3</v>
      </c>
      <c r="H77" s="110">
        <v>10</v>
      </c>
    </row>
    <row r="78" spans="1:8" x14ac:dyDescent="0.2">
      <c r="A78" s="110" t="s">
        <v>299</v>
      </c>
      <c r="B78" s="110" t="s">
        <v>300</v>
      </c>
      <c r="C78" s="110">
        <v>1</v>
      </c>
      <c r="D78" s="110" t="s">
        <v>2</v>
      </c>
      <c r="E78" s="110">
        <v>100</v>
      </c>
      <c r="F78" s="110" t="s">
        <v>147</v>
      </c>
      <c r="G78" s="111">
        <v>3</v>
      </c>
      <c r="H78" s="110">
        <v>10</v>
      </c>
    </row>
    <row r="79" spans="1:8" x14ac:dyDescent="0.2">
      <c r="A79" s="110" t="s">
        <v>301</v>
      </c>
      <c r="B79" s="110" t="s">
        <v>302</v>
      </c>
      <c r="C79" s="110">
        <v>1</v>
      </c>
      <c r="D79" s="110" t="s">
        <v>2</v>
      </c>
      <c r="E79" s="110">
        <v>100</v>
      </c>
      <c r="F79" s="110" t="s">
        <v>147</v>
      </c>
      <c r="G79" s="111">
        <v>3</v>
      </c>
      <c r="H79" s="110">
        <v>10</v>
      </c>
    </row>
    <row r="80" spans="1:8" x14ac:dyDescent="0.2">
      <c r="A80" s="110" t="s">
        <v>303</v>
      </c>
      <c r="B80" s="110" t="s">
        <v>304</v>
      </c>
      <c r="C80" s="110">
        <v>1</v>
      </c>
      <c r="D80" s="110" t="s">
        <v>2</v>
      </c>
      <c r="E80" s="110">
        <v>100</v>
      </c>
      <c r="F80" s="110" t="s">
        <v>147</v>
      </c>
      <c r="G80" s="111">
        <v>3</v>
      </c>
      <c r="H80" s="110">
        <v>10</v>
      </c>
    </row>
    <row r="81" spans="1:8" x14ac:dyDescent="0.2">
      <c r="A81" s="110" t="s">
        <v>305</v>
      </c>
      <c r="B81" s="110" t="s">
        <v>306</v>
      </c>
      <c r="C81" s="110">
        <v>1</v>
      </c>
      <c r="D81" s="110" t="s">
        <v>2</v>
      </c>
      <c r="E81" s="110">
        <v>100</v>
      </c>
      <c r="F81" s="110" t="s">
        <v>147</v>
      </c>
      <c r="G81" s="111">
        <v>3</v>
      </c>
      <c r="H81" s="110">
        <v>10</v>
      </c>
    </row>
    <row r="82" spans="1:8" x14ac:dyDescent="0.2">
      <c r="A82" s="110" t="s">
        <v>307</v>
      </c>
      <c r="B82" s="110" t="s">
        <v>308</v>
      </c>
      <c r="C82" s="110">
        <v>1</v>
      </c>
      <c r="D82" s="110" t="s">
        <v>2</v>
      </c>
      <c r="E82" s="110">
        <v>100</v>
      </c>
      <c r="F82" s="110" t="s">
        <v>147</v>
      </c>
      <c r="G82" s="111">
        <v>3</v>
      </c>
      <c r="H82" s="110">
        <v>10</v>
      </c>
    </row>
    <row r="83" spans="1:8" x14ac:dyDescent="0.2">
      <c r="A83" s="110" t="s">
        <v>309</v>
      </c>
      <c r="B83" s="110" t="s">
        <v>310</v>
      </c>
      <c r="C83" s="110">
        <v>1</v>
      </c>
      <c r="D83" s="110" t="s">
        <v>2</v>
      </c>
      <c r="E83" s="110">
        <v>100</v>
      </c>
      <c r="F83" s="110" t="s">
        <v>147</v>
      </c>
      <c r="G83" s="111">
        <v>3</v>
      </c>
      <c r="H83" s="110">
        <v>10</v>
      </c>
    </row>
    <row r="84" spans="1:8" x14ac:dyDescent="0.2">
      <c r="A84" s="110" t="s">
        <v>311</v>
      </c>
      <c r="B84" s="110" t="s">
        <v>312</v>
      </c>
      <c r="C84" s="110">
        <v>1</v>
      </c>
      <c r="D84" s="110" t="s">
        <v>2</v>
      </c>
      <c r="E84" s="110">
        <v>100</v>
      </c>
      <c r="F84" s="110" t="s">
        <v>147</v>
      </c>
      <c r="G84" s="111">
        <v>3</v>
      </c>
      <c r="H84" s="110">
        <v>10</v>
      </c>
    </row>
    <row r="85" spans="1:8" x14ac:dyDescent="0.2">
      <c r="A85" s="110" t="s">
        <v>313</v>
      </c>
      <c r="B85" s="110" t="s">
        <v>314</v>
      </c>
      <c r="C85" s="110">
        <v>1</v>
      </c>
      <c r="D85" s="110" t="s">
        <v>2</v>
      </c>
      <c r="E85" s="110">
        <v>100</v>
      </c>
      <c r="F85" s="110" t="s">
        <v>147</v>
      </c>
      <c r="G85" s="111">
        <v>3</v>
      </c>
      <c r="H85" s="110">
        <v>10</v>
      </c>
    </row>
    <row r="86" spans="1:8" x14ac:dyDescent="0.2">
      <c r="A86" s="110" t="s">
        <v>315</v>
      </c>
      <c r="B86" s="110" t="s">
        <v>316</v>
      </c>
      <c r="C86" s="110">
        <v>1</v>
      </c>
      <c r="D86" s="110" t="s">
        <v>2</v>
      </c>
      <c r="E86" s="110">
        <v>100</v>
      </c>
      <c r="F86" s="110" t="s">
        <v>147</v>
      </c>
      <c r="G86" s="111">
        <v>3</v>
      </c>
      <c r="H86" s="110">
        <v>10</v>
      </c>
    </row>
    <row r="87" spans="1:8" x14ac:dyDescent="0.2">
      <c r="A87" s="110" t="s">
        <v>317</v>
      </c>
      <c r="B87" s="110" t="s">
        <v>318</v>
      </c>
      <c r="C87" s="110">
        <v>1</v>
      </c>
      <c r="D87" s="110" t="s">
        <v>2</v>
      </c>
      <c r="E87" s="110">
        <v>100</v>
      </c>
      <c r="F87" s="110" t="s">
        <v>147</v>
      </c>
      <c r="G87" s="111">
        <v>3</v>
      </c>
      <c r="H87" s="110">
        <v>10</v>
      </c>
    </row>
    <row r="88" spans="1:8" x14ac:dyDescent="0.2">
      <c r="A88" s="110" t="s">
        <v>319</v>
      </c>
      <c r="B88" s="110" t="s">
        <v>320</v>
      </c>
      <c r="C88" s="110">
        <v>1</v>
      </c>
      <c r="D88" s="110" t="s">
        <v>2</v>
      </c>
      <c r="E88" s="110">
        <v>100</v>
      </c>
      <c r="F88" s="110" t="s">
        <v>147</v>
      </c>
      <c r="G88" s="111">
        <v>3</v>
      </c>
      <c r="H88" s="110">
        <v>10</v>
      </c>
    </row>
    <row r="89" spans="1:8" x14ac:dyDescent="0.2">
      <c r="A89" s="110" t="s">
        <v>321</v>
      </c>
      <c r="B89" s="110" t="s">
        <v>322</v>
      </c>
      <c r="C89" s="110">
        <v>1</v>
      </c>
      <c r="D89" s="110" t="s">
        <v>2</v>
      </c>
      <c r="E89" s="110">
        <v>100</v>
      </c>
      <c r="F89" s="110" t="s">
        <v>147</v>
      </c>
      <c r="G89" s="111">
        <v>3</v>
      </c>
      <c r="H89" s="110">
        <v>10</v>
      </c>
    </row>
    <row r="90" spans="1:8" x14ac:dyDescent="0.2">
      <c r="A90" s="110" t="s">
        <v>323</v>
      </c>
      <c r="B90" s="110" t="s">
        <v>324</v>
      </c>
      <c r="C90" s="110">
        <v>1</v>
      </c>
      <c r="D90" s="110" t="s">
        <v>2</v>
      </c>
      <c r="E90" s="110">
        <v>100</v>
      </c>
      <c r="F90" s="110" t="s">
        <v>147</v>
      </c>
      <c r="G90" s="111">
        <v>3</v>
      </c>
      <c r="H90" s="110">
        <v>10</v>
      </c>
    </row>
    <row r="91" spans="1:8" x14ac:dyDescent="0.2">
      <c r="A91" s="110" t="s">
        <v>325</v>
      </c>
      <c r="B91" s="110" t="s">
        <v>326</v>
      </c>
      <c r="C91" s="110">
        <v>1</v>
      </c>
      <c r="D91" s="110" t="s">
        <v>2</v>
      </c>
      <c r="E91" s="110">
        <v>100</v>
      </c>
      <c r="F91" s="110" t="s">
        <v>147</v>
      </c>
      <c r="G91" s="111">
        <v>3</v>
      </c>
      <c r="H91" s="110">
        <v>10</v>
      </c>
    </row>
    <row r="92" spans="1:8" x14ac:dyDescent="0.2">
      <c r="A92" s="110" t="s">
        <v>327</v>
      </c>
      <c r="B92" s="110" t="s">
        <v>328</v>
      </c>
      <c r="C92" s="110">
        <v>1</v>
      </c>
      <c r="D92" s="110" t="s">
        <v>2</v>
      </c>
      <c r="E92" s="110">
        <v>100</v>
      </c>
      <c r="F92" s="110" t="s">
        <v>147</v>
      </c>
      <c r="G92" s="111">
        <v>3</v>
      </c>
      <c r="H92" s="110">
        <v>10</v>
      </c>
    </row>
    <row r="93" spans="1:8" x14ac:dyDescent="0.2">
      <c r="A93" s="110" t="s">
        <v>329</v>
      </c>
      <c r="B93" s="110" t="s">
        <v>330</v>
      </c>
      <c r="C93" s="110">
        <v>1</v>
      </c>
      <c r="D93" s="110" t="s">
        <v>2</v>
      </c>
      <c r="E93" s="110">
        <v>100</v>
      </c>
      <c r="F93" s="110" t="s">
        <v>147</v>
      </c>
      <c r="G93" s="111">
        <v>3</v>
      </c>
      <c r="H93" s="110">
        <v>10</v>
      </c>
    </row>
    <row r="94" spans="1:8" x14ac:dyDescent="0.2">
      <c r="A94" s="110" t="s">
        <v>331</v>
      </c>
      <c r="B94" s="110" t="s">
        <v>332</v>
      </c>
      <c r="C94" s="110">
        <v>1</v>
      </c>
      <c r="D94" s="110" t="s">
        <v>2</v>
      </c>
      <c r="E94" s="110">
        <v>100</v>
      </c>
      <c r="F94" s="110" t="s">
        <v>147</v>
      </c>
      <c r="G94" s="111">
        <v>3</v>
      </c>
      <c r="H94" s="110">
        <v>10</v>
      </c>
    </row>
    <row r="95" spans="1:8" x14ac:dyDescent="0.2">
      <c r="A95" s="110" t="s">
        <v>333</v>
      </c>
      <c r="B95" s="110" t="s">
        <v>334</v>
      </c>
      <c r="C95" s="110">
        <v>1</v>
      </c>
      <c r="D95" s="110" t="s">
        <v>2</v>
      </c>
      <c r="E95" s="110">
        <v>100</v>
      </c>
      <c r="F95" s="110" t="s">
        <v>147</v>
      </c>
      <c r="G95" s="111">
        <v>3</v>
      </c>
      <c r="H95" s="110">
        <v>10</v>
      </c>
    </row>
    <row r="96" spans="1:8" x14ac:dyDescent="0.2">
      <c r="A96" s="110" t="s">
        <v>335</v>
      </c>
      <c r="B96" s="110" t="s">
        <v>336</v>
      </c>
      <c r="C96" s="110">
        <v>1</v>
      </c>
      <c r="D96" s="110" t="s">
        <v>2</v>
      </c>
      <c r="E96" s="110">
        <v>100</v>
      </c>
      <c r="F96" s="110" t="s">
        <v>147</v>
      </c>
      <c r="G96" s="111">
        <v>3</v>
      </c>
      <c r="H96" s="110">
        <v>10</v>
      </c>
    </row>
    <row r="97" spans="1:8" x14ac:dyDescent="0.2">
      <c r="A97" s="110" t="s">
        <v>337</v>
      </c>
      <c r="B97" s="110" t="s">
        <v>338</v>
      </c>
      <c r="C97" s="110">
        <v>1</v>
      </c>
      <c r="D97" s="110" t="s">
        <v>2</v>
      </c>
      <c r="E97" s="110">
        <v>100</v>
      </c>
      <c r="F97" s="110" t="s">
        <v>147</v>
      </c>
      <c r="G97" s="111">
        <v>3</v>
      </c>
      <c r="H97" s="110">
        <v>10</v>
      </c>
    </row>
    <row r="98" spans="1:8" x14ac:dyDescent="0.2">
      <c r="A98" s="110" t="s">
        <v>339</v>
      </c>
      <c r="B98" s="110" t="s">
        <v>340</v>
      </c>
      <c r="C98" s="110">
        <v>1</v>
      </c>
      <c r="D98" s="110" t="s">
        <v>2</v>
      </c>
      <c r="E98" s="110">
        <v>100</v>
      </c>
      <c r="F98" s="110" t="s">
        <v>147</v>
      </c>
      <c r="G98" s="111">
        <v>3</v>
      </c>
      <c r="H98" s="110">
        <v>10</v>
      </c>
    </row>
    <row r="99" spans="1:8" x14ac:dyDescent="0.2">
      <c r="A99" s="110" t="s">
        <v>341</v>
      </c>
      <c r="B99" s="110" t="s">
        <v>342</v>
      </c>
      <c r="C99" s="110">
        <v>1</v>
      </c>
      <c r="D99" s="110" t="s">
        <v>2</v>
      </c>
      <c r="E99" s="110">
        <v>100</v>
      </c>
      <c r="F99" s="110" t="s">
        <v>147</v>
      </c>
      <c r="G99" s="111">
        <v>3</v>
      </c>
      <c r="H99" s="110">
        <v>10</v>
      </c>
    </row>
    <row r="100" spans="1:8" x14ac:dyDescent="0.2">
      <c r="A100" s="110" t="s">
        <v>343</v>
      </c>
      <c r="B100" s="110" t="s">
        <v>344</v>
      </c>
      <c r="C100" s="110">
        <v>1</v>
      </c>
      <c r="D100" s="110" t="s">
        <v>2</v>
      </c>
      <c r="E100" s="110">
        <v>100</v>
      </c>
      <c r="F100" s="110" t="s">
        <v>147</v>
      </c>
      <c r="G100" s="111">
        <v>3</v>
      </c>
      <c r="H100" s="110">
        <v>10</v>
      </c>
    </row>
    <row r="101" spans="1:8" x14ac:dyDescent="0.2">
      <c r="A101" s="110" t="s">
        <v>345</v>
      </c>
      <c r="B101" s="110" t="s">
        <v>346</v>
      </c>
      <c r="C101" s="110">
        <v>1</v>
      </c>
      <c r="D101" s="110" t="s">
        <v>2</v>
      </c>
      <c r="E101" s="110">
        <v>100</v>
      </c>
      <c r="F101" s="110" t="s">
        <v>147</v>
      </c>
      <c r="G101" s="111">
        <v>3</v>
      </c>
      <c r="H101" s="110">
        <v>10</v>
      </c>
    </row>
    <row r="102" spans="1:8" x14ac:dyDescent="0.2">
      <c r="A102" s="110" t="s">
        <v>347</v>
      </c>
      <c r="B102" s="110" t="s">
        <v>348</v>
      </c>
      <c r="C102" s="110">
        <v>1</v>
      </c>
      <c r="D102" s="110" t="s">
        <v>2</v>
      </c>
      <c r="E102" s="110">
        <v>100</v>
      </c>
      <c r="F102" s="110" t="s">
        <v>147</v>
      </c>
      <c r="G102" s="111">
        <v>3</v>
      </c>
      <c r="H102" s="110">
        <v>10</v>
      </c>
    </row>
    <row r="103" spans="1:8" x14ac:dyDescent="0.2">
      <c r="A103" s="110" t="s">
        <v>349</v>
      </c>
      <c r="B103" s="110" t="s">
        <v>350</v>
      </c>
      <c r="C103" s="110">
        <v>1</v>
      </c>
      <c r="D103" s="110" t="s">
        <v>2</v>
      </c>
      <c r="E103" s="110">
        <v>100</v>
      </c>
      <c r="F103" s="110" t="s">
        <v>147</v>
      </c>
      <c r="G103" s="111">
        <v>3</v>
      </c>
      <c r="H103" s="110">
        <v>10</v>
      </c>
    </row>
    <row r="104" spans="1:8" x14ac:dyDescent="0.2">
      <c r="A104" s="110" t="s">
        <v>351</v>
      </c>
      <c r="B104" s="110" t="s">
        <v>352</v>
      </c>
      <c r="C104" s="110">
        <v>1</v>
      </c>
      <c r="D104" s="110" t="s">
        <v>2</v>
      </c>
      <c r="E104" s="110">
        <v>100</v>
      </c>
      <c r="F104" s="110" t="s">
        <v>147</v>
      </c>
      <c r="G104" s="111">
        <v>3</v>
      </c>
      <c r="H104" s="110">
        <v>10</v>
      </c>
    </row>
    <row r="105" spans="1:8" x14ac:dyDescent="0.2">
      <c r="A105" s="110" t="s">
        <v>353</v>
      </c>
      <c r="B105" s="110" t="s">
        <v>354</v>
      </c>
      <c r="C105" s="110">
        <v>1</v>
      </c>
      <c r="D105" s="110" t="s">
        <v>2</v>
      </c>
      <c r="E105" s="110">
        <v>100</v>
      </c>
      <c r="F105" s="110" t="s">
        <v>147</v>
      </c>
      <c r="G105" s="111">
        <v>3</v>
      </c>
      <c r="H105" s="110">
        <v>10</v>
      </c>
    </row>
    <row r="106" spans="1:8" x14ac:dyDescent="0.2">
      <c r="A106" s="110" t="s">
        <v>355</v>
      </c>
      <c r="B106" s="110" t="s">
        <v>356</v>
      </c>
      <c r="C106" s="110">
        <v>1</v>
      </c>
      <c r="D106" s="110" t="s">
        <v>2</v>
      </c>
      <c r="E106" s="110">
        <v>100</v>
      </c>
      <c r="F106" s="110" t="s">
        <v>147</v>
      </c>
      <c r="G106" s="111">
        <v>3</v>
      </c>
      <c r="H106" s="110">
        <v>10</v>
      </c>
    </row>
    <row r="107" spans="1:8" x14ac:dyDescent="0.2">
      <c r="A107" s="110" t="s">
        <v>357</v>
      </c>
      <c r="B107" s="110" t="s">
        <v>358</v>
      </c>
      <c r="C107" s="110">
        <v>1</v>
      </c>
      <c r="D107" s="110" t="s">
        <v>2</v>
      </c>
      <c r="E107" s="110">
        <v>100</v>
      </c>
      <c r="F107" s="110" t="s">
        <v>147</v>
      </c>
      <c r="G107" s="111">
        <v>3</v>
      </c>
      <c r="H107" s="110">
        <v>10</v>
      </c>
    </row>
    <row r="108" spans="1:8" x14ac:dyDescent="0.2">
      <c r="A108" s="110" t="s">
        <v>359</v>
      </c>
      <c r="B108" s="110" t="s">
        <v>360</v>
      </c>
      <c r="C108" s="110">
        <v>1</v>
      </c>
      <c r="D108" s="110" t="s">
        <v>2</v>
      </c>
      <c r="E108" s="110">
        <v>100</v>
      </c>
      <c r="F108" s="110" t="s">
        <v>147</v>
      </c>
      <c r="G108" s="111">
        <v>3</v>
      </c>
      <c r="H108" s="110">
        <v>10</v>
      </c>
    </row>
    <row r="109" spans="1:8" x14ac:dyDescent="0.2">
      <c r="A109" s="110" t="s">
        <v>361</v>
      </c>
      <c r="B109" s="110" t="s">
        <v>362</v>
      </c>
      <c r="C109" s="110">
        <v>1</v>
      </c>
      <c r="D109" s="110" t="s">
        <v>2</v>
      </c>
      <c r="E109" s="110">
        <v>100</v>
      </c>
      <c r="F109" s="110" t="s">
        <v>147</v>
      </c>
      <c r="G109" s="111">
        <v>3</v>
      </c>
      <c r="H109" s="110">
        <v>10</v>
      </c>
    </row>
    <row r="110" spans="1:8" x14ac:dyDescent="0.2">
      <c r="A110" s="110" t="s">
        <v>363</v>
      </c>
      <c r="B110" s="110" t="s">
        <v>364</v>
      </c>
      <c r="C110" s="110">
        <v>1</v>
      </c>
      <c r="D110" s="110" t="s">
        <v>2</v>
      </c>
      <c r="E110" s="110">
        <v>100</v>
      </c>
      <c r="F110" s="110" t="s">
        <v>147</v>
      </c>
      <c r="G110" s="111">
        <v>3</v>
      </c>
      <c r="H110" s="110">
        <v>10</v>
      </c>
    </row>
    <row r="111" spans="1:8" x14ac:dyDescent="0.2">
      <c r="A111" s="110" t="s">
        <v>365</v>
      </c>
      <c r="B111" s="110" t="s">
        <v>366</v>
      </c>
      <c r="C111" s="110">
        <v>1</v>
      </c>
      <c r="D111" s="110" t="s">
        <v>2</v>
      </c>
      <c r="E111" s="110">
        <v>100</v>
      </c>
      <c r="F111" s="110" t="s">
        <v>147</v>
      </c>
      <c r="G111" s="111">
        <v>3</v>
      </c>
      <c r="H111" s="110">
        <v>10</v>
      </c>
    </row>
    <row r="112" spans="1:8" x14ac:dyDescent="0.2">
      <c r="A112" s="110" t="s">
        <v>367</v>
      </c>
      <c r="B112" s="110" t="s">
        <v>368</v>
      </c>
      <c r="C112" s="110">
        <v>1</v>
      </c>
      <c r="D112" s="110" t="s">
        <v>2</v>
      </c>
      <c r="E112" s="110">
        <v>100</v>
      </c>
      <c r="F112" s="110" t="s">
        <v>147</v>
      </c>
      <c r="G112" s="111">
        <v>3</v>
      </c>
      <c r="H112" s="110">
        <v>10</v>
      </c>
    </row>
    <row r="113" spans="1:8" x14ac:dyDescent="0.2">
      <c r="A113" s="110" t="s">
        <v>369</v>
      </c>
      <c r="B113" s="110" t="s">
        <v>370</v>
      </c>
      <c r="C113" s="110">
        <v>1</v>
      </c>
      <c r="D113" s="110" t="s">
        <v>2</v>
      </c>
      <c r="E113" s="110">
        <v>100</v>
      </c>
      <c r="F113" s="110" t="s">
        <v>147</v>
      </c>
      <c r="G113" s="111">
        <v>3</v>
      </c>
      <c r="H113" s="110">
        <v>10</v>
      </c>
    </row>
    <row r="114" spans="1:8" x14ac:dyDescent="0.2">
      <c r="A114" s="110" t="s">
        <v>371</v>
      </c>
      <c r="B114" s="110" t="s">
        <v>372</v>
      </c>
      <c r="C114" s="110">
        <v>1</v>
      </c>
      <c r="D114" s="110" t="s">
        <v>2</v>
      </c>
      <c r="E114" s="110">
        <v>100</v>
      </c>
      <c r="F114" s="110" t="s">
        <v>147</v>
      </c>
      <c r="G114" s="111">
        <v>3</v>
      </c>
      <c r="H114" s="110">
        <v>10</v>
      </c>
    </row>
    <row r="115" spans="1:8" x14ac:dyDescent="0.2">
      <c r="A115" s="110" t="s">
        <v>373</v>
      </c>
      <c r="B115" s="110" t="s">
        <v>374</v>
      </c>
      <c r="C115" s="110">
        <v>1</v>
      </c>
      <c r="D115" s="110" t="s">
        <v>2</v>
      </c>
      <c r="E115" s="110">
        <v>100</v>
      </c>
      <c r="F115" s="110" t="s">
        <v>147</v>
      </c>
      <c r="G115" s="111">
        <v>3</v>
      </c>
      <c r="H115" s="110">
        <v>10</v>
      </c>
    </row>
    <row r="116" spans="1:8" x14ac:dyDescent="0.2">
      <c r="A116" s="110" t="s">
        <v>375</v>
      </c>
      <c r="B116" s="110" t="s">
        <v>376</v>
      </c>
      <c r="C116" s="110">
        <v>1</v>
      </c>
      <c r="D116" s="110" t="s">
        <v>2</v>
      </c>
      <c r="E116" s="110">
        <v>100</v>
      </c>
      <c r="F116" s="110" t="s">
        <v>147</v>
      </c>
      <c r="G116" s="111">
        <v>3</v>
      </c>
      <c r="H116" s="110">
        <v>10</v>
      </c>
    </row>
    <row r="117" spans="1:8" x14ac:dyDescent="0.2">
      <c r="A117" s="110" t="s">
        <v>377</v>
      </c>
      <c r="B117" s="110" t="s">
        <v>378</v>
      </c>
      <c r="C117" s="110">
        <v>1</v>
      </c>
      <c r="D117" s="110" t="s">
        <v>2</v>
      </c>
      <c r="E117" s="110">
        <v>100</v>
      </c>
      <c r="F117" s="110" t="s">
        <v>147</v>
      </c>
      <c r="G117" s="111">
        <v>3</v>
      </c>
      <c r="H117" s="110">
        <v>10</v>
      </c>
    </row>
    <row r="118" spans="1:8" x14ac:dyDescent="0.2">
      <c r="A118" s="110" t="s">
        <v>379</v>
      </c>
      <c r="B118" s="110" t="s">
        <v>380</v>
      </c>
      <c r="C118" s="110">
        <v>1</v>
      </c>
      <c r="D118" s="110" t="s">
        <v>2</v>
      </c>
      <c r="E118" s="110">
        <v>100</v>
      </c>
      <c r="F118" s="110" t="s">
        <v>147</v>
      </c>
      <c r="G118" s="111">
        <v>3</v>
      </c>
      <c r="H118" s="110">
        <v>10</v>
      </c>
    </row>
    <row r="119" spans="1:8" x14ac:dyDescent="0.2">
      <c r="A119" s="110" t="s">
        <v>381</v>
      </c>
      <c r="B119" s="110" t="s">
        <v>382</v>
      </c>
      <c r="C119" s="110">
        <v>1</v>
      </c>
      <c r="D119" s="110" t="s">
        <v>2</v>
      </c>
      <c r="E119" s="110">
        <v>100</v>
      </c>
      <c r="F119" s="110" t="s">
        <v>147</v>
      </c>
      <c r="G119" s="111">
        <v>3</v>
      </c>
      <c r="H119" s="110">
        <v>10</v>
      </c>
    </row>
    <row r="120" spans="1:8" x14ac:dyDescent="0.2">
      <c r="A120" s="110" t="s">
        <v>383</v>
      </c>
      <c r="B120" s="110" t="s">
        <v>384</v>
      </c>
      <c r="C120" s="110">
        <v>1</v>
      </c>
      <c r="D120" s="110" t="s">
        <v>2</v>
      </c>
      <c r="E120" s="110">
        <v>100</v>
      </c>
      <c r="F120" s="110" t="s">
        <v>147</v>
      </c>
      <c r="G120" s="111">
        <v>3</v>
      </c>
      <c r="H120" s="110">
        <v>10</v>
      </c>
    </row>
    <row r="121" spans="1:8" x14ac:dyDescent="0.2">
      <c r="A121" s="110" t="s">
        <v>385</v>
      </c>
      <c r="B121" s="110" t="s">
        <v>386</v>
      </c>
      <c r="C121" s="110">
        <v>1</v>
      </c>
      <c r="D121" s="110" t="s">
        <v>2</v>
      </c>
      <c r="E121" s="110">
        <v>100</v>
      </c>
      <c r="F121" s="110" t="s">
        <v>147</v>
      </c>
      <c r="G121" s="111">
        <v>3</v>
      </c>
      <c r="H121" s="110">
        <v>10</v>
      </c>
    </row>
    <row r="122" spans="1:8" x14ac:dyDescent="0.2">
      <c r="A122" s="110" t="s">
        <v>387</v>
      </c>
      <c r="B122" s="110" t="s">
        <v>388</v>
      </c>
      <c r="C122" s="110">
        <v>1</v>
      </c>
      <c r="D122" s="110" t="s">
        <v>2</v>
      </c>
      <c r="E122" s="110">
        <v>100</v>
      </c>
      <c r="F122" s="110" t="s">
        <v>147</v>
      </c>
      <c r="G122" s="111">
        <v>3</v>
      </c>
      <c r="H122" s="110">
        <v>10</v>
      </c>
    </row>
    <row r="123" spans="1:8" x14ac:dyDescent="0.2">
      <c r="A123" s="110" t="s">
        <v>389</v>
      </c>
      <c r="B123" s="110" t="s">
        <v>390</v>
      </c>
      <c r="C123" s="110">
        <v>1</v>
      </c>
      <c r="D123" s="110" t="s">
        <v>2</v>
      </c>
      <c r="E123" s="110">
        <v>100</v>
      </c>
      <c r="F123" s="110" t="s">
        <v>147</v>
      </c>
      <c r="G123" s="111">
        <v>3</v>
      </c>
      <c r="H123" s="110">
        <v>10</v>
      </c>
    </row>
    <row r="124" spans="1:8" x14ac:dyDescent="0.2">
      <c r="A124" s="110" t="s">
        <v>391</v>
      </c>
      <c r="B124" s="110" t="s">
        <v>392</v>
      </c>
      <c r="C124" s="110">
        <v>1</v>
      </c>
      <c r="D124" s="110" t="s">
        <v>2</v>
      </c>
      <c r="E124" s="110">
        <v>100</v>
      </c>
      <c r="F124" s="110" t="s">
        <v>147</v>
      </c>
      <c r="G124" s="111">
        <v>3</v>
      </c>
      <c r="H124" s="110">
        <v>10</v>
      </c>
    </row>
    <row r="125" spans="1:8" x14ac:dyDescent="0.2">
      <c r="A125" s="110" t="s">
        <v>393</v>
      </c>
      <c r="B125" s="110" t="s">
        <v>394</v>
      </c>
      <c r="C125" s="110">
        <v>1</v>
      </c>
      <c r="D125" s="110" t="s">
        <v>2</v>
      </c>
      <c r="E125" s="110">
        <v>100</v>
      </c>
      <c r="F125" s="110" t="s">
        <v>147</v>
      </c>
      <c r="G125" s="111">
        <v>3</v>
      </c>
      <c r="H125" s="110">
        <v>10</v>
      </c>
    </row>
    <row r="126" spans="1:8" x14ac:dyDescent="0.2">
      <c r="A126" s="110" t="s">
        <v>395</v>
      </c>
      <c r="B126" s="110" t="s">
        <v>396</v>
      </c>
      <c r="C126" s="110">
        <v>1</v>
      </c>
      <c r="D126" s="110" t="s">
        <v>2</v>
      </c>
      <c r="E126" s="110">
        <v>100</v>
      </c>
      <c r="F126" s="110" t="s">
        <v>147</v>
      </c>
      <c r="G126" s="111">
        <v>3</v>
      </c>
      <c r="H126" s="110">
        <v>10</v>
      </c>
    </row>
    <row r="127" spans="1:8" x14ac:dyDescent="0.2">
      <c r="A127" s="110" t="s">
        <v>397</v>
      </c>
      <c r="B127" s="110" t="s">
        <v>398</v>
      </c>
      <c r="C127" s="110">
        <v>1</v>
      </c>
      <c r="D127" s="110" t="s">
        <v>2</v>
      </c>
      <c r="E127" s="110">
        <v>100</v>
      </c>
      <c r="F127" s="110" t="s">
        <v>147</v>
      </c>
      <c r="G127" s="111">
        <v>3</v>
      </c>
      <c r="H127" s="110">
        <v>10</v>
      </c>
    </row>
    <row r="128" spans="1:8" x14ac:dyDescent="0.2">
      <c r="A128" s="110" t="s">
        <v>399</v>
      </c>
      <c r="B128" s="110" t="s">
        <v>400</v>
      </c>
      <c r="C128" s="110">
        <v>1</v>
      </c>
      <c r="D128" s="110" t="s">
        <v>2</v>
      </c>
      <c r="E128" s="110">
        <v>100</v>
      </c>
      <c r="F128" s="110" t="s">
        <v>147</v>
      </c>
      <c r="G128" s="111">
        <v>3</v>
      </c>
      <c r="H128" s="110">
        <v>10</v>
      </c>
    </row>
    <row r="129" spans="1:8" x14ac:dyDescent="0.2">
      <c r="A129" s="110" t="s">
        <v>401</v>
      </c>
      <c r="B129" s="110" t="s">
        <v>402</v>
      </c>
      <c r="C129" s="110">
        <v>1</v>
      </c>
      <c r="D129" s="110" t="s">
        <v>2</v>
      </c>
      <c r="E129" s="110">
        <v>100</v>
      </c>
      <c r="F129" s="110" t="s">
        <v>147</v>
      </c>
      <c r="G129" s="111">
        <v>3</v>
      </c>
      <c r="H129" s="110">
        <v>10</v>
      </c>
    </row>
    <row r="130" spans="1:8" x14ac:dyDescent="0.2">
      <c r="A130" s="110" t="s">
        <v>403</v>
      </c>
      <c r="B130" s="110" t="s">
        <v>404</v>
      </c>
      <c r="C130" s="110">
        <v>1</v>
      </c>
      <c r="D130" s="110" t="s">
        <v>2</v>
      </c>
      <c r="E130" s="110">
        <v>100</v>
      </c>
      <c r="F130" s="110" t="s">
        <v>147</v>
      </c>
      <c r="G130" s="111">
        <v>3</v>
      </c>
      <c r="H130" s="110">
        <v>10</v>
      </c>
    </row>
    <row r="131" spans="1:8" x14ac:dyDescent="0.2">
      <c r="A131" s="110" t="s">
        <v>405</v>
      </c>
      <c r="B131" s="110" t="s">
        <v>406</v>
      </c>
      <c r="C131" s="110">
        <v>1</v>
      </c>
      <c r="D131" s="110" t="s">
        <v>2</v>
      </c>
      <c r="E131" s="110">
        <v>100</v>
      </c>
      <c r="F131" s="110" t="s">
        <v>147</v>
      </c>
      <c r="G131" s="111">
        <v>3</v>
      </c>
      <c r="H131" s="110">
        <v>10</v>
      </c>
    </row>
    <row r="132" spans="1:8" x14ac:dyDescent="0.2">
      <c r="A132" s="110" t="s">
        <v>407</v>
      </c>
      <c r="B132" s="110" t="s">
        <v>408</v>
      </c>
      <c r="C132" s="110">
        <v>1</v>
      </c>
      <c r="D132" s="110" t="s">
        <v>2</v>
      </c>
      <c r="E132" s="110">
        <v>100</v>
      </c>
      <c r="F132" s="110" t="s">
        <v>147</v>
      </c>
      <c r="G132" s="111">
        <v>3</v>
      </c>
      <c r="H132" s="110">
        <v>10</v>
      </c>
    </row>
    <row r="133" spans="1:8" x14ac:dyDescent="0.2">
      <c r="A133" s="110" t="s">
        <v>409</v>
      </c>
      <c r="B133" s="110" t="s">
        <v>410</v>
      </c>
      <c r="C133" s="110">
        <v>1</v>
      </c>
      <c r="D133" s="110" t="s">
        <v>2</v>
      </c>
      <c r="E133" s="110">
        <v>100</v>
      </c>
      <c r="F133" s="110" t="s">
        <v>147</v>
      </c>
      <c r="G133" s="111">
        <v>3</v>
      </c>
      <c r="H133" s="110">
        <v>10</v>
      </c>
    </row>
    <row r="134" spans="1:8" x14ac:dyDescent="0.2">
      <c r="A134" s="110" t="s">
        <v>411</v>
      </c>
      <c r="B134" s="110" t="s">
        <v>412</v>
      </c>
      <c r="C134" s="110">
        <v>1</v>
      </c>
      <c r="D134" s="110" t="s">
        <v>2</v>
      </c>
      <c r="E134" s="110">
        <v>100</v>
      </c>
      <c r="F134" s="110" t="s">
        <v>147</v>
      </c>
      <c r="G134" s="111">
        <v>3</v>
      </c>
      <c r="H134" s="110">
        <v>10</v>
      </c>
    </row>
    <row r="135" spans="1:8" x14ac:dyDescent="0.2">
      <c r="A135" s="110" t="s">
        <v>413</v>
      </c>
      <c r="B135" s="110" t="s">
        <v>414</v>
      </c>
      <c r="C135" s="110">
        <v>1</v>
      </c>
      <c r="D135" s="110" t="s">
        <v>2</v>
      </c>
      <c r="E135" s="110">
        <v>100</v>
      </c>
      <c r="F135" s="110" t="s">
        <v>147</v>
      </c>
      <c r="G135" s="111">
        <v>3</v>
      </c>
      <c r="H135" s="110">
        <v>10</v>
      </c>
    </row>
    <row r="136" spans="1:8" x14ac:dyDescent="0.2">
      <c r="A136" s="110" t="s">
        <v>415</v>
      </c>
      <c r="B136" s="110" t="s">
        <v>416</v>
      </c>
      <c r="C136" s="110">
        <v>1</v>
      </c>
      <c r="D136" s="110" t="s">
        <v>2</v>
      </c>
      <c r="E136" s="110">
        <v>100</v>
      </c>
      <c r="F136" s="110" t="s">
        <v>147</v>
      </c>
      <c r="G136" s="111">
        <v>3</v>
      </c>
      <c r="H136" s="110">
        <v>10</v>
      </c>
    </row>
    <row r="137" spans="1:8" x14ac:dyDescent="0.2">
      <c r="A137" s="110" t="s">
        <v>417</v>
      </c>
      <c r="B137" s="110" t="s">
        <v>418</v>
      </c>
      <c r="C137" s="110">
        <v>1</v>
      </c>
      <c r="D137" s="110" t="s">
        <v>2</v>
      </c>
      <c r="E137" s="110">
        <v>100</v>
      </c>
      <c r="F137" s="110" t="s">
        <v>147</v>
      </c>
      <c r="G137" s="111">
        <v>3</v>
      </c>
      <c r="H137" s="110">
        <v>10</v>
      </c>
    </row>
    <row r="138" spans="1:8" x14ac:dyDescent="0.2">
      <c r="A138" s="110" t="s">
        <v>419</v>
      </c>
      <c r="B138" s="110" t="s">
        <v>420</v>
      </c>
      <c r="C138" s="110">
        <v>1</v>
      </c>
      <c r="D138" s="110" t="s">
        <v>2</v>
      </c>
      <c r="E138" s="110">
        <v>100</v>
      </c>
      <c r="F138" s="110" t="s">
        <v>147</v>
      </c>
      <c r="G138" s="111">
        <v>3</v>
      </c>
      <c r="H138" s="110">
        <v>10</v>
      </c>
    </row>
    <row r="139" spans="1:8" x14ac:dyDescent="0.2">
      <c r="A139" s="110" t="s">
        <v>421</v>
      </c>
      <c r="B139" s="110" t="s">
        <v>422</v>
      </c>
      <c r="C139" s="110">
        <v>1</v>
      </c>
      <c r="D139" s="110" t="s">
        <v>2</v>
      </c>
      <c r="E139" s="110">
        <v>100</v>
      </c>
      <c r="F139" s="110" t="s">
        <v>147</v>
      </c>
      <c r="G139" s="111">
        <v>3</v>
      </c>
      <c r="H139" s="110">
        <v>10</v>
      </c>
    </row>
    <row r="140" spans="1:8" x14ac:dyDescent="0.2">
      <c r="A140" s="110" t="s">
        <v>423</v>
      </c>
      <c r="B140" s="110" t="s">
        <v>424</v>
      </c>
      <c r="C140" s="110">
        <v>1</v>
      </c>
      <c r="D140" s="110" t="s">
        <v>2</v>
      </c>
      <c r="E140" s="110">
        <v>100</v>
      </c>
      <c r="F140" s="110" t="s">
        <v>147</v>
      </c>
      <c r="G140" s="111">
        <v>3</v>
      </c>
      <c r="H140" s="110">
        <v>10</v>
      </c>
    </row>
    <row r="141" spans="1:8" x14ac:dyDescent="0.2">
      <c r="A141" s="110" t="s">
        <v>425</v>
      </c>
      <c r="B141" s="110" t="s">
        <v>426</v>
      </c>
      <c r="C141" s="110">
        <v>1</v>
      </c>
      <c r="D141" s="110" t="s">
        <v>2</v>
      </c>
      <c r="E141" s="110">
        <v>100</v>
      </c>
      <c r="F141" s="110" t="s">
        <v>147</v>
      </c>
      <c r="G141" s="111">
        <v>3</v>
      </c>
      <c r="H141" s="110">
        <v>10</v>
      </c>
    </row>
    <row r="142" spans="1:8" x14ac:dyDescent="0.2">
      <c r="A142" s="110" t="s">
        <v>427</v>
      </c>
      <c r="B142" s="110" t="s">
        <v>428</v>
      </c>
      <c r="C142" s="110">
        <v>1</v>
      </c>
      <c r="D142" s="110" t="s">
        <v>2</v>
      </c>
      <c r="E142" s="110">
        <v>100</v>
      </c>
      <c r="F142" s="110" t="s">
        <v>147</v>
      </c>
      <c r="G142" s="111">
        <v>3</v>
      </c>
      <c r="H142" s="110">
        <v>10</v>
      </c>
    </row>
    <row r="143" spans="1:8" x14ac:dyDescent="0.2">
      <c r="A143" s="110" t="s">
        <v>429</v>
      </c>
      <c r="B143" s="110" t="s">
        <v>430</v>
      </c>
      <c r="C143" s="110">
        <v>1</v>
      </c>
      <c r="D143" s="110" t="s">
        <v>2</v>
      </c>
      <c r="E143" s="110">
        <v>100</v>
      </c>
      <c r="F143" s="110" t="s">
        <v>147</v>
      </c>
      <c r="G143" s="111">
        <v>3</v>
      </c>
      <c r="H143" s="110">
        <v>10</v>
      </c>
    </row>
    <row r="144" spans="1:8" x14ac:dyDescent="0.2">
      <c r="A144" s="110" t="s">
        <v>431</v>
      </c>
      <c r="B144" s="110" t="s">
        <v>432</v>
      </c>
      <c r="C144" s="110">
        <v>1</v>
      </c>
      <c r="D144" s="110" t="s">
        <v>2</v>
      </c>
      <c r="E144" s="110">
        <v>100</v>
      </c>
      <c r="F144" s="110" t="s">
        <v>147</v>
      </c>
      <c r="G144" s="111">
        <v>3</v>
      </c>
      <c r="H144" s="110">
        <v>10</v>
      </c>
    </row>
    <row r="145" spans="1:8" x14ac:dyDescent="0.2">
      <c r="A145" s="110" t="s">
        <v>433</v>
      </c>
      <c r="B145" s="110" t="s">
        <v>434</v>
      </c>
      <c r="C145" s="110">
        <v>1</v>
      </c>
      <c r="D145" s="110" t="s">
        <v>2</v>
      </c>
      <c r="E145" s="110">
        <v>100</v>
      </c>
      <c r="F145" s="110" t="s">
        <v>147</v>
      </c>
      <c r="G145" s="111">
        <v>3</v>
      </c>
      <c r="H145" s="110">
        <v>10</v>
      </c>
    </row>
    <row r="146" spans="1:8" x14ac:dyDescent="0.2">
      <c r="A146" s="110" t="s">
        <v>435</v>
      </c>
      <c r="B146" s="110" t="s">
        <v>436</v>
      </c>
      <c r="C146" s="110">
        <v>1</v>
      </c>
      <c r="D146" s="110" t="s">
        <v>2</v>
      </c>
      <c r="E146" s="110">
        <v>100</v>
      </c>
      <c r="F146" s="110" t="s">
        <v>147</v>
      </c>
      <c r="G146" s="111">
        <v>3</v>
      </c>
      <c r="H146" s="110">
        <v>10</v>
      </c>
    </row>
    <row r="147" spans="1:8" x14ac:dyDescent="0.2">
      <c r="A147" s="110" t="s">
        <v>437</v>
      </c>
      <c r="B147" s="110" t="s">
        <v>438</v>
      </c>
      <c r="C147" s="110">
        <v>1</v>
      </c>
      <c r="D147" s="110" t="s">
        <v>2</v>
      </c>
      <c r="E147" s="110">
        <v>100</v>
      </c>
      <c r="F147" s="110" t="s">
        <v>147</v>
      </c>
      <c r="G147" s="111">
        <v>3</v>
      </c>
      <c r="H147" s="110">
        <v>10</v>
      </c>
    </row>
    <row r="148" spans="1:8" x14ac:dyDescent="0.2">
      <c r="A148" s="110" t="s">
        <v>439</v>
      </c>
      <c r="B148" s="110" t="s">
        <v>440</v>
      </c>
      <c r="C148" s="110">
        <v>1</v>
      </c>
      <c r="D148" s="110" t="s">
        <v>2</v>
      </c>
      <c r="E148" s="110">
        <v>100</v>
      </c>
      <c r="F148" s="110" t="s">
        <v>147</v>
      </c>
      <c r="G148" s="111">
        <v>3</v>
      </c>
      <c r="H148" s="110">
        <v>10</v>
      </c>
    </row>
    <row r="149" spans="1:8" x14ac:dyDescent="0.2">
      <c r="A149" s="110" t="s">
        <v>441</v>
      </c>
      <c r="B149" s="110" t="s">
        <v>442</v>
      </c>
      <c r="C149" s="110">
        <v>1</v>
      </c>
      <c r="D149" s="110" t="s">
        <v>2</v>
      </c>
      <c r="E149" s="110">
        <v>100</v>
      </c>
      <c r="F149" s="110" t="s">
        <v>147</v>
      </c>
      <c r="G149" s="111">
        <v>3</v>
      </c>
      <c r="H149" s="110">
        <v>10</v>
      </c>
    </row>
    <row r="150" spans="1:8" x14ac:dyDescent="0.2">
      <c r="A150" s="110" t="s">
        <v>443</v>
      </c>
      <c r="B150" s="110" t="s">
        <v>444</v>
      </c>
      <c r="C150" s="110">
        <v>1</v>
      </c>
      <c r="D150" s="110" t="s">
        <v>2</v>
      </c>
      <c r="E150" s="110">
        <v>100</v>
      </c>
      <c r="F150" s="110" t="s">
        <v>147</v>
      </c>
      <c r="G150" s="111">
        <v>3</v>
      </c>
      <c r="H150" s="110">
        <v>10</v>
      </c>
    </row>
    <row r="151" spans="1:8" x14ac:dyDescent="0.2">
      <c r="A151" s="110" t="s">
        <v>445</v>
      </c>
      <c r="B151" s="110" t="s">
        <v>446</v>
      </c>
      <c r="C151" s="110">
        <v>1</v>
      </c>
      <c r="D151" s="110" t="s">
        <v>2</v>
      </c>
      <c r="E151" s="110">
        <v>100</v>
      </c>
      <c r="F151" s="110" t="s">
        <v>147</v>
      </c>
      <c r="G151" s="111">
        <v>3</v>
      </c>
      <c r="H151" s="110">
        <v>10</v>
      </c>
    </row>
    <row r="152" spans="1:8" x14ac:dyDescent="0.2">
      <c r="A152" s="110" t="s">
        <v>447</v>
      </c>
      <c r="B152" s="110" t="s">
        <v>448</v>
      </c>
      <c r="C152" s="110">
        <v>1</v>
      </c>
      <c r="D152" s="110" t="s">
        <v>2</v>
      </c>
      <c r="E152" s="110">
        <v>100</v>
      </c>
      <c r="F152" s="110" t="s">
        <v>147</v>
      </c>
      <c r="G152" s="111">
        <v>3</v>
      </c>
      <c r="H152" s="110">
        <v>10</v>
      </c>
    </row>
    <row r="153" spans="1:8" x14ac:dyDescent="0.2">
      <c r="A153" s="110" t="s">
        <v>449</v>
      </c>
      <c r="B153" s="110" t="s">
        <v>450</v>
      </c>
      <c r="C153" s="110">
        <v>1</v>
      </c>
      <c r="D153" s="110" t="s">
        <v>2</v>
      </c>
      <c r="E153" s="110">
        <v>100</v>
      </c>
      <c r="F153" s="110" t="s">
        <v>147</v>
      </c>
      <c r="G153" s="111">
        <v>3</v>
      </c>
      <c r="H153" s="110">
        <v>10</v>
      </c>
    </row>
    <row r="154" spans="1:8" x14ac:dyDescent="0.2">
      <c r="A154" s="110" t="s">
        <v>451</v>
      </c>
      <c r="B154" s="110" t="s">
        <v>452</v>
      </c>
      <c r="C154" s="110">
        <v>1</v>
      </c>
      <c r="D154" s="110" t="s">
        <v>2</v>
      </c>
      <c r="E154" s="110">
        <v>100</v>
      </c>
      <c r="F154" s="110" t="s">
        <v>147</v>
      </c>
      <c r="G154" s="111">
        <v>3</v>
      </c>
      <c r="H154" s="110">
        <v>10</v>
      </c>
    </row>
    <row r="155" spans="1:8" x14ac:dyDescent="0.2">
      <c r="A155" s="110" t="s">
        <v>453</v>
      </c>
      <c r="B155" s="110" t="s">
        <v>454</v>
      </c>
      <c r="C155" s="110">
        <v>1</v>
      </c>
      <c r="D155" s="110" t="s">
        <v>2</v>
      </c>
      <c r="E155" s="110">
        <v>100</v>
      </c>
      <c r="F155" s="110" t="s">
        <v>147</v>
      </c>
      <c r="G155" s="111">
        <v>3</v>
      </c>
      <c r="H155" s="110">
        <v>10</v>
      </c>
    </row>
    <row r="156" spans="1:8" x14ac:dyDescent="0.2">
      <c r="A156" s="110" t="s">
        <v>455</v>
      </c>
      <c r="B156" s="110" t="s">
        <v>456</v>
      </c>
      <c r="C156" s="110">
        <v>1</v>
      </c>
      <c r="D156" s="110" t="s">
        <v>2</v>
      </c>
      <c r="E156" s="110">
        <v>100</v>
      </c>
      <c r="F156" s="110" t="s">
        <v>147</v>
      </c>
      <c r="G156" s="111">
        <v>3</v>
      </c>
      <c r="H156" s="110">
        <v>10</v>
      </c>
    </row>
    <row r="157" spans="1:8" x14ac:dyDescent="0.2">
      <c r="A157" s="110" t="s">
        <v>457</v>
      </c>
      <c r="B157" s="110" t="s">
        <v>458</v>
      </c>
      <c r="C157" s="110">
        <v>1</v>
      </c>
      <c r="D157" s="110" t="s">
        <v>2</v>
      </c>
      <c r="E157" s="110">
        <v>100</v>
      </c>
      <c r="F157" s="110" t="s">
        <v>147</v>
      </c>
      <c r="G157" s="111">
        <v>3</v>
      </c>
      <c r="H157" s="110">
        <v>10</v>
      </c>
    </row>
    <row r="158" spans="1:8" x14ac:dyDescent="0.2">
      <c r="A158" s="110" t="s">
        <v>459</v>
      </c>
      <c r="B158" s="110" t="s">
        <v>460</v>
      </c>
      <c r="C158" s="110">
        <v>1</v>
      </c>
      <c r="D158" s="110" t="s">
        <v>2</v>
      </c>
      <c r="E158" s="110">
        <v>100</v>
      </c>
      <c r="F158" s="110" t="s">
        <v>147</v>
      </c>
      <c r="G158" s="111">
        <v>3</v>
      </c>
      <c r="H158" s="110">
        <v>10</v>
      </c>
    </row>
    <row r="159" spans="1:8" x14ac:dyDescent="0.2">
      <c r="A159" s="110" t="s">
        <v>461</v>
      </c>
      <c r="B159" s="110" t="s">
        <v>462</v>
      </c>
      <c r="C159" s="110">
        <v>1</v>
      </c>
      <c r="D159" s="110" t="s">
        <v>2</v>
      </c>
      <c r="E159" s="110">
        <v>100</v>
      </c>
      <c r="F159" s="110" t="s">
        <v>147</v>
      </c>
      <c r="G159" s="111">
        <v>3</v>
      </c>
      <c r="H159" s="110">
        <v>10</v>
      </c>
    </row>
    <row r="160" spans="1:8" x14ac:dyDescent="0.2">
      <c r="A160" s="110" t="s">
        <v>463</v>
      </c>
      <c r="B160" s="110" t="s">
        <v>464</v>
      </c>
      <c r="C160" s="110">
        <v>1</v>
      </c>
      <c r="D160" s="110" t="s">
        <v>2</v>
      </c>
      <c r="E160" s="110">
        <v>100</v>
      </c>
      <c r="F160" s="110" t="s">
        <v>147</v>
      </c>
      <c r="G160" s="111">
        <v>3</v>
      </c>
      <c r="H160" s="110">
        <v>10</v>
      </c>
    </row>
    <row r="161" spans="1:8" x14ac:dyDescent="0.2">
      <c r="A161" s="110" t="s">
        <v>465</v>
      </c>
      <c r="B161" s="110" t="s">
        <v>466</v>
      </c>
      <c r="C161" s="110">
        <v>1</v>
      </c>
      <c r="D161" s="110" t="s">
        <v>2</v>
      </c>
      <c r="E161" s="110">
        <v>100</v>
      </c>
      <c r="F161" s="110" t="s">
        <v>147</v>
      </c>
      <c r="G161" s="111">
        <v>3</v>
      </c>
      <c r="H161" s="110">
        <v>10</v>
      </c>
    </row>
    <row r="162" spans="1:8" x14ac:dyDescent="0.2">
      <c r="A162" s="110" t="s">
        <v>467</v>
      </c>
      <c r="B162" s="110" t="s">
        <v>468</v>
      </c>
      <c r="C162" s="110">
        <v>1</v>
      </c>
      <c r="D162" s="110" t="s">
        <v>2</v>
      </c>
      <c r="E162" s="110">
        <v>100</v>
      </c>
      <c r="F162" s="110" t="s">
        <v>147</v>
      </c>
      <c r="G162" s="111">
        <v>3</v>
      </c>
      <c r="H162" s="110">
        <v>10</v>
      </c>
    </row>
    <row r="163" spans="1:8" x14ac:dyDescent="0.2">
      <c r="A163" s="110" t="s">
        <v>469</v>
      </c>
      <c r="B163" s="110" t="s">
        <v>470</v>
      </c>
      <c r="C163" s="110">
        <v>1</v>
      </c>
      <c r="D163" s="110" t="s">
        <v>2</v>
      </c>
      <c r="E163" s="110">
        <v>100</v>
      </c>
      <c r="F163" s="110" t="s">
        <v>147</v>
      </c>
      <c r="G163" s="111">
        <v>3</v>
      </c>
      <c r="H163" s="110">
        <v>10</v>
      </c>
    </row>
    <row r="164" spans="1:8" x14ac:dyDescent="0.2">
      <c r="A164" s="110" t="s">
        <v>471</v>
      </c>
      <c r="B164" s="110" t="s">
        <v>472</v>
      </c>
      <c r="C164" s="110">
        <v>1</v>
      </c>
      <c r="D164" s="110" t="s">
        <v>2</v>
      </c>
      <c r="E164" s="110">
        <v>100</v>
      </c>
      <c r="F164" s="110" t="s">
        <v>147</v>
      </c>
      <c r="G164" s="111">
        <v>3</v>
      </c>
      <c r="H164" s="110">
        <v>10</v>
      </c>
    </row>
    <row r="165" spans="1:8" x14ac:dyDescent="0.2">
      <c r="A165" s="110" t="s">
        <v>473</v>
      </c>
      <c r="B165" s="110" t="s">
        <v>474</v>
      </c>
      <c r="C165" s="110">
        <v>1</v>
      </c>
      <c r="D165" s="110" t="s">
        <v>2</v>
      </c>
      <c r="E165" s="110">
        <v>100</v>
      </c>
      <c r="F165" s="110" t="s">
        <v>147</v>
      </c>
      <c r="G165" s="111">
        <v>3</v>
      </c>
      <c r="H165" s="110">
        <v>10</v>
      </c>
    </row>
    <row r="166" spans="1:8" x14ac:dyDescent="0.2">
      <c r="A166" s="110" t="s">
        <v>475</v>
      </c>
      <c r="B166" s="110" t="s">
        <v>476</v>
      </c>
      <c r="C166" s="110">
        <v>1</v>
      </c>
      <c r="D166" s="110" t="s">
        <v>2</v>
      </c>
      <c r="E166" s="110">
        <v>100</v>
      </c>
      <c r="F166" s="110" t="s">
        <v>147</v>
      </c>
      <c r="G166" s="111">
        <v>3</v>
      </c>
      <c r="H166" s="110">
        <v>10</v>
      </c>
    </row>
    <row r="167" spans="1:8" x14ac:dyDescent="0.2">
      <c r="A167" s="110" t="s">
        <v>477</v>
      </c>
      <c r="B167" s="110" t="s">
        <v>478</v>
      </c>
      <c r="C167" s="110">
        <v>1</v>
      </c>
      <c r="D167" s="110" t="s">
        <v>2</v>
      </c>
      <c r="E167" s="110">
        <v>100</v>
      </c>
      <c r="F167" s="110" t="s">
        <v>147</v>
      </c>
      <c r="G167" s="111">
        <v>3</v>
      </c>
      <c r="H167" s="110">
        <v>10</v>
      </c>
    </row>
    <row r="168" spans="1:8" x14ac:dyDescent="0.2">
      <c r="A168" s="110" t="s">
        <v>479</v>
      </c>
      <c r="B168" s="110" t="s">
        <v>480</v>
      </c>
      <c r="C168" s="110">
        <v>1</v>
      </c>
      <c r="D168" s="110" t="s">
        <v>2</v>
      </c>
      <c r="E168" s="110">
        <v>100</v>
      </c>
      <c r="F168" s="110" t="s">
        <v>147</v>
      </c>
      <c r="G168" s="111">
        <v>3</v>
      </c>
      <c r="H168" s="110">
        <v>10</v>
      </c>
    </row>
    <row r="169" spans="1:8" x14ac:dyDescent="0.2">
      <c r="A169" s="110" t="s">
        <v>481</v>
      </c>
      <c r="B169" s="110" t="s">
        <v>482</v>
      </c>
      <c r="C169" s="110">
        <v>1</v>
      </c>
      <c r="D169" s="110" t="s">
        <v>2</v>
      </c>
      <c r="E169" s="110">
        <v>100</v>
      </c>
      <c r="F169" s="110" t="s">
        <v>147</v>
      </c>
      <c r="G169" s="111">
        <v>3</v>
      </c>
      <c r="H169" s="110">
        <v>10</v>
      </c>
    </row>
    <row r="170" spans="1:8" x14ac:dyDescent="0.2">
      <c r="A170" s="110" t="s">
        <v>483</v>
      </c>
      <c r="B170" s="110" t="s">
        <v>484</v>
      </c>
      <c r="C170" s="110">
        <v>1</v>
      </c>
      <c r="D170" s="110" t="s">
        <v>2</v>
      </c>
      <c r="E170" s="110">
        <v>100</v>
      </c>
      <c r="F170" s="110" t="s">
        <v>147</v>
      </c>
      <c r="G170" s="111">
        <v>3</v>
      </c>
      <c r="H170" s="110">
        <v>10</v>
      </c>
    </row>
    <row r="171" spans="1:8" x14ac:dyDescent="0.2">
      <c r="A171" s="110" t="s">
        <v>485</v>
      </c>
      <c r="B171" s="110" t="s">
        <v>486</v>
      </c>
      <c r="C171" s="110">
        <v>1</v>
      </c>
      <c r="D171" s="110" t="s">
        <v>2</v>
      </c>
      <c r="E171" s="110">
        <v>100</v>
      </c>
      <c r="F171" s="110" t="s">
        <v>147</v>
      </c>
      <c r="G171" s="111">
        <v>3</v>
      </c>
      <c r="H171" s="110">
        <v>10</v>
      </c>
    </row>
    <row r="172" spans="1:8" x14ac:dyDescent="0.2">
      <c r="A172" s="110" t="s">
        <v>487</v>
      </c>
      <c r="B172" s="110" t="s">
        <v>488</v>
      </c>
      <c r="C172" s="110">
        <v>1</v>
      </c>
      <c r="D172" s="110" t="s">
        <v>2</v>
      </c>
      <c r="E172" s="110">
        <v>100</v>
      </c>
      <c r="F172" s="110" t="s">
        <v>147</v>
      </c>
      <c r="G172" s="111">
        <v>3</v>
      </c>
      <c r="H172" s="110">
        <v>10</v>
      </c>
    </row>
    <row r="173" spans="1:8" x14ac:dyDescent="0.2">
      <c r="A173" s="110" t="s">
        <v>489</v>
      </c>
      <c r="B173" s="110" t="s">
        <v>490</v>
      </c>
      <c r="C173" s="110">
        <v>1</v>
      </c>
      <c r="D173" s="110" t="s">
        <v>2</v>
      </c>
      <c r="E173" s="110">
        <v>100</v>
      </c>
      <c r="F173" s="110" t="s">
        <v>147</v>
      </c>
      <c r="G173" s="111">
        <v>3</v>
      </c>
      <c r="H173" s="110">
        <v>10</v>
      </c>
    </row>
    <row r="174" spans="1:8" x14ac:dyDescent="0.2">
      <c r="A174" s="110" t="s">
        <v>491</v>
      </c>
      <c r="B174" s="110" t="s">
        <v>492</v>
      </c>
      <c r="C174" s="110">
        <v>1</v>
      </c>
      <c r="D174" s="110" t="s">
        <v>2</v>
      </c>
      <c r="E174" s="110">
        <v>100</v>
      </c>
      <c r="F174" s="110" t="s">
        <v>147</v>
      </c>
      <c r="G174" s="111">
        <v>3</v>
      </c>
      <c r="H174" s="110">
        <v>10</v>
      </c>
    </row>
    <row r="175" spans="1:8" x14ac:dyDescent="0.2">
      <c r="A175" s="110" t="s">
        <v>493</v>
      </c>
      <c r="B175" s="110" t="s">
        <v>494</v>
      </c>
      <c r="C175" s="110">
        <v>1</v>
      </c>
      <c r="D175" s="110" t="s">
        <v>2</v>
      </c>
      <c r="E175" s="110">
        <v>100</v>
      </c>
      <c r="F175" s="110" t="s">
        <v>147</v>
      </c>
      <c r="G175" s="111">
        <v>3</v>
      </c>
      <c r="H175" s="110">
        <v>10</v>
      </c>
    </row>
    <row r="176" spans="1:8" x14ac:dyDescent="0.2">
      <c r="A176" s="110" t="s">
        <v>495</v>
      </c>
      <c r="B176" s="110" t="s">
        <v>496</v>
      </c>
      <c r="C176" s="110">
        <v>1</v>
      </c>
      <c r="D176" s="110" t="s">
        <v>2</v>
      </c>
      <c r="E176" s="110">
        <v>100</v>
      </c>
      <c r="F176" s="110" t="s">
        <v>147</v>
      </c>
      <c r="G176" s="111">
        <v>3</v>
      </c>
      <c r="H176" s="110">
        <v>10</v>
      </c>
    </row>
    <row r="177" spans="1:8" x14ac:dyDescent="0.2">
      <c r="A177" s="110" t="s">
        <v>497</v>
      </c>
      <c r="B177" s="110" t="s">
        <v>498</v>
      </c>
      <c r="C177" s="110">
        <v>1</v>
      </c>
      <c r="D177" s="110" t="s">
        <v>2</v>
      </c>
      <c r="E177" s="110">
        <v>100</v>
      </c>
      <c r="F177" s="110" t="s">
        <v>147</v>
      </c>
      <c r="G177" s="111">
        <v>3</v>
      </c>
      <c r="H177" s="110">
        <v>10</v>
      </c>
    </row>
    <row r="178" spans="1:8" x14ac:dyDescent="0.2">
      <c r="A178" s="110" t="s">
        <v>499</v>
      </c>
      <c r="B178" s="110" t="s">
        <v>500</v>
      </c>
      <c r="C178" s="110">
        <v>1</v>
      </c>
      <c r="D178" s="110" t="s">
        <v>2</v>
      </c>
      <c r="E178" s="110">
        <v>100</v>
      </c>
      <c r="F178" s="110" t="s">
        <v>147</v>
      </c>
      <c r="G178" s="111">
        <v>3</v>
      </c>
      <c r="H178" s="110">
        <v>10</v>
      </c>
    </row>
    <row r="179" spans="1:8" x14ac:dyDescent="0.2">
      <c r="A179" s="110" t="s">
        <v>501</v>
      </c>
      <c r="B179" s="110" t="s">
        <v>502</v>
      </c>
      <c r="C179" s="110">
        <v>1</v>
      </c>
      <c r="D179" s="110" t="s">
        <v>2</v>
      </c>
      <c r="E179" s="110">
        <v>100</v>
      </c>
      <c r="F179" s="110" t="s">
        <v>147</v>
      </c>
      <c r="G179" s="111">
        <v>3</v>
      </c>
      <c r="H179" s="110">
        <v>10</v>
      </c>
    </row>
    <row r="180" spans="1:8" x14ac:dyDescent="0.2">
      <c r="A180" s="110" t="s">
        <v>503</v>
      </c>
      <c r="B180" s="110" t="s">
        <v>504</v>
      </c>
      <c r="C180" s="110">
        <v>1</v>
      </c>
      <c r="D180" s="110" t="s">
        <v>2</v>
      </c>
      <c r="E180" s="110">
        <v>100</v>
      </c>
      <c r="F180" s="110" t="s">
        <v>147</v>
      </c>
      <c r="G180" s="111">
        <v>3</v>
      </c>
      <c r="H180" s="110">
        <v>10</v>
      </c>
    </row>
    <row r="181" spans="1:8" x14ac:dyDescent="0.2">
      <c r="A181" s="110" t="s">
        <v>505</v>
      </c>
      <c r="B181" s="110" t="s">
        <v>506</v>
      </c>
      <c r="C181" s="110">
        <v>1</v>
      </c>
      <c r="D181" s="110" t="s">
        <v>2</v>
      </c>
      <c r="E181" s="110">
        <v>100</v>
      </c>
      <c r="F181" s="110" t="s">
        <v>147</v>
      </c>
      <c r="G181" s="111">
        <v>3</v>
      </c>
      <c r="H181" s="110">
        <v>10</v>
      </c>
    </row>
    <row r="182" spans="1:8" x14ac:dyDescent="0.2">
      <c r="A182" s="110" t="s">
        <v>507</v>
      </c>
      <c r="B182" s="110" t="s">
        <v>508</v>
      </c>
      <c r="C182" s="110">
        <v>1</v>
      </c>
      <c r="D182" s="110" t="s">
        <v>2</v>
      </c>
      <c r="E182" s="110">
        <v>100</v>
      </c>
      <c r="F182" s="110" t="s">
        <v>147</v>
      </c>
      <c r="G182" s="111">
        <v>3</v>
      </c>
      <c r="H182" s="110">
        <v>10</v>
      </c>
    </row>
    <row r="183" spans="1:8" x14ac:dyDescent="0.2">
      <c r="A183" s="110" t="s">
        <v>509</v>
      </c>
      <c r="B183" s="110" t="s">
        <v>510</v>
      </c>
      <c r="C183" s="110">
        <v>1</v>
      </c>
      <c r="D183" s="110" t="s">
        <v>2</v>
      </c>
      <c r="E183" s="110">
        <v>100</v>
      </c>
      <c r="F183" s="110" t="s">
        <v>147</v>
      </c>
      <c r="G183" s="111">
        <v>3</v>
      </c>
      <c r="H183" s="110">
        <v>10</v>
      </c>
    </row>
    <row r="184" spans="1:8" x14ac:dyDescent="0.2">
      <c r="A184" s="110" t="s">
        <v>511</v>
      </c>
      <c r="B184" s="110" t="s">
        <v>512</v>
      </c>
      <c r="C184" s="110">
        <v>1</v>
      </c>
      <c r="D184" s="110" t="s">
        <v>2</v>
      </c>
      <c r="E184" s="110">
        <v>100</v>
      </c>
      <c r="F184" s="110" t="s">
        <v>147</v>
      </c>
      <c r="G184" s="111">
        <v>3</v>
      </c>
      <c r="H184" s="110">
        <v>10</v>
      </c>
    </row>
    <row r="185" spans="1:8" x14ac:dyDescent="0.2">
      <c r="A185" s="110" t="s">
        <v>513</v>
      </c>
      <c r="B185" s="110" t="s">
        <v>514</v>
      </c>
      <c r="C185" s="110">
        <v>1</v>
      </c>
      <c r="D185" s="110" t="s">
        <v>2</v>
      </c>
      <c r="E185" s="110">
        <v>100</v>
      </c>
      <c r="F185" s="110" t="s">
        <v>147</v>
      </c>
      <c r="G185" s="111">
        <v>3</v>
      </c>
      <c r="H185" s="110">
        <v>10</v>
      </c>
    </row>
    <row r="186" spans="1:8" x14ac:dyDescent="0.2">
      <c r="A186" s="110" t="s">
        <v>515</v>
      </c>
      <c r="B186" s="110" t="s">
        <v>516</v>
      </c>
      <c r="C186" s="110">
        <v>1</v>
      </c>
      <c r="D186" s="110" t="s">
        <v>2</v>
      </c>
      <c r="E186" s="110">
        <v>100</v>
      </c>
      <c r="F186" s="110" t="s">
        <v>147</v>
      </c>
      <c r="G186" s="111">
        <v>3</v>
      </c>
      <c r="H186" s="110">
        <v>10</v>
      </c>
    </row>
    <row r="187" spans="1:8" x14ac:dyDescent="0.2">
      <c r="A187" s="110" t="s">
        <v>517</v>
      </c>
      <c r="B187" s="110" t="s">
        <v>518</v>
      </c>
      <c r="C187" s="110">
        <v>1</v>
      </c>
      <c r="D187" s="110" t="s">
        <v>2</v>
      </c>
      <c r="E187" s="110">
        <v>100</v>
      </c>
      <c r="F187" s="110" t="s">
        <v>147</v>
      </c>
      <c r="G187" s="111">
        <v>3</v>
      </c>
      <c r="H187" s="110">
        <v>10</v>
      </c>
    </row>
  </sheetData>
  <sheetProtection selectLockedCells="1" selectUnlockedCells="1"/>
  <sortState xmlns:xlrd2="http://schemas.microsoft.com/office/spreadsheetml/2017/richdata2" ref="A3:I187">
    <sortCondition ref="A3"/>
  </sortState>
  <pageMargins left="0.7" right="0.7" top="0.75" bottom="0.75" header="0.3" footer="0.3"/>
  <pageSetup scale="58" fitToHeight="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0000"/>
  </sheetPr>
  <dimension ref="A1:P29"/>
  <sheetViews>
    <sheetView showGridLines="0" workbookViewId="0">
      <selection activeCell="B7" sqref="B7:B19"/>
    </sheetView>
  </sheetViews>
  <sheetFormatPr defaultColWidth="8.85546875" defaultRowHeight="12.75" x14ac:dyDescent="0.2"/>
  <cols>
    <col min="1" max="4" width="8.85546875" style="324"/>
    <col min="5" max="5" width="4.28515625" style="324" customWidth="1"/>
    <col min="6" max="6" width="10.7109375" style="324" customWidth="1"/>
    <col min="7" max="9" width="8.85546875" style="324"/>
    <col min="10" max="10" width="4.140625" style="324" customWidth="1"/>
    <col min="11" max="16384" width="8.85546875" style="324"/>
  </cols>
  <sheetData>
    <row r="1" spans="1:16" ht="15.75" x14ac:dyDescent="0.25">
      <c r="A1" s="322" t="s">
        <v>725</v>
      </c>
      <c r="B1" s="323"/>
      <c r="C1" s="323"/>
      <c r="D1" s="323"/>
      <c r="E1" s="323"/>
      <c r="F1" s="323"/>
      <c r="G1" s="323"/>
      <c r="H1" s="323"/>
      <c r="I1" s="323"/>
      <c r="J1" s="323"/>
      <c r="K1" s="323"/>
      <c r="L1" s="323"/>
      <c r="M1" s="323"/>
      <c r="N1" s="323"/>
    </row>
    <row r="3" spans="1:16" x14ac:dyDescent="0.2">
      <c r="A3" s="325" t="s">
        <v>669</v>
      </c>
      <c r="B3" s="325"/>
      <c r="C3" s="323"/>
      <c r="D3" s="323" t="s">
        <v>670</v>
      </c>
      <c r="E3" s="323"/>
      <c r="F3" s="323"/>
      <c r="G3" s="323"/>
      <c r="H3" s="323"/>
      <c r="I3" s="323"/>
      <c r="J3" s="323"/>
      <c r="K3" s="323"/>
      <c r="L3" s="323"/>
      <c r="M3" s="323"/>
      <c r="N3" s="323"/>
    </row>
    <row r="5" spans="1:16" s="326" customFormat="1" ht="13.5" thickBot="1" x14ac:dyDescent="0.25">
      <c r="A5" s="326" t="s">
        <v>604</v>
      </c>
      <c r="F5" s="326" t="s">
        <v>676</v>
      </c>
      <c r="K5" s="326" t="s">
        <v>631</v>
      </c>
    </row>
    <row r="6" spans="1:16" x14ac:dyDescent="0.2">
      <c r="A6" s="327" t="s">
        <v>671</v>
      </c>
      <c r="B6" s="328" t="s">
        <v>16</v>
      </c>
      <c r="C6" s="328" t="s">
        <v>672</v>
      </c>
      <c r="D6" s="329" t="s">
        <v>73</v>
      </c>
      <c r="E6" s="323"/>
      <c r="F6" s="327" t="s">
        <v>673</v>
      </c>
      <c r="G6" s="328" t="s">
        <v>16</v>
      </c>
      <c r="H6" s="330"/>
      <c r="I6" s="331"/>
      <c r="J6" s="323"/>
      <c r="K6" s="327" t="s">
        <v>674</v>
      </c>
      <c r="L6" s="328" t="s">
        <v>16</v>
      </c>
      <c r="M6" s="330"/>
      <c r="N6" s="331"/>
    </row>
    <row r="7" spans="1:16" x14ac:dyDescent="0.2">
      <c r="A7" s="332">
        <v>0.5</v>
      </c>
      <c r="B7" s="333">
        <v>3.95</v>
      </c>
      <c r="C7" s="319"/>
      <c r="D7" s="334">
        <f>C7*B7</f>
        <v>0</v>
      </c>
      <c r="E7" s="323"/>
      <c r="F7" s="332">
        <v>0.5</v>
      </c>
      <c r="G7" s="335">
        <v>8.9</v>
      </c>
      <c r="H7" s="319"/>
      <c r="I7" s="334">
        <f>H7*G7</f>
        <v>0</v>
      </c>
      <c r="J7" s="323"/>
      <c r="K7" s="332">
        <v>0.5</v>
      </c>
      <c r="L7" s="335">
        <v>0</v>
      </c>
      <c r="M7" s="319"/>
      <c r="N7" s="334">
        <f>M7*L7</f>
        <v>0</v>
      </c>
    </row>
    <row r="8" spans="1:16" x14ac:dyDescent="0.2">
      <c r="A8" s="332">
        <v>0.75</v>
      </c>
      <c r="B8" s="333">
        <v>3.95</v>
      </c>
      <c r="C8" s="319"/>
      <c r="D8" s="334">
        <f t="shared" ref="D8:D19" si="0">C8*B8</f>
        <v>0</v>
      </c>
      <c r="E8" s="323"/>
      <c r="F8" s="332">
        <v>0.75</v>
      </c>
      <c r="G8" s="335">
        <v>9.25</v>
      </c>
      <c r="H8" s="319"/>
      <c r="I8" s="334">
        <f t="shared" ref="I8:I19" si="1">H8*G8</f>
        <v>0</v>
      </c>
      <c r="J8" s="323"/>
      <c r="K8" s="332">
        <v>0.75</v>
      </c>
      <c r="L8" s="335">
        <v>0</v>
      </c>
      <c r="M8" s="319"/>
      <c r="N8" s="334">
        <f t="shared" ref="N8:N19" si="2">M8*L8</f>
        <v>0</v>
      </c>
    </row>
    <row r="9" spans="1:16" x14ac:dyDescent="0.2">
      <c r="A9" s="332">
        <v>1</v>
      </c>
      <c r="B9" s="333">
        <v>3.95</v>
      </c>
      <c r="C9" s="319"/>
      <c r="D9" s="334">
        <f t="shared" si="0"/>
        <v>0</v>
      </c>
      <c r="E9" s="323"/>
      <c r="F9" s="332">
        <v>1</v>
      </c>
      <c r="G9" s="335">
        <v>9.25</v>
      </c>
      <c r="H9" s="319"/>
      <c r="I9" s="334">
        <f t="shared" si="1"/>
        <v>0</v>
      </c>
      <c r="J9" s="323"/>
      <c r="K9" s="332">
        <v>1</v>
      </c>
      <c r="L9" s="335">
        <v>0</v>
      </c>
      <c r="M9" s="319"/>
      <c r="N9" s="334">
        <f t="shared" si="2"/>
        <v>0</v>
      </c>
    </row>
    <row r="10" spans="1:16" x14ac:dyDescent="0.2">
      <c r="A10" s="332">
        <v>1.25</v>
      </c>
      <c r="B10" s="333">
        <v>4.1500000000000004</v>
      </c>
      <c r="C10" s="319"/>
      <c r="D10" s="334">
        <f t="shared" si="0"/>
        <v>0</v>
      </c>
      <c r="E10" s="323"/>
      <c r="F10" s="332">
        <v>1.25</v>
      </c>
      <c r="G10" s="335">
        <v>9.6</v>
      </c>
      <c r="H10" s="319"/>
      <c r="I10" s="334">
        <f t="shared" si="1"/>
        <v>0</v>
      </c>
      <c r="J10" s="323"/>
      <c r="K10" s="332">
        <v>1.25</v>
      </c>
      <c r="L10" s="335">
        <v>0</v>
      </c>
      <c r="M10" s="319"/>
      <c r="N10" s="334">
        <f t="shared" si="2"/>
        <v>0</v>
      </c>
    </row>
    <row r="11" spans="1:16" x14ac:dyDescent="0.2">
      <c r="A11" s="332">
        <v>1.5</v>
      </c>
      <c r="B11" s="333">
        <v>6.4</v>
      </c>
      <c r="C11" s="319"/>
      <c r="D11" s="334">
        <f t="shared" si="0"/>
        <v>0</v>
      </c>
      <c r="E11" s="323"/>
      <c r="F11" s="332">
        <v>1.5</v>
      </c>
      <c r="G11" s="335">
        <v>12.95</v>
      </c>
      <c r="H11" s="319"/>
      <c r="I11" s="334">
        <f t="shared" si="1"/>
        <v>0</v>
      </c>
      <c r="J11" s="323"/>
      <c r="K11" s="332">
        <v>1.5</v>
      </c>
      <c r="L11" s="335">
        <v>0</v>
      </c>
      <c r="M11" s="319"/>
      <c r="N11" s="334">
        <f t="shared" si="2"/>
        <v>0</v>
      </c>
    </row>
    <row r="12" spans="1:16" x14ac:dyDescent="0.2">
      <c r="A12" s="332">
        <v>2</v>
      </c>
      <c r="B12" s="333">
        <v>6.65</v>
      </c>
      <c r="C12" s="319"/>
      <c r="D12" s="334">
        <f t="shared" si="0"/>
        <v>0</v>
      </c>
      <c r="E12" s="323"/>
      <c r="F12" s="332">
        <v>2</v>
      </c>
      <c r="G12" s="335">
        <v>12.95</v>
      </c>
      <c r="H12" s="319"/>
      <c r="I12" s="334">
        <f t="shared" si="1"/>
        <v>0</v>
      </c>
      <c r="J12" s="323"/>
      <c r="K12" s="332">
        <v>2</v>
      </c>
      <c r="L12" s="335">
        <v>0</v>
      </c>
      <c r="M12" s="319"/>
      <c r="N12" s="334">
        <f t="shared" si="2"/>
        <v>0</v>
      </c>
    </row>
    <row r="13" spans="1:16" x14ac:dyDescent="0.2">
      <c r="A13" s="332">
        <v>2.5</v>
      </c>
      <c r="B13" s="333">
        <v>7.4</v>
      </c>
      <c r="C13" s="319"/>
      <c r="D13" s="334">
        <f t="shared" si="0"/>
        <v>0</v>
      </c>
      <c r="E13" s="323"/>
      <c r="F13" s="332">
        <v>2.5</v>
      </c>
      <c r="G13" s="335">
        <v>18.899999999999999</v>
      </c>
      <c r="H13" s="319"/>
      <c r="I13" s="334">
        <f t="shared" si="1"/>
        <v>0</v>
      </c>
      <c r="J13" s="323"/>
      <c r="K13" s="332">
        <v>2.5</v>
      </c>
      <c r="L13" s="335">
        <v>20.350000000000001</v>
      </c>
      <c r="M13" s="319"/>
      <c r="N13" s="334">
        <f t="shared" si="2"/>
        <v>0</v>
      </c>
    </row>
    <row r="14" spans="1:16" x14ac:dyDescent="0.2">
      <c r="A14" s="332">
        <v>3</v>
      </c>
      <c r="B14" s="333">
        <v>7.7</v>
      </c>
      <c r="C14" s="319"/>
      <c r="D14" s="334">
        <f t="shared" si="0"/>
        <v>0</v>
      </c>
      <c r="E14" s="323"/>
      <c r="F14" s="332">
        <v>3</v>
      </c>
      <c r="G14" s="335">
        <v>18.899999999999999</v>
      </c>
      <c r="H14" s="319"/>
      <c r="I14" s="334">
        <f t="shared" si="1"/>
        <v>0</v>
      </c>
      <c r="J14" s="323"/>
      <c r="K14" s="332">
        <v>3</v>
      </c>
      <c r="L14" s="335">
        <v>20.350000000000001</v>
      </c>
      <c r="M14" s="319"/>
      <c r="N14" s="334">
        <f t="shared" si="2"/>
        <v>0</v>
      </c>
    </row>
    <row r="15" spans="1:16" x14ac:dyDescent="0.2">
      <c r="A15" s="332">
        <v>4</v>
      </c>
      <c r="B15" s="333">
        <v>9</v>
      </c>
      <c r="C15" s="319"/>
      <c r="D15" s="334">
        <f t="shared" si="0"/>
        <v>0</v>
      </c>
      <c r="E15" s="323"/>
      <c r="F15" s="332">
        <v>4</v>
      </c>
      <c r="G15" s="335">
        <v>20.9</v>
      </c>
      <c r="H15" s="319"/>
      <c r="I15" s="334">
        <f t="shared" si="1"/>
        <v>0</v>
      </c>
      <c r="J15" s="323"/>
      <c r="K15" s="332">
        <v>4</v>
      </c>
      <c r="L15" s="335">
        <v>20.95</v>
      </c>
      <c r="M15" s="319"/>
      <c r="N15" s="334">
        <f t="shared" si="2"/>
        <v>0</v>
      </c>
      <c r="O15" s="323"/>
      <c r="P15" s="323"/>
    </row>
    <row r="16" spans="1:16" x14ac:dyDescent="0.2">
      <c r="A16" s="332">
        <v>5</v>
      </c>
      <c r="B16" s="333">
        <v>9.9</v>
      </c>
      <c r="C16" s="319"/>
      <c r="D16" s="334">
        <f t="shared" si="0"/>
        <v>0</v>
      </c>
      <c r="E16" s="323"/>
      <c r="F16" s="332">
        <v>5</v>
      </c>
      <c r="G16" s="335">
        <v>23.9</v>
      </c>
      <c r="H16" s="319"/>
      <c r="I16" s="334">
        <f t="shared" si="1"/>
        <v>0</v>
      </c>
      <c r="J16" s="323"/>
      <c r="K16" s="332">
        <v>5</v>
      </c>
      <c r="L16" s="335">
        <v>21.8</v>
      </c>
      <c r="M16" s="319"/>
      <c r="N16" s="334">
        <f t="shared" si="2"/>
        <v>0</v>
      </c>
      <c r="O16" s="323"/>
      <c r="P16" s="323"/>
    </row>
    <row r="17" spans="1:16" x14ac:dyDescent="0.2">
      <c r="A17" s="332">
        <v>6</v>
      </c>
      <c r="B17" s="333">
        <v>10.1</v>
      </c>
      <c r="C17" s="319"/>
      <c r="D17" s="334">
        <f t="shared" si="0"/>
        <v>0</v>
      </c>
      <c r="E17" s="323"/>
      <c r="F17" s="332">
        <v>6</v>
      </c>
      <c r="G17" s="335">
        <v>28.2</v>
      </c>
      <c r="H17" s="319"/>
      <c r="I17" s="334">
        <f t="shared" si="1"/>
        <v>0</v>
      </c>
      <c r="J17" s="323"/>
      <c r="K17" s="332">
        <v>6</v>
      </c>
      <c r="L17" s="335">
        <v>22.75</v>
      </c>
      <c r="M17" s="319"/>
      <c r="N17" s="334">
        <f t="shared" si="2"/>
        <v>0</v>
      </c>
      <c r="O17" s="323"/>
      <c r="P17" s="323"/>
    </row>
    <row r="18" spans="1:16" x14ac:dyDescent="0.2">
      <c r="A18" s="332">
        <v>8</v>
      </c>
      <c r="B18" s="333">
        <v>12.85</v>
      </c>
      <c r="C18" s="319"/>
      <c r="D18" s="334">
        <f t="shared" si="0"/>
        <v>0</v>
      </c>
      <c r="E18" s="323"/>
      <c r="F18" s="332">
        <v>8</v>
      </c>
      <c r="G18" s="335">
        <v>35</v>
      </c>
      <c r="H18" s="319"/>
      <c r="I18" s="334">
        <f t="shared" si="1"/>
        <v>0</v>
      </c>
      <c r="J18" s="323"/>
      <c r="K18" s="332">
        <v>8</v>
      </c>
      <c r="L18" s="335">
        <v>27.85</v>
      </c>
      <c r="M18" s="319"/>
      <c r="N18" s="334">
        <f t="shared" si="2"/>
        <v>0</v>
      </c>
      <c r="O18" s="323"/>
      <c r="P18" s="323"/>
    </row>
    <row r="19" spans="1:16" ht="13.5" thickBot="1" x14ac:dyDescent="0.25">
      <c r="A19" s="336">
        <v>10</v>
      </c>
      <c r="B19" s="337">
        <v>15.6</v>
      </c>
      <c r="C19" s="320"/>
      <c r="D19" s="338">
        <f t="shared" si="0"/>
        <v>0</v>
      </c>
      <c r="E19" s="323"/>
      <c r="F19" s="336">
        <v>10</v>
      </c>
      <c r="G19" s="339">
        <v>39.4</v>
      </c>
      <c r="H19" s="320"/>
      <c r="I19" s="338">
        <f t="shared" si="1"/>
        <v>0</v>
      </c>
      <c r="J19" s="323"/>
      <c r="K19" s="336">
        <v>10</v>
      </c>
      <c r="L19" s="339">
        <v>32.700000000000003</v>
      </c>
      <c r="M19" s="320"/>
      <c r="N19" s="338">
        <f t="shared" si="2"/>
        <v>0</v>
      </c>
      <c r="O19" s="323"/>
      <c r="P19" s="323"/>
    </row>
    <row r="20" spans="1:16" x14ac:dyDescent="0.2">
      <c r="A20" s="340"/>
      <c r="B20" s="323"/>
      <c r="C20" s="341" t="s">
        <v>679</v>
      </c>
      <c r="D20" s="342">
        <f>SUM(D7:D19)</f>
        <v>0</v>
      </c>
      <c r="E20" s="323"/>
      <c r="F20" s="323"/>
      <c r="G20" s="323"/>
      <c r="H20" s="341" t="s">
        <v>679</v>
      </c>
      <c r="I20" s="342">
        <f>SUM(I7:I19)</f>
        <v>0</v>
      </c>
      <c r="J20" s="323"/>
      <c r="K20" s="323"/>
      <c r="L20" s="323"/>
      <c r="M20" s="341" t="s">
        <v>679</v>
      </c>
      <c r="N20" s="342">
        <f>SUM(N7:N19)</f>
        <v>0</v>
      </c>
      <c r="O20" s="323"/>
      <c r="P20" s="343"/>
    </row>
    <row r="21" spans="1:16" x14ac:dyDescent="0.2">
      <c r="A21" s="340"/>
      <c r="B21" s="323"/>
      <c r="C21" s="323"/>
      <c r="D21" s="323"/>
      <c r="E21" s="323"/>
      <c r="F21" s="323"/>
      <c r="G21" s="323"/>
      <c r="H21" s="323"/>
      <c r="I21" s="323"/>
      <c r="J21" s="323"/>
      <c r="K21" s="323"/>
      <c r="L21" s="323"/>
      <c r="M21" s="323"/>
      <c r="N21" s="323"/>
      <c r="O21" s="323"/>
      <c r="P21" s="323"/>
    </row>
    <row r="23" spans="1:16" ht="13.5" thickBot="1" x14ac:dyDescent="0.25">
      <c r="A23" s="344" t="s">
        <v>724</v>
      </c>
      <c r="B23" s="323" t="s">
        <v>675</v>
      </c>
      <c r="C23" s="323"/>
      <c r="D23" s="323"/>
      <c r="E23" s="323"/>
      <c r="F23" s="323"/>
      <c r="G23" s="323"/>
      <c r="H23" s="323"/>
      <c r="I23" s="323"/>
      <c r="J23" s="323"/>
      <c r="K23" s="323"/>
      <c r="L23" s="323"/>
      <c r="M23" s="323"/>
      <c r="N23" s="323"/>
      <c r="O23" s="323"/>
      <c r="P23" s="323"/>
    </row>
    <row r="24" spans="1:16" x14ac:dyDescent="0.2">
      <c r="A24" s="345"/>
      <c r="B24" s="346"/>
      <c r="C24" s="346"/>
      <c r="D24" s="347"/>
    </row>
    <row r="25" spans="1:16" x14ac:dyDescent="0.2">
      <c r="A25" s="348"/>
      <c r="C25" s="349" t="s">
        <v>48</v>
      </c>
      <c r="D25" s="350">
        <v>1.3</v>
      </c>
      <c r="E25" s="323"/>
      <c r="F25" s="323"/>
      <c r="G25" s="323"/>
      <c r="H25" s="323"/>
      <c r="I25" s="323"/>
      <c r="J25" s="323"/>
      <c r="K25" s="323"/>
      <c r="O25" s="323"/>
      <c r="P25" s="323"/>
    </row>
    <row r="26" spans="1:16" x14ac:dyDescent="0.2">
      <c r="A26" s="348"/>
      <c r="C26" s="324" t="s">
        <v>677</v>
      </c>
      <c r="D26" s="321">
        <v>0</v>
      </c>
      <c r="L26" s="324" t="s">
        <v>680</v>
      </c>
      <c r="N26" s="351">
        <f>N20+I20+D20</f>
        <v>0</v>
      </c>
    </row>
    <row r="27" spans="1:16" x14ac:dyDescent="0.2">
      <c r="A27" s="348"/>
      <c r="C27" s="349"/>
      <c r="D27" s="352"/>
      <c r="L27" s="323" t="s">
        <v>681</v>
      </c>
      <c r="M27" s="323"/>
      <c r="N27" s="343">
        <f>D29</f>
        <v>0</v>
      </c>
    </row>
    <row r="28" spans="1:16" ht="16.5" thickBot="1" x14ac:dyDescent="0.3">
      <c r="A28" s="353"/>
      <c r="B28" s="354"/>
      <c r="C28" s="354"/>
      <c r="D28" s="355"/>
      <c r="L28" s="356" t="s">
        <v>33</v>
      </c>
      <c r="M28" s="356"/>
      <c r="N28" s="357">
        <f>SUM(N26:N27)</f>
        <v>0</v>
      </c>
    </row>
    <row r="29" spans="1:16" x14ac:dyDescent="0.2">
      <c r="C29" s="324" t="s">
        <v>678</v>
      </c>
      <c r="D29" s="358">
        <f>D26*D25</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2:K32"/>
  <sheetViews>
    <sheetView topLeftCell="A10" workbookViewId="0">
      <selection activeCell="A27" sqref="A27:XFD29"/>
    </sheetView>
  </sheetViews>
  <sheetFormatPr defaultColWidth="8.85546875" defaultRowHeight="16.5" x14ac:dyDescent="0.3"/>
  <cols>
    <col min="1" max="1" width="4.140625" style="179" customWidth="1"/>
    <col min="2" max="9" width="8.85546875" style="179"/>
    <col min="10" max="10" width="12.140625" style="179" customWidth="1"/>
    <col min="11" max="11" width="8.85546875" style="179"/>
  </cols>
  <sheetData>
    <row r="2" spans="1:10" x14ac:dyDescent="0.3">
      <c r="A2" s="182" t="s">
        <v>58</v>
      </c>
      <c r="B2" s="11"/>
      <c r="C2" s="11"/>
      <c r="D2" s="11"/>
      <c r="E2" s="11"/>
      <c r="F2" s="11"/>
      <c r="G2" s="11"/>
      <c r="H2" s="11"/>
      <c r="I2" s="11"/>
      <c r="J2" s="12"/>
    </row>
    <row r="3" spans="1:10" x14ac:dyDescent="0.3">
      <c r="A3" s="179" t="s">
        <v>53</v>
      </c>
      <c r="B3" s="179" t="s">
        <v>563</v>
      </c>
    </row>
    <row r="4" spans="1:10" x14ac:dyDescent="0.3">
      <c r="A4" s="179" t="s">
        <v>54</v>
      </c>
      <c r="B4" s="906" t="s">
        <v>691</v>
      </c>
      <c r="C4" s="906"/>
      <c r="D4" s="906"/>
      <c r="E4" s="906"/>
      <c r="F4" s="906"/>
      <c r="G4" s="906"/>
      <c r="H4" s="906"/>
      <c r="I4" s="906"/>
      <c r="J4" s="906"/>
    </row>
    <row r="5" spans="1:10" x14ac:dyDescent="0.3">
      <c r="B5" s="906"/>
      <c r="C5" s="906"/>
      <c r="D5" s="906"/>
      <c r="E5" s="906"/>
      <c r="F5" s="906"/>
      <c r="G5" s="906"/>
      <c r="H5" s="906"/>
      <c r="I5" s="906"/>
      <c r="J5" s="906"/>
    </row>
    <row r="6" spans="1:10" x14ac:dyDescent="0.3">
      <c r="A6" s="179" t="s">
        <v>55</v>
      </c>
      <c r="B6" s="179" t="s">
        <v>564</v>
      </c>
    </row>
    <row r="7" spans="1:10" x14ac:dyDescent="0.3">
      <c r="A7" s="179" t="s">
        <v>56</v>
      </c>
      <c r="B7" s="179" t="s">
        <v>63</v>
      </c>
    </row>
    <row r="8" spans="1:10" x14ac:dyDescent="0.3">
      <c r="A8" s="179" t="s">
        <v>64</v>
      </c>
      <c r="B8" s="179" t="s">
        <v>65</v>
      </c>
    </row>
    <row r="9" spans="1:10" x14ac:dyDescent="0.3">
      <c r="A9" s="179" t="s">
        <v>66</v>
      </c>
      <c r="B9" s="179" t="s">
        <v>67</v>
      </c>
    </row>
    <row r="10" spans="1:10" x14ac:dyDescent="0.3">
      <c r="A10" s="179" t="s">
        <v>69</v>
      </c>
      <c r="B10" s="179" t="s">
        <v>70</v>
      </c>
    </row>
    <row r="11" spans="1:10" x14ac:dyDescent="0.3">
      <c r="A11" s="182" t="s">
        <v>59</v>
      </c>
      <c r="B11" s="11"/>
      <c r="C11" s="11"/>
      <c r="D11" s="11"/>
      <c r="E11" s="11"/>
      <c r="F11" s="11"/>
      <c r="G11" s="11"/>
      <c r="H11" s="11"/>
      <c r="I11" s="11"/>
      <c r="J11" s="12"/>
    </row>
    <row r="12" spans="1:10" x14ac:dyDescent="0.3">
      <c r="A12" s="13" t="s">
        <v>50</v>
      </c>
    </row>
    <row r="13" spans="1:10" x14ac:dyDescent="0.3">
      <c r="A13" s="179" t="s">
        <v>53</v>
      </c>
      <c r="B13" s="905" t="s">
        <v>51</v>
      </c>
      <c r="C13" s="905"/>
      <c r="D13" s="905"/>
      <c r="E13" s="905"/>
      <c r="F13" s="905"/>
      <c r="G13" s="905"/>
      <c r="H13" s="905"/>
      <c r="I13" s="905"/>
      <c r="J13" s="905"/>
    </row>
    <row r="14" spans="1:10" x14ac:dyDescent="0.3">
      <c r="A14" s="179" t="s">
        <v>54</v>
      </c>
      <c r="B14" s="905" t="s">
        <v>52</v>
      </c>
      <c r="C14" s="905"/>
      <c r="D14" s="905"/>
      <c r="E14" s="905"/>
      <c r="F14" s="905"/>
      <c r="G14" s="905"/>
      <c r="H14" s="905"/>
      <c r="I14" s="905"/>
      <c r="J14" s="905"/>
    </row>
    <row r="15" spans="1:10" x14ac:dyDescent="0.3">
      <c r="A15" s="179" t="s">
        <v>55</v>
      </c>
      <c r="B15" s="907" t="s">
        <v>60</v>
      </c>
      <c r="C15" s="907"/>
      <c r="D15" s="907"/>
      <c r="E15" s="907"/>
      <c r="F15" s="907"/>
      <c r="G15" s="907"/>
      <c r="H15" s="907"/>
      <c r="I15" s="907"/>
      <c r="J15" s="907"/>
    </row>
    <row r="16" spans="1:10" x14ac:dyDescent="0.3">
      <c r="B16" s="907"/>
      <c r="C16" s="907"/>
      <c r="D16" s="907"/>
      <c r="E16" s="907"/>
      <c r="F16" s="907"/>
      <c r="G16" s="907"/>
      <c r="H16" s="907"/>
      <c r="I16" s="907"/>
      <c r="J16" s="907"/>
    </row>
    <row r="17" spans="1:10" x14ac:dyDescent="0.3">
      <c r="A17" s="179" t="s">
        <v>56</v>
      </c>
      <c r="B17" s="905" t="s">
        <v>57</v>
      </c>
      <c r="C17" s="905"/>
      <c r="D17" s="905"/>
      <c r="E17" s="905"/>
      <c r="F17" s="905"/>
      <c r="G17" s="905"/>
      <c r="H17" s="905"/>
      <c r="I17" s="905"/>
      <c r="J17" s="905"/>
    </row>
    <row r="18" spans="1:10" x14ac:dyDescent="0.3">
      <c r="A18" s="179" t="s">
        <v>61</v>
      </c>
      <c r="B18" s="905" t="s">
        <v>62</v>
      </c>
      <c r="C18" s="905"/>
      <c r="D18" s="905"/>
      <c r="E18" s="905"/>
      <c r="F18" s="905"/>
      <c r="G18" s="905"/>
      <c r="H18" s="905"/>
      <c r="I18" s="905"/>
      <c r="J18" s="905"/>
    </row>
    <row r="19" spans="1:10" x14ac:dyDescent="0.3">
      <c r="A19" s="13" t="s">
        <v>88</v>
      </c>
    </row>
    <row r="20" spans="1:10" x14ac:dyDescent="0.3">
      <c r="A20" s="179" t="s">
        <v>53</v>
      </c>
      <c r="B20" s="905" t="s">
        <v>89</v>
      </c>
      <c r="C20" s="905"/>
      <c r="D20" s="905"/>
      <c r="E20" s="905"/>
      <c r="F20" s="905"/>
      <c r="G20" s="905"/>
      <c r="H20" s="905"/>
      <c r="I20" s="905"/>
      <c r="J20" s="905"/>
    </row>
    <row r="21" spans="1:10" x14ac:dyDescent="0.3">
      <c r="A21" s="179" t="s">
        <v>54</v>
      </c>
      <c r="B21" s="905" t="s">
        <v>90</v>
      </c>
      <c r="C21" s="905"/>
      <c r="D21" s="905"/>
      <c r="E21" s="905"/>
      <c r="F21" s="905"/>
      <c r="G21" s="905"/>
      <c r="H21" s="905"/>
      <c r="I21" s="905"/>
      <c r="J21" s="905"/>
    </row>
    <row r="22" spans="1:10" x14ac:dyDescent="0.3">
      <c r="A22" s="179" t="s">
        <v>55</v>
      </c>
      <c r="B22" s="905" t="s">
        <v>91</v>
      </c>
      <c r="C22" s="905"/>
      <c r="D22" s="905"/>
      <c r="E22" s="905"/>
      <c r="F22" s="905"/>
      <c r="G22" s="905"/>
      <c r="H22" s="905"/>
      <c r="I22" s="905"/>
      <c r="J22" s="905"/>
    </row>
    <row r="23" spans="1:10" x14ac:dyDescent="0.3">
      <c r="A23" s="13" t="s">
        <v>565</v>
      </c>
    </row>
    <row r="24" spans="1:10" x14ac:dyDescent="0.3">
      <c r="A24" s="179" t="s">
        <v>53</v>
      </c>
      <c r="B24" s="905" t="s">
        <v>568</v>
      </c>
      <c r="C24" s="905"/>
      <c r="D24" s="905"/>
      <c r="E24" s="905"/>
      <c r="F24" s="905"/>
      <c r="G24" s="905"/>
      <c r="H24" s="905"/>
      <c r="I24" s="905"/>
      <c r="J24" s="905"/>
    </row>
    <row r="25" spans="1:10" x14ac:dyDescent="0.3">
      <c r="A25" s="179" t="s">
        <v>54</v>
      </c>
      <c r="B25" s="905" t="s">
        <v>566</v>
      </c>
      <c r="C25" s="905"/>
      <c r="D25" s="905"/>
      <c r="E25" s="905"/>
      <c r="F25" s="905"/>
      <c r="G25" s="905"/>
      <c r="H25" s="905"/>
      <c r="I25" s="905"/>
      <c r="J25" s="905"/>
    </row>
    <row r="26" spans="1:10" x14ac:dyDescent="0.3">
      <c r="A26" s="179" t="s">
        <v>55</v>
      </c>
      <c r="B26" s="905" t="s">
        <v>567</v>
      </c>
      <c r="C26" s="905"/>
      <c r="D26" s="905"/>
      <c r="E26" s="905"/>
      <c r="F26" s="905"/>
      <c r="G26" s="905"/>
      <c r="H26" s="905"/>
      <c r="I26" s="905"/>
      <c r="J26" s="905"/>
    </row>
    <row r="27" spans="1:10" x14ac:dyDescent="0.3">
      <c r="A27" s="13" t="s">
        <v>828</v>
      </c>
    </row>
    <row r="28" spans="1:10" x14ac:dyDescent="0.3">
      <c r="A28" s="179" t="s">
        <v>53</v>
      </c>
      <c r="B28" s="905" t="s">
        <v>829</v>
      </c>
      <c r="C28" s="905"/>
      <c r="D28" s="905"/>
      <c r="E28" s="905"/>
      <c r="F28" s="905"/>
      <c r="G28" s="905"/>
      <c r="H28" s="905"/>
      <c r="I28" s="905"/>
      <c r="J28" s="905"/>
    </row>
    <row r="29" spans="1:10" x14ac:dyDescent="0.3">
      <c r="A29" s="179" t="s">
        <v>54</v>
      </c>
      <c r="B29" s="905" t="s">
        <v>830</v>
      </c>
      <c r="C29" s="905"/>
      <c r="D29" s="905"/>
      <c r="E29" s="905"/>
      <c r="F29" s="905"/>
      <c r="G29" s="905"/>
      <c r="H29" s="905"/>
      <c r="I29" s="905"/>
      <c r="J29" s="905"/>
    </row>
    <row r="30" spans="1:10" x14ac:dyDescent="0.3">
      <c r="A30" s="13" t="s">
        <v>825</v>
      </c>
    </row>
    <row r="31" spans="1:10" x14ac:dyDescent="0.3">
      <c r="A31" s="179" t="s">
        <v>53</v>
      </c>
      <c r="B31" s="905" t="s">
        <v>826</v>
      </c>
      <c r="C31" s="905"/>
      <c r="D31" s="905"/>
      <c r="E31" s="905"/>
      <c r="F31" s="905"/>
      <c r="G31" s="905"/>
      <c r="H31" s="905"/>
      <c r="I31" s="905"/>
      <c r="J31" s="905"/>
    </row>
    <row r="32" spans="1:10" x14ac:dyDescent="0.3">
      <c r="A32" s="179" t="s">
        <v>54</v>
      </c>
      <c r="B32" s="905" t="s">
        <v>827</v>
      </c>
      <c r="C32" s="905"/>
      <c r="D32" s="905"/>
      <c r="E32" s="905"/>
      <c r="F32" s="905"/>
      <c r="G32" s="905"/>
      <c r="H32" s="905"/>
      <c r="I32" s="905"/>
      <c r="J32" s="905"/>
    </row>
  </sheetData>
  <mergeCells count="16">
    <mergeCell ref="B24:J24"/>
    <mergeCell ref="B4:J5"/>
    <mergeCell ref="B25:J25"/>
    <mergeCell ref="B13:J13"/>
    <mergeCell ref="B14:J14"/>
    <mergeCell ref="B15:J16"/>
    <mergeCell ref="B17:J17"/>
    <mergeCell ref="B18:J18"/>
    <mergeCell ref="B20:J20"/>
    <mergeCell ref="B21:J21"/>
    <mergeCell ref="B22:J22"/>
    <mergeCell ref="B28:J28"/>
    <mergeCell ref="B29:J29"/>
    <mergeCell ref="B31:J31"/>
    <mergeCell ref="B32:J32"/>
    <mergeCell ref="B26:J2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8" tint="0.39997558519241921"/>
  </sheetPr>
  <dimension ref="A8:M200"/>
  <sheetViews>
    <sheetView showGridLines="0" workbookViewId="0">
      <selection activeCell="D12" sqref="D12:G12"/>
    </sheetView>
  </sheetViews>
  <sheetFormatPr defaultColWidth="8.85546875" defaultRowHeight="12.75" x14ac:dyDescent="0.2"/>
  <cols>
    <col min="1" max="1" width="9.5703125" style="364" customWidth="1"/>
    <col min="2" max="2" width="6.140625" style="364" customWidth="1"/>
    <col min="3" max="3" width="2.42578125" style="364" customWidth="1"/>
    <col min="4" max="4" width="4.28515625" style="364" customWidth="1"/>
    <col min="5" max="5" width="8.85546875" style="364"/>
    <col min="6" max="6" width="11" style="364" customWidth="1"/>
    <col min="7" max="10" width="8.85546875" style="364"/>
    <col min="11" max="11" width="15.42578125" style="364" customWidth="1"/>
    <col min="12" max="12" width="8.85546875" style="364" customWidth="1"/>
    <col min="13" max="13" width="8.85546875" style="364" hidden="1" customWidth="1"/>
    <col min="14" max="16384" width="8.85546875" style="364"/>
  </cols>
  <sheetData>
    <row r="8" spans="1:11" x14ac:dyDescent="0.2">
      <c r="D8" s="915">
        <f ca="1">'Base Bid'!C4</f>
        <v>46048</v>
      </c>
      <c r="E8" s="915"/>
      <c r="F8" s="915"/>
      <c r="G8" s="915"/>
    </row>
    <row r="9" spans="1:11" ht="12.75" customHeight="1" x14ac:dyDescent="0.2">
      <c r="D9" s="368"/>
    </row>
    <row r="10" spans="1:11" ht="12.75" customHeight="1" x14ac:dyDescent="0.2"/>
    <row r="11" spans="1:11" ht="12.75" customHeight="1" x14ac:dyDescent="0.2">
      <c r="D11" s="919" t="s">
        <v>840</v>
      </c>
      <c r="E11" s="919"/>
      <c r="F11" s="919"/>
      <c r="G11" s="919"/>
      <c r="H11" s="372"/>
      <c r="I11" s="372"/>
      <c r="J11" s="372"/>
      <c r="K11" s="372"/>
    </row>
    <row r="12" spans="1:11" ht="12.75" customHeight="1" x14ac:dyDescent="0.2">
      <c r="D12" s="911" t="str">
        <f>VLOOKUP(D11,'Cust. Names'!A3:E38,2,FALSE)</f>
        <v xml:space="preserve">Pierce Mfg. </v>
      </c>
      <c r="E12" s="911"/>
      <c r="F12" s="911"/>
      <c r="G12" s="911"/>
      <c r="H12" s="372"/>
      <c r="I12" s="372"/>
      <c r="J12" s="372"/>
      <c r="K12" s="372"/>
    </row>
    <row r="13" spans="1:11" ht="12.75" customHeight="1" x14ac:dyDescent="0.2">
      <c r="A13" s="365" t="s">
        <v>739</v>
      </c>
      <c r="D13" s="911" t="str">
        <f>VLOOKUP(D11,'Cust. Names'!A3:E38,3,FALSE)</f>
        <v>2600 American Dr.</v>
      </c>
      <c r="E13" s="911"/>
      <c r="F13" s="911"/>
      <c r="G13" s="911"/>
      <c r="H13" s="372"/>
      <c r="I13" s="372"/>
      <c r="J13" s="372"/>
      <c r="K13" s="372"/>
    </row>
    <row r="14" spans="1:11" ht="12.75" customHeight="1" x14ac:dyDescent="0.2">
      <c r="A14" s="366" t="s">
        <v>740</v>
      </c>
      <c r="D14" s="911" t="str">
        <f>VLOOKUP(D11,'Cust. Names'!A3:E38,4,FALSE)</f>
        <v>Appleton, WI 54914</v>
      </c>
      <c r="E14" s="911"/>
      <c r="F14" s="911"/>
      <c r="G14" s="911"/>
      <c r="H14" s="372"/>
      <c r="I14" s="372"/>
      <c r="J14" s="372"/>
      <c r="K14" s="372"/>
    </row>
    <row r="15" spans="1:11" ht="12.75" customHeight="1" x14ac:dyDescent="0.2">
      <c r="A15" s="366" t="s">
        <v>741</v>
      </c>
      <c r="D15" s="373"/>
      <c r="E15" s="373"/>
      <c r="F15" s="373"/>
      <c r="G15" s="373"/>
      <c r="H15" s="372"/>
      <c r="I15" s="372"/>
      <c r="J15" s="372"/>
      <c r="K15" s="372"/>
    </row>
    <row r="16" spans="1:11" ht="12.75" customHeight="1" x14ac:dyDescent="0.2">
      <c r="A16" s="366" t="s">
        <v>742</v>
      </c>
      <c r="D16" s="374"/>
      <c r="E16" s="372"/>
      <c r="F16" s="372"/>
      <c r="G16" s="372"/>
      <c r="H16" s="372"/>
      <c r="I16" s="372"/>
      <c r="J16" s="372"/>
      <c r="K16" s="372"/>
    </row>
    <row r="17" spans="1:13" ht="12.75" customHeight="1" x14ac:dyDescent="0.2">
      <c r="A17" s="366" t="s">
        <v>743</v>
      </c>
      <c r="D17" s="375" t="s">
        <v>767</v>
      </c>
      <c r="E17" s="372"/>
      <c r="F17" s="914" t="str">
        <f>'Base Bid'!C3</f>
        <v xml:space="preserve">Test Phoenix Project </v>
      </c>
      <c r="G17" s="914"/>
      <c r="H17" s="914"/>
      <c r="I17" s="914"/>
      <c r="J17" s="914"/>
      <c r="K17" s="914"/>
    </row>
    <row r="18" spans="1:13" ht="12.75" customHeight="1" x14ac:dyDescent="0.2">
      <c r="A18" s="366" t="s">
        <v>744</v>
      </c>
      <c r="D18" s="374"/>
      <c r="E18" s="372"/>
      <c r="F18" s="372"/>
      <c r="G18" s="372"/>
      <c r="H18" s="372"/>
      <c r="I18" s="372"/>
      <c r="J18" s="372"/>
      <c r="K18" s="372"/>
    </row>
    <row r="19" spans="1:13" ht="12.75" customHeight="1" x14ac:dyDescent="0.2">
      <c r="D19" s="909" t="s">
        <v>773</v>
      </c>
      <c r="E19" s="909"/>
      <c r="F19" s="909"/>
      <c r="G19" s="909"/>
      <c r="H19" s="909"/>
      <c r="I19" s="909"/>
      <c r="J19" s="909"/>
      <c r="K19" s="909"/>
      <c r="M19" s="364" t="s">
        <v>763</v>
      </c>
    </row>
    <row r="20" spans="1:13" ht="12.75" customHeight="1" x14ac:dyDescent="0.2">
      <c r="A20" s="367"/>
      <c r="D20" s="909"/>
      <c r="E20" s="909"/>
      <c r="F20" s="909"/>
      <c r="G20" s="909"/>
      <c r="H20" s="909"/>
      <c r="I20" s="909"/>
      <c r="J20" s="909"/>
      <c r="K20" s="909"/>
      <c r="M20" s="364" t="s">
        <v>764</v>
      </c>
    </row>
    <row r="21" spans="1:13" ht="12.75" customHeight="1" x14ac:dyDescent="0.2">
      <c r="A21" s="367"/>
      <c r="D21" s="374"/>
      <c r="E21" s="372"/>
      <c r="F21" s="372"/>
      <c r="G21" s="372"/>
      <c r="H21" s="372"/>
      <c r="I21" s="372"/>
      <c r="J21" s="372"/>
      <c r="K21" s="372"/>
      <c r="M21" s="364" t="s">
        <v>766</v>
      </c>
    </row>
    <row r="22" spans="1:13" ht="12.75" customHeight="1" x14ac:dyDescent="0.2">
      <c r="A22" s="365" t="s">
        <v>1007</v>
      </c>
      <c r="D22" s="374"/>
      <c r="E22" s="372"/>
      <c r="F22" s="372"/>
      <c r="G22" s="372"/>
      <c r="H22" s="372"/>
      <c r="I22" s="519"/>
      <c r="J22" s="519"/>
      <c r="K22" s="519"/>
      <c r="M22" s="364" t="s">
        <v>997</v>
      </c>
    </row>
    <row r="23" spans="1:13" ht="12.75" customHeight="1" x14ac:dyDescent="0.2">
      <c r="A23" s="366" t="s">
        <v>1005</v>
      </c>
      <c r="E23" s="376" t="s">
        <v>765</v>
      </c>
      <c r="F23" s="829">
        <v>1300000</v>
      </c>
      <c r="G23" s="920" t="str">
        <f>(spellnumber(F23))</f>
        <v>One Million Three Hundred  Thousand  Dollars and No Cents</v>
      </c>
      <c r="H23" s="920"/>
      <c r="I23" s="920"/>
      <c r="J23" s="920"/>
      <c r="K23" s="920"/>
    </row>
    <row r="24" spans="1:13" ht="12.75" customHeight="1" x14ac:dyDescent="0.2">
      <c r="A24" s="366" t="s">
        <v>1006</v>
      </c>
      <c r="G24" s="920"/>
      <c r="H24" s="920"/>
      <c r="I24" s="920"/>
      <c r="J24" s="920"/>
      <c r="K24" s="920"/>
    </row>
    <row r="25" spans="1:13" ht="12.75" customHeight="1" x14ac:dyDescent="0.2">
      <c r="A25" s="366" t="s">
        <v>1008</v>
      </c>
      <c r="D25" s="372"/>
      <c r="E25" s="386" t="s">
        <v>762</v>
      </c>
      <c r="F25" s="912" t="s">
        <v>763</v>
      </c>
      <c r="G25" s="912"/>
      <c r="H25" s="378"/>
      <c r="I25" s="518"/>
      <c r="J25" s="518"/>
      <c r="K25" s="518"/>
    </row>
    <row r="26" spans="1:13" ht="12.75" customHeight="1" x14ac:dyDescent="0.2">
      <c r="D26" s="372"/>
      <c r="E26" s="386"/>
      <c r="F26" s="512"/>
      <c r="G26" s="512"/>
      <c r="H26" s="378"/>
      <c r="I26" s="518"/>
      <c r="J26" s="518"/>
      <c r="K26" s="518"/>
    </row>
    <row r="27" spans="1:13" ht="12.75" customHeight="1" x14ac:dyDescent="0.2">
      <c r="A27" s="367"/>
      <c r="D27" s="918" t="s">
        <v>751</v>
      </c>
      <c r="E27" s="918"/>
      <c r="F27" s="918"/>
      <c r="G27" s="378"/>
      <c r="H27" s="378"/>
      <c r="I27" s="378"/>
      <c r="J27" s="378"/>
      <c r="K27" s="378"/>
    </row>
    <row r="28" spans="1:13" ht="12.75" customHeight="1" x14ac:dyDescent="0.2">
      <c r="D28" s="375"/>
      <c r="E28" s="371" t="s">
        <v>802</v>
      </c>
      <c r="F28" s="370"/>
      <c r="G28" s="370"/>
      <c r="H28" s="370"/>
      <c r="I28" s="370"/>
      <c r="J28" s="370"/>
      <c r="K28" s="370"/>
    </row>
    <row r="29" spans="1:13" ht="12.75" customHeight="1" x14ac:dyDescent="0.2">
      <c r="D29" s="379"/>
      <c r="E29" s="371" t="s">
        <v>803</v>
      </c>
      <c r="F29" s="370"/>
      <c r="G29" s="370"/>
      <c r="H29" s="370"/>
      <c r="I29" s="370"/>
      <c r="J29" s="370"/>
      <c r="K29" s="370"/>
    </row>
    <row r="30" spans="1:13" ht="12.75" customHeight="1" x14ac:dyDescent="0.2">
      <c r="D30" s="380"/>
      <c r="E30" s="371" t="s">
        <v>804</v>
      </c>
      <c r="F30" s="370"/>
      <c r="G30" s="370"/>
      <c r="H30" s="370"/>
      <c r="I30" s="370"/>
      <c r="J30" s="370"/>
      <c r="K30" s="370"/>
    </row>
    <row r="31" spans="1:13" ht="12.75" customHeight="1" x14ac:dyDescent="0.2">
      <c r="D31" s="372"/>
      <c r="E31" s="371"/>
      <c r="F31" s="370"/>
      <c r="G31" s="370"/>
      <c r="H31" s="370"/>
      <c r="I31" s="370"/>
      <c r="J31" s="370"/>
      <c r="K31" s="370"/>
    </row>
    <row r="32" spans="1:13" ht="12.75" customHeight="1" x14ac:dyDescent="0.2">
      <c r="A32" s="366"/>
      <c r="D32" s="381"/>
      <c r="E32" s="371"/>
      <c r="F32" s="370"/>
      <c r="G32" s="370"/>
      <c r="H32" s="370"/>
      <c r="I32" s="370"/>
      <c r="J32" s="370"/>
      <c r="K32" s="370"/>
    </row>
    <row r="33" spans="1:11" ht="12.75" customHeight="1" x14ac:dyDescent="0.2">
      <c r="A33" s="363"/>
      <c r="D33" s="381"/>
      <c r="E33" s="371"/>
      <c r="F33" s="370"/>
      <c r="G33" s="370"/>
      <c r="H33" s="370"/>
      <c r="I33" s="370"/>
      <c r="J33" s="370"/>
      <c r="K33" s="370"/>
    </row>
    <row r="34" spans="1:11" ht="12.75" customHeight="1" x14ac:dyDescent="0.2">
      <c r="A34" s="367"/>
      <c r="D34" s="381"/>
      <c r="E34" s="371"/>
      <c r="F34" s="370"/>
      <c r="G34" s="370"/>
      <c r="H34" s="370"/>
      <c r="I34" s="370"/>
      <c r="J34" s="370"/>
      <c r="K34" s="370"/>
    </row>
    <row r="35" spans="1:11" ht="12.75" customHeight="1" x14ac:dyDescent="0.2">
      <c r="A35" s="367"/>
      <c r="D35" s="381"/>
      <c r="E35" s="371"/>
      <c r="F35" s="370"/>
      <c r="G35" s="370"/>
      <c r="H35" s="370"/>
      <c r="I35" s="370"/>
      <c r="J35" s="370"/>
      <c r="K35" s="370"/>
    </row>
    <row r="36" spans="1:11" ht="12.75" customHeight="1" x14ac:dyDescent="0.2">
      <c r="A36" s="367"/>
      <c r="D36" s="382"/>
      <c r="E36" s="371"/>
      <c r="F36" s="370"/>
      <c r="G36" s="370"/>
      <c r="H36" s="370"/>
      <c r="I36" s="370"/>
      <c r="J36" s="370"/>
      <c r="K36" s="370"/>
    </row>
    <row r="37" spans="1:11" ht="12.75" customHeight="1" x14ac:dyDescent="0.2">
      <c r="D37" s="383" t="s">
        <v>727</v>
      </c>
      <c r="E37" s="372"/>
      <c r="F37" s="372"/>
      <c r="G37" s="372"/>
      <c r="H37" s="372"/>
      <c r="I37" s="372"/>
      <c r="J37" s="372"/>
      <c r="K37" s="372"/>
    </row>
    <row r="38" spans="1:11" ht="12.75" customHeight="1" x14ac:dyDescent="0.2">
      <c r="D38" s="374" t="s">
        <v>768</v>
      </c>
      <c r="E38" s="372"/>
      <c r="F38" s="372"/>
      <c r="G38" s="372"/>
      <c r="H38" s="372"/>
      <c r="I38" s="372"/>
      <c r="J38" s="372"/>
      <c r="K38" s="372"/>
    </row>
    <row r="39" spans="1:11" ht="12.75" customHeight="1" x14ac:dyDescent="0.2">
      <c r="D39" s="384"/>
      <c r="E39" s="371"/>
      <c r="F39" s="371"/>
      <c r="G39" s="371"/>
      <c r="H39" s="371"/>
      <c r="I39" s="371"/>
      <c r="J39" s="371"/>
      <c r="K39" s="371"/>
    </row>
    <row r="40" spans="1:11" ht="12.75" customHeight="1" x14ac:dyDescent="0.2">
      <c r="D40" s="384"/>
      <c r="E40" s="371" t="s">
        <v>752</v>
      </c>
      <c r="F40" s="371"/>
      <c r="G40" s="371"/>
      <c r="H40" s="371"/>
      <c r="I40" s="371" t="s">
        <v>761</v>
      </c>
      <c r="J40" s="371"/>
      <c r="K40" s="371"/>
    </row>
    <row r="41" spans="1:11" ht="12.75" customHeight="1" x14ac:dyDescent="0.2">
      <c r="D41" s="384"/>
      <c r="E41" s="371" t="s">
        <v>753</v>
      </c>
      <c r="F41" s="371"/>
      <c r="G41" s="371"/>
      <c r="H41" s="371"/>
      <c r="I41" s="371" t="s">
        <v>1009</v>
      </c>
      <c r="J41" s="371"/>
      <c r="K41" s="371"/>
    </row>
    <row r="42" spans="1:11" ht="12.75" customHeight="1" x14ac:dyDescent="0.2">
      <c r="D42" s="384"/>
      <c r="E42" s="371" t="s">
        <v>754</v>
      </c>
      <c r="F42" s="371"/>
      <c r="G42" s="371"/>
      <c r="H42" s="371"/>
      <c r="I42" s="371" t="s">
        <v>1010</v>
      </c>
      <c r="J42" s="371"/>
      <c r="K42" s="371"/>
    </row>
    <row r="43" spans="1:11" ht="12.75" customHeight="1" x14ac:dyDescent="0.2">
      <c r="D43" s="384"/>
      <c r="E43" s="371" t="s">
        <v>755</v>
      </c>
      <c r="F43" s="371"/>
      <c r="G43" s="371"/>
      <c r="H43" s="371"/>
      <c r="I43" s="371"/>
      <c r="J43" s="371"/>
      <c r="K43" s="371"/>
    </row>
    <row r="44" spans="1:11" ht="12.75" customHeight="1" x14ac:dyDescent="0.2">
      <c r="D44" s="384"/>
      <c r="E44" s="371" t="s">
        <v>756</v>
      </c>
      <c r="F44" s="371"/>
      <c r="G44" s="371"/>
      <c r="H44" s="371"/>
      <c r="I44" s="371"/>
      <c r="J44" s="371"/>
      <c r="K44" s="371"/>
    </row>
    <row r="45" spans="1:11" ht="12.75" customHeight="1" x14ac:dyDescent="0.2">
      <c r="D45" s="384"/>
      <c r="E45" s="371" t="s">
        <v>757</v>
      </c>
      <c r="F45" s="371"/>
      <c r="G45" s="371"/>
      <c r="H45" s="371"/>
      <c r="I45" s="371"/>
      <c r="J45" s="371"/>
      <c r="K45" s="371"/>
    </row>
    <row r="46" spans="1:11" ht="12.75" customHeight="1" x14ac:dyDescent="0.2">
      <c r="D46" s="384"/>
      <c r="E46" s="371" t="s">
        <v>758</v>
      </c>
      <c r="F46" s="371"/>
      <c r="G46" s="371"/>
      <c r="H46" s="371"/>
      <c r="I46" s="371"/>
      <c r="J46" s="371"/>
      <c r="K46" s="371"/>
    </row>
    <row r="47" spans="1:11" ht="12.75" customHeight="1" x14ac:dyDescent="0.2">
      <c r="D47" s="384"/>
      <c r="E47" s="371" t="s">
        <v>759</v>
      </c>
      <c r="F47" s="371"/>
      <c r="G47" s="371"/>
      <c r="H47" s="371"/>
      <c r="I47" s="371"/>
      <c r="J47" s="371"/>
      <c r="K47" s="371"/>
    </row>
    <row r="48" spans="1:11" ht="12.75" customHeight="1" x14ac:dyDescent="0.2">
      <c r="D48" s="385"/>
      <c r="E48" s="371" t="s">
        <v>1003</v>
      </c>
      <c r="F48" s="371"/>
      <c r="G48" s="371"/>
      <c r="H48" s="371"/>
      <c r="I48" s="371"/>
      <c r="J48" s="371"/>
      <c r="K48" s="371"/>
    </row>
    <row r="49" spans="1:11" ht="12.75" customHeight="1" x14ac:dyDescent="0.2">
      <c r="D49" s="363"/>
      <c r="E49" s="371"/>
      <c r="F49" s="371"/>
      <c r="G49" s="371"/>
      <c r="H49" s="371"/>
      <c r="I49" s="371"/>
      <c r="J49" s="371"/>
      <c r="K49" s="371"/>
    </row>
    <row r="50" spans="1:11" x14ac:dyDescent="0.2">
      <c r="D50" s="908" t="s">
        <v>728</v>
      </c>
      <c r="E50" s="908"/>
      <c r="F50" s="908"/>
      <c r="G50" s="908"/>
      <c r="H50" s="908"/>
      <c r="I50" s="908"/>
      <c r="J50" s="908"/>
      <c r="K50" s="908"/>
    </row>
    <row r="51" spans="1:11" x14ac:dyDescent="0.2">
      <c r="D51" s="363"/>
    </row>
    <row r="52" spans="1:11" ht="12.75" customHeight="1" x14ac:dyDescent="0.2">
      <c r="D52" s="913" t="s">
        <v>729</v>
      </c>
      <c r="E52" s="913"/>
      <c r="F52" s="913"/>
      <c r="G52" s="913"/>
      <c r="H52" s="913"/>
      <c r="I52" s="913"/>
      <c r="J52" s="913"/>
      <c r="K52" s="913"/>
    </row>
    <row r="53" spans="1:11" x14ac:dyDescent="0.2">
      <c r="D53" s="913"/>
      <c r="E53" s="913"/>
      <c r="F53" s="913"/>
      <c r="G53" s="913"/>
      <c r="H53" s="913"/>
      <c r="I53" s="913"/>
      <c r="J53" s="913"/>
      <c r="K53" s="913"/>
    </row>
    <row r="54" spans="1:11" x14ac:dyDescent="0.2">
      <c r="D54" s="369"/>
      <c r="E54" s="369"/>
      <c r="F54" s="369"/>
      <c r="G54" s="369"/>
      <c r="H54" s="369"/>
      <c r="I54" s="369"/>
      <c r="J54" s="369"/>
      <c r="K54" s="369"/>
    </row>
    <row r="55" spans="1:11" x14ac:dyDescent="0.2">
      <c r="D55" s="913" t="s">
        <v>730</v>
      </c>
      <c r="E55" s="913"/>
      <c r="F55" s="913"/>
      <c r="G55" s="913"/>
      <c r="H55" s="913"/>
      <c r="I55" s="913"/>
      <c r="J55" s="913"/>
      <c r="K55" s="913"/>
    </row>
    <row r="56" spans="1:11" x14ac:dyDescent="0.2">
      <c r="D56" s="913"/>
      <c r="E56" s="913"/>
      <c r="F56" s="913"/>
      <c r="G56" s="913"/>
      <c r="H56" s="913"/>
      <c r="I56" s="913"/>
      <c r="J56" s="913"/>
      <c r="K56" s="913"/>
    </row>
    <row r="57" spans="1:11" ht="12.75" customHeight="1" x14ac:dyDescent="0.2">
      <c r="A57" s="816" t="s">
        <v>750</v>
      </c>
      <c r="D57" s="913"/>
      <c r="E57" s="913"/>
      <c r="F57" s="913"/>
      <c r="G57" s="913"/>
      <c r="H57" s="913"/>
      <c r="I57" s="913"/>
      <c r="J57" s="913"/>
      <c r="K57" s="913"/>
    </row>
    <row r="58" spans="1:11" x14ac:dyDescent="0.2">
      <c r="D58" s="913"/>
      <c r="E58" s="913"/>
      <c r="F58" s="913"/>
      <c r="G58" s="913"/>
      <c r="H58" s="913"/>
      <c r="I58" s="913"/>
      <c r="J58" s="913"/>
      <c r="K58" s="913"/>
    </row>
    <row r="59" spans="1:11" x14ac:dyDescent="0.2">
      <c r="D59" s="369"/>
      <c r="E59" s="369"/>
      <c r="F59" s="369"/>
      <c r="G59" s="369"/>
      <c r="H59" s="369"/>
      <c r="I59" s="369"/>
      <c r="J59" s="369"/>
      <c r="K59" s="369"/>
    </row>
    <row r="60" spans="1:11" x14ac:dyDescent="0.2">
      <c r="D60" s="913" t="s">
        <v>731</v>
      </c>
      <c r="E60" s="913"/>
      <c r="F60" s="913"/>
      <c r="G60" s="913"/>
      <c r="H60" s="913"/>
      <c r="I60" s="913"/>
      <c r="J60" s="913"/>
      <c r="K60" s="913"/>
    </row>
    <row r="61" spans="1:11" x14ac:dyDescent="0.2">
      <c r="D61" s="913"/>
      <c r="E61" s="913"/>
      <c r="F61" s="913"/>
      <c r="G61" s="913"/>
      <c r="H61" s="913"/>
      <c r="I61" s="913"/>
      <c r="J61" s="913"/>
      <c r="K61" s="913"/>
    </row>
    <row r="62" spans="1:11" x14ac:dyDescent="0.2">
      <c r="D62" s="913"/>
      <c r="E62" s="913"/>
      <c r="F62" s="913"/>
      <c r="G62" s="913"/>
      <c r="H62" s="913"/>
      <c r="I62" s="913"/>
      <c r="J62" s="913"/>
      <c r="K62" s="913"/>
    </row>
    <row r="64" spans="1:11" x14ac:dyDescent="0.2">
      <c r="D64" s="913" t="s">
        <v>732</v>
      </c>
      <c r="E64" s="913"/>
      <c r="F64" s="913"/>
      <c r="G64" s="913"/>
      <c r="H64" s="913"/>
      <c r="I64" s="913"/>
      <c r="J64" s="913"/>
      <c r="K64" s="913"/>
    </row>
    <row r="65" spans="4:11" x14ac:dyDescent="0.2">
      <c r="D65" s="913"/>
      <c r="E65" s="913"/>
      <c r="F65" s="913"/>
      <c r="G65" s="913"/>
      <c r="H65" s="913"/>
      <c r="I65" s="913"/>
      <c r="J65" s="913"/>
      <c r="K65" s="913"/>
    </row>
    <row r="66" spans="4:11" x14ac:dyDescent="0.2">
      <c r="D66" s="363"/>
    </row>
    <row r="67" spans="4:11" x14ac:dyDescent="0.2">
      <c r="D67" s="363"/>
    </row>
    <row r="68" spans="4:11" x14ac:dyDescent="0.2">
      <c r="D68" s="363" t="s">
        <v>733</v>
      </c>
    </row>
    <row r="69" spans="4:11" x14ac:dyDescent="0.2">
      <c r="D69" s="363" t="s">
        <v>734</v>
      </c>
    </row>
    <row r="71" spans="4:11" x14ac:dyDescent="0.2">
      <c r="D71" s="363" t="s">
        <v>735</v>
      </c>
    </row>
    <row r="72" spans="4:11" x14ac:dyDescent="0.2">
      <c r="D72" s="363" t="s">
        <v>1004</v>
      </c>
    </row>
    <row r="73" spans="4:11" x14ac:dyDescent="0.2">
      <c r="D73" s="363"/>
    </row>
    <row r="74" spans="4:11" x14ac:dyDescent="0.2">
      <c r="D74" s="363"/>
    </row>
    <row r="75" spans="4:11" x14ac:dyDescent="0.2">
      <c r="D75" s="363" t="s">
        <v>737</v>
      </c>
    </row>
    <row r="76" spans="4:11" x14ac:dyDescent="0.2">
      <c r="D76" s="363" t="s">
        <v>738</v>
      </c>
    </row>
    <row r="119" spans="1:11" ht="21" x14ac:dyDescent="0.35">
      <c r="A119" s="917" t="s">
        <v>726</v>
      </c>
      <c r="B119" s="917"/>
      <c r="C119" s="917"/>
      <c r="D119" s="917"/>
      <c r="E119" s="917"/>
      <c r="F119" s="917"/>
      <c r="G119" s="917"/>
      <c r="H119" s="917"/>
      <c r="I119" s="917"/>
      <c r="J119" s="917"/>
      <c r="K119" s="917"/>
    </row>
    <row r="120" spans="1:11" x14ac:dyDescent="0.2">
      <c r="A120" s="389"/>
      <c r="B120" s="390"/>
      <c r="C120" s="390"/>
      <c r="D120" s="390"/>
      <c r="E120" s="390"/>
      <c r="F120" s="390"/>
      <c r="G120" s="390"/>
      <c r="H120" s="390"/>
      <c r="I120" s="390"/>
      <c r="J120" s="390"/>
      <c r="K120" s="390"/>
    </row>
    <row r="121" spans="1:11" ht="15" customHeight="1" x14ac:dyDescent="0.2">
      <c r="A121" s="910" t="s">
        <v>774</v>
      </c>
      <c r="B121" s="910"/>
      <c r="C121" s="910"/>
      <c r="D121" s="910"/>
      <c r="E121" s="910"/>
      <c r="F121" s="910"/>
      <c r="G121" s="910"/>
      <c r="H121" s="910"/>
      <c r="I121" s="910"/>
      <c r="J121" s="910"/>
      <c r="K121" s="910"/>
    </row>
    <row r="122" spans="1:11" ht="15" customHeight="1" x14ac:dyDescent="0.2">
      <c r="A122" s="910"/>
      <c r="B122" s="910"/>
      <c r="C122" s="910"/>
      <c r="D122" s="910"/>
      <c r="E122" s="910"/>
      <c r="F122" s="910"/>
      <c r="G122" s="910"/>
      <c r="H122" s="910"/>
      <c r="I122" s="910"/>
      <c r="J122" s="910"/>
      <c r="K122" s="910"/>
    </row>
    <row r="123" spans="1:11" ht="15" customHeight="1" x14ac:dyDescent="0.2">
      <c r="A123" s="910"/>
      <c r="B123" s="910"/>
      <c r="C123" s="910"/>
      <c r="D123" s="910"/>
      <c r="E123" s="910"/>
      <c r="F123" s="910"/>
      <c r="G123" s="910"/>
      <c r="H123" s="910"/>
      <c r="I123" s="910"/>
      <c r="J123" s="910"/>
      <c r="K123" s="910"/>
    </row>
    <row r="124" spans="1:11" ht="15" customHeight="1" x14ac:dyDescent="0.2">
      <c r="A124" s="910"/>
      <c r="B124" s="910"/>
      <c r="C124" s="910"/>
      <c r="D124" s="910"/>
      <c r="E124" s="910"/>
      <c r="F124" s="910"/>
      <c r="G124" s="910"/>
      <c r="H124" s="910"/>
      <c r="I124" s="910"/>
      <c r="J124" s="910"/>
      <c r="K124" s="910"/>
    </row>
    <row r="125" spans="1:11" ht="15" customHeight="1" x14ac:dyDescent="0.2">
      <c r="A125" s="916" t="s">
        <v>775</v>
      </c>
      <c r="B125" s="916"/>
      <c r="C125" s="916"/>
      <c r="D125" s="916"/>
      <c r="E125" s="916"/>
      <c r="F125" s="916"/>
      <c r="G125" s="916"/>
      <c r="H125" s="916"/>
      <c r="I125" s="916"/>
      <c r="J125" s="916"/>
      <c r="K125" s="916"/>
    </row>
    <row r="126" spans="1:11" ht="15" customHeight="1" x14ac:dyDescent="0.2">
      <c r="A126" s="916"/>
      <c r="B126" s="916"/>
      <c r="C126" s="916"/>
      <c r="D126" s="916"/>
      <c r="E126" s="916"/>
      <c r="F126" s="916"/>
      <c r="G126" s="916"/>
      <c r="H126" s="916"/>
      <c r="I126" s="916"/>
      <c r="J126" s="916"/>
      <c r="K126" s="916"/>
    </row>
    <row r="127" spans="1:11" ht="15" customHeight="1" x14ac:dyDescent="0.2">
      <c r="A127" s="916"/>
      <c r="B127" s="916"/>
      <c r="C127" s="916"/>
      <c r="D127" s="916"/>
      <c r="E127" s="916"/>
      <c r="F127" s="916"/>
      <c r="G127" s="916"/>
      <c r="H127" s="916"/>
      <c r="I127" s="916"/>
      <c r="J127" s="916"/>
      <c r="K127" s="916"/>
    </row>
    <row r="128" spans="1:11" ht="15" customHeight="1" x14ac:dyDescent="0.2">
      <c r="A128" s="916"/>
      <c r="B128" s="916"/>
      <c r="C128" s="916"/>
      <c r="D128" s="916"/>
      <c r="E128" s="916"/>
      <c r="F128" s="916"/>
      <c r="G128" s="916"/>
      <c r="H128" s="916"/>
      <c r="I128" s="916"/>
      <c r="J128" s="916"/>
      <c r="K128" s="916"/>
    </row>
    <row r="129" spans="1:11" ht="15" customHeight="1" x14ac:dyDescent="0.2">
      <c r="A129" s="916"/>
      <c r="B129" s="916"/>
      <c r="C129" s="916"/>
      <c r="D129" s="916"/>
      <c r="E129" s="916"/>
      <c r="F129" s="916"/>
      <c r="G129" s="916"/>
      <c r="H129" s="916"/>
      <c r="I129" s="916"/>
      <c r="J129" s="916"/>
      <c r="K129" s="916"/>
    </row>
    <row r="130" spans="1:11" ht="25.5" customHeight="1" x14ac:dyDescent="0.2">
      <c r="A130" s="916"/>
      <c r="B130" s="916"/>
      <c r="C130" s="916"/>
      <c r="D130" s="916"/>
      <c r="E130" s="916"/>
      <c r="F130" s="916"/>
      <c r="G130" s="916"/>
      <c r="H130" s="916"/>
      <c r="I130" s="916"/>
      <c r="J130" s="916"/>
      <c r="K130" s="916"/>
    </row>
    <row r="131" spans="1:11" ht="15" customHeight="1" x14ac:dyDescent="0.2">
      <c r="A131" s="910" t="s">
        <v>776</v>
      </c>
      <c r="B131" s="910"/>
      <c r="C131" s="910"/>
      <c r="D131" s="910"/>
      <c r="E131" s="910"/>
      <c r="F131" s="910"/>
      <c r="G131" s="910"/>
      <c r="H131" s="910"/>
      <c r="I131" s="910"/>
      <c r="J131" s="910"/>
      <c r="K131" s="910"/>
    </row>
    <row r="132" spans="1:11" ht="15" customHeight="1" x14ac:dyDescent="0.2">
      <c r="A132" s="910"/>
      <c r="B132" s="910"/>
      <c r="C132" s="910"/>
      <c r="D132" s="910"/>
      <c r="E132" s="910"/>
      <c r="F132" s="910"/>
      <c r="G132" s="910"/>
      <c r="H132" s="910"/>
      <c r="I132" s="910"/>
      <c r="J132" s="910"/>
      <c r="K132" s="910"/>
    </row>
    <row r="133" spans="1:11" ht="15" customHeight="1" x14ac:dyDescent="0.2">
      <c r="A133" s="910"/>
      <c r="B133" s="910"/>
      <c r="C133" s="910"/>
      <c r="D133" s="910"/>
      <c r="E133" s="910"/>
      <c r="F133" s="910"/>
      <c r="G133" s="910"/>
      <c r="H133" s="910"/>
      <c r="I133" s="910"/>
      <c r="J133" s="910"/>
      <c r="K133" s="910"/>
    </row>
    <row r="134" spans="1:11" ht="23.25" customHeight="1" x14ac:dyDescent="0.2">
      <c r="A134" s="910"/>
      <c r="B134" s="910"/>
      <c r="C134" s="910"/>
      <c r="D134" s="910"/>
      <c r="E134" s="910"/>
      <c r="F134" s="910"/>
      <c r="G134" s="910"/>
      <c r="H134" s="910"/>
      <c r="I134" s="910"/>
      <c r="J134" s="910"/>
      <c r="K134" s="910"/>
    </row>
    <row r="135" spans="1:11" ht="15" customHeight="1" x14ac:dyDescent="0.2">
      <c r="A135" s="910" t="s">
        <v>777</v>
      </c>
      <c r="B135" s="910"/>
      <c r="C135" s="910"/>
      <c r="D135" s="910"/>
      <c r="E135" s="910"/>
      <c r="F135" s="910"/>
      <c r="G135" s="910"/>
      <c r="H135" s="910"/>
      <c r="I135" s="910"/>
      <c r="J135" s="910"/>
      <c r="K135" s="910"/>
    </row>
    <row r="136" spans="1:11" ht="15" customHeight="1" x14ac:dyDescent="0.2">
      <c r="A136" s="910"/>
      <c r="B136" s="910"/>
      <c r="C136" s="910"/>
      <c r="D136" s="910"/>
      <c r="E136" s="910"/>
      <c r="F136" s="910"/>
      <c r="G136" s="910"/>
      <c r="H136" s="910"/>
      <c r="I136" s="910"/>
      <c r="J136" s="910"/>
      <c r="K136" s="910"/>
    </row>
    <row r="137" spans="1:11" ht="15" customHeight="1" x14ac:dyDescent="0.2">
      <c r="A137" s="910"/>
      <c r="B137" s="910"/>
      <c r="C137" s="910"/>
      <c r="D137" s="910"/>
      <c r="E137" s="910"/>
      <c r="F137" s="910"/>
      <c r="G137" s="910"/>
      <c r="H137" s="910"/>
      <c r="I137" s="910"/>
      <c r="J137" s="910"/>
      <c r="K137" s="910"/>
    </row>
    <row r="138" spans="1:11" x14ac:dyDescent="0.2">
      <c r="A138" s="910"/>
      <c r="B138" s="910"/>
      <c r="C138" s="910"/>
      <c r="D138" s="910"/>
      <c r="E138" s="910"/>
      <c r="F138" s="910"/>
      <c r="G138" s="910"/>
      <c r="H138" s="910"/>
      <c r="I138" s="910"/>
      <c r="J138" s="910"/>
      <c r="K138" s="910"/>
    </row>
    <row r="139" spans="1:11" ht="24" customHeight="1" x14ac:dyDescent="0.2">
      <c r="A139" s="910"/>
      <c r="B139" s="910"/>
      <c r="C139" s="910"/>
      <c r="D139" s="910"/>
      <c r="E139" s="910"/>
      <c r="F139" s="910"/>
      <c r="G139" s="910"/>
      <c r="H139" s="910"/>
      <c r="I139" s="910"/>
      <c r="J139" s="910"/>
      <c r="K139" s="910"/>
    </row>
    <row r="140" spans="1:11" x14ac:dyDescent="0.2">
      <c r="A140" s="910" t="s">
        <v>778</v>
      </c>
      <c r="B140" s="910"/>
      <c r="C140" s="910"/>
      <c r="D140" s="910"/>
      <c r="E140" s="910"/>
      <c r="F140" s="910"/>
      <c r="G140" s="910"/>
      <c r="H140" s="910"/>
      <c r="I140" s="910"/>
      <c r="J140" s="910"/>
      <c r="K140" s="910"/>
    </row>
    <row r="141" spans="1:11" x14ac:dyDescent="0.2">
      <c r="A141" s="910"/>
      <c r="B141" s="910"/>
      <c r="C141" s="910"/>
      <c r="D141" s="910"/>
      <c r="E141" s="910"/>
      <c r="F141" s="910"/>
      <c r="G141" s="910"/>
      <c r="H141" s="910"/>
      <c r="I141" s="910"/>
      <c r="J141" s="910"/>
      <c r="K141" s="910"/>
    </row>
    <row r="142" spans="1:11" ht="22.5" customHeight="1" x14ac:dyDescent="0.2">
      <c r="A142" s="910"/>
      <c r="B142" s="910"/>
      <c r="C142" s="910"/>
      <c r="D142" s="910"/>
      <c r="E142" s="910"/>
      <c r="F142" s="910"/>
      <c r="G142" s="910"/>
      <c r="H142" s="910"/>
      <c r="I142" s="910"/>
      <c r="J142" s="910"/>
      <c r="K142" s="910"/>
    </row>
    <row r="143" spans="1:11" ht="15" customHeight="1" x14ac:dyDescent="0.2">
      <c r="A143" s="910" t="s">
        <v>779</v>
      </c>
      <c r="B143" s="910"/>
      <c r="C143" s="910"/>
      <c r="D143" s="910"/>
      <c r="E143" s="910"/>
      <c r="F143" s="910"/>
      <c r="G143" s="910"/>
      <c r="H143" s="910"/>
      <c r="I143" s="910"/>
      <c r="J143" s="910"/>
      <c r="K143" s="910"/>
    </row>
    <row r="144" spans="1:11" ht="15" customHeight="1" x14ac:dyDescent="0.2">
      <c r="A144" s="910"/>
      <c r="B144" s="910"/>
      <c r="C144" s="910"/>
      <c r="D144" s="910"/>
      <c r="E144" s="910"/>
      <c r="F144" s="910"/>
      <c r="G144" s="910"/>
      <c r="H144" s="910"/>
      <c r="I144" s="910"/>
      <c r="J144" s="910"/>
      <c r="K144" s="910"/>
    </row>
    <row r="145" spans="1:11" ht="27.75" customHeight="1" x14ac:dyDescent="0.2">
      <c r="A145" s="910"/>
      <c r="B145" s="910"/>
      <c r="C145" s="910"/>
      <c r="D145" s="910"/>
      <c r="E145" s="910"/>
      <c r="F145" s="910"/>
      <c r="G145" s="910"/>
      <c r="H145" s="910"/>
      <c r="I145" s="910"/>
      <c r="J145" s="910"/>
      <c r="K145" s="910"/>
    </row>
    <row r="146" spans="1:11" ht="15" customHeight="1" x14ac:dyDescent="0.2">
      <c r="A146" s="910" t="s">
        <v>780</v>
      </c>
      <c r="B146" s="910"/>
      <c r="C146" s="910"/>
      <c r="D146" s="910"/>
      <c r="E146" s="910"/>
      <c r="F146" s="910"/>
      <c r="G146" s="910"/>
      <c r="H146" s="910"/>
      <c r="I146" s="910"/>
      <c r="J146" s="910"/>
      <c r="K146" s="910"/>
    </row>
    <row r="147" spans="1:11" ht="15" customHeight="1" x14ac:dyDescent="0.2">
      <c r="A147" s="910"/>
      <c r="B147" s="910"/>
      <c r="C147" s="910"/>
      <c r="D147" s="910"/>
      <c r="E147" s="910"/>
      <c r="F147" s="910"/>
      <c r="G147" s="910"/>
      <c r="H147" s="910"/>
      <c r="I147" s="910"/>
      <c r="J147" s="910"/>
      <c r="K147" s="910"/>
    </row>
    <row r="148" spans="1:11" ht="15" customHeight="1" x14ac:dyDescent="0.2">
      <c r="A148" s="910"/>
      <c r="B148" s="910"/>
      <c r="C148" s="910"/>
      <c r="D148" s="910"/>
      <c r="E148" s="910"/>
      <c r="F148" s="910"/>
      <c r="G148" s="910"/>
      <c r="H148" s="910"/>
      <c r="I148" s="910"/>
      <c r="J148" s="910"/>
      <c r="K148" s="910"/>
    </row>
    <row r="149" spans="1:11" ht="24" customHeight="1" x14ac:dyDescent="0.2">
      <c r="A149" s="910"/>
      <c r="B149" s="910"/>
      <c r="C149" s="910"/>
      <c r="D149" s="910"/>
      <c r="E149" s="910"/>
      <c r="F149" s="910"/>
      <c r="G149" s="910"/>
      <c r="H149" s="910"/>
      <c r="I149" s="910"/>
      <c r="J149" s="910"/>
      <c r="K149" s="910"/>
    </row>
    <row r="150" spans="1:11" ht="15" customHeight="1" x14ac:dyDescent="0.2">
      <c r="A150" s="910" t="s">
        <v>781</v>
      </c>
      <c r="B150" s="910"/>
      <c r="C150" s="910"/>
      <c r="D150" s="910"/>
      <c r="E150" s="910"/>
      <c r="F150" s="910"/>
      <c r="G150" s="910"/>
      <c r="H150" s="910"/>
      <c r="I150" s="910"/>
      <c r="J150" s="910"/>
      <c r="K150" s="910"/>
    </row>
    <row r="151" spans="1:11" ht="27" customHeight="1" x14ac:dyDescent="0.2">
      <c r="A151" s="910"/>
      <c r="B151" s="910"/>
      <c r="C151" s="910"/>
      <c r="D151" s="910"/>
      <c r="E151" s="910"/>
      <c r="F151" s="910"/>
      <c r="G151" s="910"/>
      <c r="H151" s="910"/>
      <c r="I151" s="910"/>
      <c r="J151" s="910"/>
      <c r="K151" s="910"/>
    </row>
    <row r="152" spans="1:11" ht="15" customHeight="1" x14ac:dyDescent="0.2">
      <c r="A152" s="910" t="s">
        <v>782</v>
      </c>
      <c r="B152" s="910"/>
      <c r="C152" s="910"/>
      <c r="D152" s="910"/>
      <c r="E152" s="910"/>
      <c r="F152" s="910"/>
      <c r="G152" s="910"/>
      <c r="H152" s="910"/>
      <c r="I152" s="910"/>
      <c r="J152" s="910"/>
      <c r="K152" s="910"/>
    </row>
    <row r="153" spans="1:11" ht="15" customHeight="1" x14ac:dyDescent="0.2">
      <c r="A153" s="910"/>
      <c r="B153" s="910"/>
      <c r="C153" s="910"/>
      <c r="D153" s="910"/>
      <c r="E153" s="910"/>
      <c r="F153" s="910"/>
      <c r="G153" s="910"/>
      <c r="H153" s="910"/>
      <c r="I153" s="910"/>
      <c r="J153" s="910"/>
      <c r="K153" s="910"/>
    </row>
    <row r="154" spans="1:11" ht="15" customHeight="1" x14ac:dyDescent="0.2">
      <c r="A154" s="910"/>
      <c r="B154" s="910"/>
      <c r="C154" s="910"/>
      <c r="D154" s="910"/>
      <c r="E154" s="910"/>
      <c r="F154" s="910"/>
      <c r="G154" s="910"/>
      <c r="H154" s="910"/>
      <c r="I154" s="910"/>
      <c r="J154" s="910"/>
      <c r="K154" s="910"/>
    </row>
    <row r="155" spans="1:11" ht="15" customHeight="1" x14ac:dyDescent="0.2">
      <c r="A155" s="910"/>
      <c r="B155" s="910"/>
      <c r="C155" s="910"/>
      <c r="D155" s="910"/>
      <c r="E155" s="910"/>
      <c r="F155" s="910"/>
      <c r="G155" s="910"/>
      <c r="H155" s="910"/>
      <c r="I155" s="910"/>
      <c r="J155" s="910"/>
      <c r="K155" s="910"/>
    </row>
    <row r="156" spans="1:11" ht="26.25" customHeight="1" x14ac:dyDescent="0.2">
      <c r="A156" s="910"/>
      <c r="B156" s="910"/>
      <c r="C156" s="910"/>
      <c r="D156" s="910"/>
      <c r="E156" s="910"/>
      <c r="F156" s="910"/>
      <c r="G156" s="910"/>
      <c r="H156" s="910"/>
      <c r="I156" s="910"/>
      <c r="J156" s="910"/>
      <c r="K156" s="910"/>
    </row>
    <row r="157" spans="1:11" x14ac:dyDescent="0.2">
      <c r="A157" s="910" t="s">
        <v>783</v>
      </c>
      <c r="B157" s="910"/>
      <c r="C157" s="910"/>
      <c r="D157" s="910"/>
      <c r="E157" s="910"/>
      <c r="F157" s="910"/>
      <c r="G157" s="910"/>
      <c r="H157" s="910"/>
      <c r="I157" s="910"/>
      <c r="J157" s="910"/>
      <c r="K157" s="910"/>
    </row>
    <row r="158" spans="1:11" x14ac:dyDescent="0.2">
      <c r="A158" s="910"/>
      <c r="B158" s="910"/>
      <c r="C158" s="910"/>
      <c r="D158" s="910"/>
      <c r="E158" s="910"/>
      <c r="F158" s="910"/>
      <c r="G158" s="910"/>
      <c r="H158" s="910"/>
      <c r="I158" s="910"/>
      <c r="J158" s="910"/>
      <c r="K158" s="910"/>
    </row>
    <row r="159" spans="1:11" x14ac:dyDescent="0.2">
      <c r="A159" s="910"/>
      <c r="B159" s="910"/>
      <c r="C159" s="910"/>
      <c r="D159" s="910"/>
      <c r="E159" s="910"/>
      <c r="F159" s="910"/>
      <c r="G159" s="910"/>
      <c r="H159" s="910"/>
      <c r="I159" s="910"/>
      <c r="J159" s="910"/>
      <c r="K159" s="910"/>
    </row>
    <row r="160" spans="1:11" x14ac:dyDescent="0.2">
      <c r="A160" s="910"/>
      <c r="B160" s="910"/>
      <c r="C160" s="910"/>
      <c r="D160" s="910"/>
      <c r="E160" s="910"/>
      <c r="F160" s="910"/>
      <c r="G160" s="910"/>
      <c r="H160" s="910"/>
      <c r="I160" s="910"/>
      <c r="J160" s="910"/>
      <c r="K160" s="910"/>
    </row>
    <row r="161" spans="1:11" x14ac:dyDescent="0.2">
      <c r="A161" s="910"/>
      <c r="B161" s="910"/>
      <c r="C161" s="910"/>
      <c r="D161" s="910"/>
      <c r="E161" s="910"/>
      <c r="F161" s="910"/>
      <c r="G161" s="910"/>
      <c r="H161" s="910"/>
      <c r="I161" s="910"/>
      <c r="J161" s="910"/>
      <c r="K161" s="910"/>
    </row>
    <row r="162" spans="1:11" x14ac:dyDescent="0.2">
      <c r="A162" s="391"/>
      <c r="B162" s="391"/>
      <c r="C162" s="391"/>
      <c r="D162" s="391"/>
      <c r="E162" s="391"/>
      <c r="F162" s="391"/>
      <c r="G162" s="391"/>
      <c r="H162" s="391"/>
      <c r="I162" s="391"/>
      <c r="J162" s="391"/>
      <c r="K162" s="391"/>
    </row>
    <row r="163" spans="1:11" x14ac:dyDescent="0.2">
      <c r="A163" s="910" t="s">
        <v>784</v>
      </c>
      <c r="B163" s="910"/>
      <c r="C163" s="910"/>
      <c r="D163" s="910"/>
      <c r="E163" s="910"/>
      <c r="F163" s="910"/>
      <c r="G163" s="910"/>
      <c r="H163" s="910"/>
      <c r="I163" s="910"/>
      <c r="J163" s="910"/>
      <c r="K163" s="910"/>
    </row>
    <row r="164" spans="1:11" x14ac:dyDescent="0.2">
      <c r="A164" s="910"/>
      <c r="B164" s="910"/>
      <c r="C164" s="910"/>
      <c r="D164" s="910"/>
      <c r="E164" s="910"/>
      <c r="F164" s="910"/>
      <c r="G164" s="910"/>
      <c r="H164" s="910"/>
      <c r="I164" s="910"/>
      <c r="J164" s="910"/>
      <c r="K164" s="910"/>
    </row>
    <row r="165" spans="1:11" x14ac:dyDescent="0.2">
      <c r="A165" s="910"/>
      <c r="B165" s="910"/>
      <c r="C165" s="910"/>
      <c r="D165" s="910"/>
      <c r="E165" s="910"/>
      <c r="F165" s="910"/>
      <c r="G165" s="910"/>
      <c r="H165" s="910"/>
      <c r="I165" s="910"/>
      <c r="J165" s="910"/>
      <c r="K165" s="910"/>
    </row>
    <row r="166" spans="1:11" x14ac:dyDescent="0.2">
      <c r="A166" s="910"/>
      <c r="B166" s="910"/>
      <c r="C166" s="910"/>
      <c r="D166" s="910"/>
      <c r="E166" s="910"/>
      <c r="F166" s="910"/>
      <c r="G166" s="910"/>
      <c r="H166" s="910"/>
      <c r="I166" s="910"/>
      <c r="J166" s="910"/>
      <c r="K166" s="910"/>
    </row>
    <row r="167" spans="1:11" x14ac:dyDescent="0.2">
      <c r="A167" s="910"/>
      <c r="B167" s="910"/>
      <c r="C167" s="910"/>
      <c r="D167" s="910"/>
      <c r="E167" s="910"/>
      <c r="F167" s="910"/>
      <c r="G167" s="910"/>
      <c r="H167" s="910"/>
      <c r="I167" s="910"/>
      <c r="J167" s="910"/>
      <c r="K167" s="910"/>
    </row>
    <row r="168" spans="1:11" ht="17.25" customHeight="1" x14ac:dyDescent="0.2">
      <c r="A168" s="910"/>
      <c r="B168" s="910"/>
      <c r="C168" s="910"/>
      <c r="D168" s="910"/>
      <c r="E168" s="910"/>
      <c r="F168" s="910"/>
      <c r="G168" s="910"/>
      <c r="H168" s="910"/>
      <c r="I168" s="910"/>
      <c r="J168" s="910"/>
      <c r="K168" s="910"/>
    </row>
    <row r="169" spans="1:11" x14ac:dyDescent="0.2">
      <c r="A169" s="910" t="s">
        <v>785</v>
      </c>
      <c r="B169" s="910"/>
      <c r="C169" s="910"/>
      <c r="D169" s="910"/>
      <c r="E169" s="910"/>
      <c r="F169" s="910"/>
      <c r="G169" s="910"/>
      <c r="H169" s="910"/>
      <c r="I169" s="910"/>
      <c r="J169" s="910"/>
      <c r="K169" s="910"/>
    </row>
    <row r="170" spans="1:11" x14ac:dyDescent="0.2">
      <c r="A170" s="910"/>
      <c r="B170" s="910"/>
      <c r="C170" s="910"/>
      <c r="D170" s="910"/>
      <c r="E170" s="910"/>
      <c r="F170" s="910"/>
      <c r="G170" s="910"/>
      <c r="H170" s="910"/>
      <c r="I170" s="910"/>
      <c r="J170" s="910"/>
      <c r="K170" s="910"/>
    </row>
    <row r="171" spans="1:11" x14ac:dyDescent="0.2">
      <c r="A171" s="910"/>
      <c r="B171" s="910"/>
      <c r="C171" s="910"/>
      <c r="D171" s="910"/>
      <c r="E171" s="910"/>
      <c r="F171" s="910"/>
      <c r="G171" s="910"/>
      <c r="H171" s="910"/>
      <c r="I171" s="910"/>
      <c r="J171" s="910"/>
      <c r="K171" s="910"/>
    </row>
    <row r="172" spans="1:11" x14ac:dyDescent="0.2">
      <c r="A172" s="910"/>
      <c r="B172" s="910"/>
      <c r="C172" s="910"/>
      <c r="D172" s="910"/>
      <c r="E172" s="910"/>
      <c r="F172" s="910"/>
      <c r="G172" s="910"/>
      <c r="H172" s="910"/>
      <c r="I172" s="910"/>
      <c r="J172" s="910"/>
      <c r="K172" s="910"/>
    </row>
    <row r="173" spans="1:11" x14ac:dyDescent="0.2">
      <c r="A173" s="910"/>
      <c r="B173" s="910"/>
      <c r="C173" s="910"/>
      <c r="D173" s="910"/>
      <c r="E173" s="910"/>
      <c r="F173" s="910"/>
      <c r="G173" s="910"/>
      <c r="H173" s="910"/>
      <c r="I173" s="910"/>
      <c r="J173" s="910"/>
      <c r="K173" s="910"/>
    </row>
    <row r="174" spans="1:11" x14ac:dyDescent="0.2">
      <c r="A174" s="910"/>
      <c r="B174" s="910"/>
      <c r="C174" s="910"/>
      <c r="D174" s="910"/>
      <c r="E174" s="910"/>
      <c r="F174" s="910"/>
      <c r="G174" s="910"/>
      <c r="H174" s="910"/>
      <c r="I174" s="910"/>
      <c r="J174" s="910"/>
      <c r="K174" s="910"/>
    </row>
    <row r="175" spans="1:11" ht="26.25" customHeight="1" x14ac:dyDescent="0.2">
      <c r="A175" s="910"/>
      <c r="B175" s="910"/>
      <c r="C175" s="910"/>
      <c r="D175" s="910"/>
      <c r="E175" s="910"/>
      <c r="F175" s="910"/>
      <c r="G175" s="910"/>
      <c r="H175" s="910"/>
      <c r="I175" s="910"/>
      <c r="J175" s="910"/>
      <c r="K175" s="910"/>
    </row>
    <row r="176" spans="1:11" x14ac:dyDescent="0.2">
      <c r="A176" s="910" t="s">
        <v>786</v>
      </c>
      <c r="B176" s="910"/>
      <c r="C176" s="910"/>
      <c r="D176" s="910"/>
      <c r="E176" s="910"/>
      <c r="F176" s="910"/>
      <c r="G176" s="910"/>
      <c r="H176" s="910"/>
      <c r="I176" s="910"/>
      <c r="J176" s="910"/>
      <c r="K176" s="910"/>
    </row>
    <row r="177" spans="1:11" x14ac:dyDescent="0.2">
      <c r="A177" s="910"/>
      <c r="B177" s="910"/>
      <c r="C177" s="910"/>
      <c r="D177" s="910"/>
      <c r="E177" s="910"/>
      <c r="F177" s="910"/>
      <c r="G177" s="910"/>
      <c r="H177" s="910"/>
      <c r="I177" s="910"/>
      <c r="J177" s="910"/>
      <c r="K177" s="910"/>
    </row>
    <row r="178" spans="1:11" x14ac:dyDescent="0.2">
      <c r="A178" s="910"/>
      <c r="B178" s="910"/>
      <c r="C178" s="910"/>
      <c r="D178" s="910"/>
      <c r="E178" s="910"/>
      <c r="F178" s="910"/>
      <c r="G178" s="910"/>
      <c r="H178" s="910"/>
      <c r="I178" s="910"/>
      <c r="J178" s="910"/>
      <c r="K178" s="910"/>
    </row>
    <row r="179" spans="1:11" ht="18.75" customHeight="1" x14ac:dyDescent="0.2">
      <c r="A179" s="910"/>
      <c r="B179" s="910"/>
      <c r="C179" s="910"/>
      <c r="D179" s="910"/>
      <c r="E179" s="910"/>
      <c r="F179" s="910"/>
      <c r="G179" s="910"/>
      <c r="H179" s="910"/>
      <c r="I179" s="910"/>
      <c r="J179" s="910"/>
      <c r="K179" s="910"/>
    </row>
    <row r="180" spans="1:11" x14ac:dyDescent="0.2">
      <c r="A180" s="910" t="s">
        <v>787</v>
      </c>
      <c r="B180" s="910"/>
      <c r="C180" s="910"/>
      <c r="D180" s="910"/>
      <c r="E180" s="910"/>
      <c r="F180" s="910"/>
      <c r="G180" s="910"/>
      <c r="H180" s="910"/>
      <c r="I180" s="910"/>
      <c r="J180" s="910"/>
      <c r="K180" s="910"/>
    </row>
    <row r="181" spans="1:11" x14ac:dyDescent="0.2">
      <c r="A181" s="910"/>
      <c r="B181" s="910"/>
      <c r="C181" s="910"/>
      <c r="D181" s="910"/>
      <c r="E181" s="910"/>
      <c r="F181" s="910"/>
      <c r="G181" s="910"/>
      <c r="H181" s="910"/>
      <c r="I181" s="910"/>
      <c r="J181" s="910"/>
      <c r="K181" s="910"/>
    </row>
    <row r="182" spans="1:11" ht="19.5" customHeight="1" x14ac:dyDescent="0.2">
      <c r="A182" s="910"/>
      <c r="B182" s="910"/>
      <c r="C182" s="910"/>
      <c r="D182" s="910"/>
      <c r="E182" s="910"/>
      <c r="F182" s="910"/>
      <c r="G182" s="910"/>
      <c r="H182" s="910"/>
      <c r="I182" s="910"/>
      <c r="J182" s="910"/>
      <c r="K182" s="910"/>
    </row>
    <row r="183" spans="1:11" x14ac:dyDescent="0.2">
      <c r="A183" s="910" t="s">
        <v>788</v>
      </c>
      <c r="B183" s="910"/>
      <c r="C183" s="910"/>
      <c r="D183" s="910"/>
      <c r="E183" s="910"/>
      <c r="F183" s="910"/>
      <c r="G183" s="910"/>
      <c r="H183" s="910"/>
      <c r="I183" s="910"/>
      <c r="J183" s="910"/>
      <c r="K183" s="910"/>
    </row>
    <row r="184" spans="1:11" x14ac:dyDescent="0.2">
      <c r="A184" s="910"/>
      <c r="B184" s="910"/>
      <c r="C184" s="910"/>
      <c r="D184" s="910"/>
      <c r="E184" s="910"/>
      <c r="F184" s="910"/>
      <c r="G184" s="910"/>
      <c r="H184" s="910"/>
      <c r="I184" s="910"/>
      <c r="J184" s="910"/>
      <c r="K184" s="910"/>
    </row>
    <row r="185" spans="1:11" x14ac:dyDescent="0.2">
      <c r="A185" s="910"/>
      <c r="B185" s="910"/>
      <c r="C185" s="910"/>
      <c r="D185" s="910"/>
      <c r="E185" s="910"/>
      <c r="F185" s="910"/>
      <c r="G185" s="910"/>
      <c r="H185" s="910"/>
      <c r="I185" s="910"/>
      <c r="J185" s="910"/>
      <c r="K185" s="910"/>
    </row>
    <row r="186" spans="1:11" x14ac:dyDescent="0.2">
      <c r="A186" s="910"/>
      <c r="B186" s="910"/>
      <c r="C186" s="910"/>
      <c r="D186" s="910"/>
      <c r="E186" s="910"/>
      <c r="F186" s="910"/>
      <c r="G186" s="910"/>
      <c r="H186" s="910"/>
      <c r="I186" s="910"/>
      <c r="J186" s="910"/>
      <c r="K186" s="910"/>
    </row>
    <row r="187" spans="1:11" x14ac:dyDescent="0.2">
      <c r="A187" s="910"/>
      <c r="B187" s="910"/>
      <c r="C187" s="910"/>
      <c r="D187" s="910"/>
      <c r="E187" s="910"/>
      <c r="F187" s="910"/>
      <c r="G187" s="910"/>
      <c r="H187" s="910"/>
      <c r="I187" s="910"/>
      <c r="J187" s="910"/>
      <c r="K187" s="910"/>
    </row>
    <row r="188" spans="1:11" x14ac:dyDescent="0.2">
      <c r="A188" s="910"/>
      <c r="B188" s="910"/>
      <c r="C188" s="910"/>
      <c r="D188" s="910"/>
      <c r="E188" s="910"/>
      <c r="F188" s="910"/>
      <c r="G188" s="910"/>
      <c r="H188" s="910"/>
      <c r="I188" s="910"/>
      <c r="J188" s="910"/>
      <c r="K188" s="910"/>
    </row>
    <row r="189" spans="1:11" x14ac:dyDescent="0.2">
      <c r="A189" s="910"/>
      <c r="B189" s="910"/>
      <c r="C189" s="910"/>
      <c r="D189" s="910"/>
      <c r="E189" s="910"/>
      <c r="F189" s="910"/>
      <c r="G189" s="910"/>
      <c r="H189" s="910"/>
      <c r="I189" s="910"/>
      <c r="J189" s="910"/>
      <c r="K189" s="910"/>
    </row>
    <row r="190" spans="1:11" x14ac:dyDescent="0.2">
      <c r="A190" s="910"/>
      <c r="B190" s="910"/>
      <c r="C190" s="910"/>
      <c r="D190" s="910"/>
      <c r="E190" s="910"/>
      <c r="F190" s="910"/>
      <c r="G190" s="910"/>
      <c r="H190" s="910"/>
      <c r="I190" s="910"/>
      <c r="J190" s="910"/>
      <c r="K190" s="910"/>
    </row>
    <row r="191" spans="1:11" x14ac:dyDescent="0.2">
      <c r="A191" s="910" t="s">
        <v>789</v>
      </c>
      <c r="B191" s="910"/>
      <c r="C191" s="910"/>
      <c r="D191" s="910"/>
      <c r="E191" s="910"/>
      <c r="F191" s="910"/>
      <c r="G191" s="910"/>
      <c r="H191" s="910"/>
      <c r="I191" s="910"/>
      <c r="J191" s="910"/>
      <c r="K191" s="910"/>
    </row>
    <row r="192" spans="1:11" x14ac:dyDescent="0.2">
      <c r="A192" s="910"/>
      <c r="B192" s="910"/>
      <c r="C192" s="910"/>
      <c r="D192" s="910"/>
      <c r="E192" s="910"/>
      <c r="F192" s="910"/>
      <c r="G192" s="910"/>
      <c r="H192" s="910"/>
      <c r="I192" s="910"/>
      <c r="J192" s="910"/>
      <c r="K192" s="910"/>
    </row>
    <row r="193" spans="1:11" ht="20.25" customHeight="1" x14ac:dyDescent="0.2">
      <c r="A193" s="910"/>
      <c r="B193" s="910"/>
      <c r="C193" s="910"/>
      <c r="D193" s="910"/>
      <c r="E193" s="910"/>
      <c r="F193" s="910"/>
      <c r="G193" s="910"/>
      <c r="H193" s="910"/>
      <c r="I193" s="910"/>
      <c r="J193" s="910"/>
      <c r="K193" s="910"/>
    </row>
    <row r="194" spans="1:11" x14ac:dyDescent="0.2">
      <c r="A194" s="910" t="s">
        <v>790</v>
      </c>
      <c r="B194" s="910"/>
      <c r="C194" s="910"/>
      <c r="D194" s="910"/>
      <c r="E194" s="910"/>
      <c r="F194" s="910"/>
      <c r="G194" s="910"/>
      <c r="H194" s="910"/>
      <c r="I194" s="910"/>
      <c r="J194" s="910"/>
      <c r="K194" s="910"/>
    </row>
    <row r="195" spans="1:11" x14ac:dyDescent="0.2">
      <c r="A195" s="910"/>
      <c r="B195" s="910"/>
      <c r="C195" s="910"/>
      <c r="D195" s="910"/>
      <c r="E195" s="910"/>
      <c r="F195" s="910"/>
      <c r="G195" s="910"/>
      <c r="H195" s="910"/>
      <c r="I195" s="910"/>
      <c r="J195" s="910"/>
      <c r="K195" s="910"/>
    </row>
    <row r="196" spans="1:11" x14ac:dyDescent="0.2">
      <c r="A196" s="910"/>
      <c r="B196" s="910"/>
      <c r="C196" s="910"/>
      <c r="D196" s="910"/>
      <c r="E196" s="910"/>
      <c r="F196" s="910"/>
      <c r="G196" s="910"/>
      <c r="H196" s="910"/>
      <c r="I196" s="910"/>
      <c r="J196" s="910"/>
      <c r="K196" s="910"/>
    </row>
    <row r="197" spans="1:11" ht="15" customHeight="1" x14ac:dyDescent="0.2">
      <c r="A197" s="910"/>
      <c r="B197" s="910"/>
      <c r="C197" s="910"/>
      <c r="D197" s="910"/>
      <c r="E197" s="910"/>
      <c r="F197" s="910"/>
      <c r="G197" s="910"/>
      <c r="H197" s="910"/>
      <c r="I197" s="910"/>
      <c r="J197" s="910"/>
      <c r="K197" s="910"/>
    </row>
    <row r="198" spans="1:11" ht="15" customHeight="1" x14ac:dyDescent="0.2">
      <c r="A198" s="910"/>
      <c r="B198" s="910"/>
      <c r="C198" s="910"/>
      <c r="D198" s="910"/>
      <c r="E198" s="910"/>
      <c r="F198" s="910"/>
      <c r="G198" s="910"/>
      <c r="H198" s="910"/>
      <c r="I198" s="910"/>
      <c r="J198" s="910"/>
      <c r="K198" s="910"/>
    </row>
    <row r="199" spans="1:11" x14ac:dyDescent="0.2">
      <c r="A199" s="910"/>
      <c r="B199" s="910"/>
      <c r="C199" s="910"/>
      <c r="D199" s="910"/>
      <c r="E199" s="910"/>
      <c r="F199" s="910"/>
      <c r="G199" s="910"/>
      <c r="H199" s="910"/>
      <c r="I199" s="910"/>
      <c r="J199" s="910"/>
      <c r="K199" s="910"/>
    </row>
    <row r="200" spans="1:11" x14ac:dyDescent="0.2">
      <c r="A200" s="910"/>
      <c r="B200" s="910"/>
      <c r="C200" s="910"/>
      <c r="D200" s="910"/>
      <c r="E200" s="910"/>
      <c r="F200" s="910"/>
      <c r="G200" s="910"/>
      <c r="H200" s="910"/>
      <c r="I200" s="910"/>
      <c r="J200" s="910"/>
      <c r="K200" s="910"/>
    </row>
  </sheetData>
  <sheetProtection formatCells="0" formatColumns="0" formatRows="0" insertColumns="0" insertRows="0" insertHyperlinks="0" deleteColumns="0" deleteRows="0" sort="0" autoFilter="0" pivotTables="0"/>
  <mergeCells count="33">
    <mergeCell ref="G23:K24"/>
    <mergeCell ref="A191:K193"/>
    <mergeCell ref="F17:K17"/>
    <mergeCell ref="A146:K149"/>
    <mergeCell ref="A150:K151"/>
    <mergeCell ref="D8:G8"/>
    <mergeCell ref="A121:K124"/>
    <mergeCell ref="A125:K130"/>
    <mergeCell ref="A131:K134"/>
    <mergeCell ref="A119:K119"/>
    <mergeCell ref="D55:K58"/>
    <mergeCell ref="D60:K62"/>
    <mergeCell ref="D64:K65"/>
    <mergeCell ref="D13:G13"/>
    <mergeCell ref="D14:G14"/>
    <mergeCell ref="D27:F27"/>
    <mergeCell ref="D11:G11"/>
    <mergeCell ref="D50:K50"/>
    <mergeCell ref="D19:K20"/>
    <mergeCell ref="A143:K145"/>
    <mergeCell ref="D12:G12"/>
    <mergeCell ref="A194:K200"/>
    <mergeCell ref="F25:G25"/>
    <mergeCell ref="A180:K182"/>
    <mergeCell ref="A183:K190"/>
    <mergeCell ref="D52:K53"/>
    <mergeCell ref="A152:K156"/>
    <mergeCell ref="A157:K161"/>
    <mergeCell ref="A163:K168"/>
    <mergeCell ref="A169:K175"/>
    <mergeCell ref="A176:K179"/>
    <mergeCell ref="A135:K139"/>
    <mergeCell ref="A140:K142"/>
  </mergeCells>
  <dataValidations count="2">
    <dataValidation type="list" allowBlank="1" showInputMessage="1" showErrorMessage="1" sqref="F26" xr:uid="{00000000-0002-0000-0700-000000000000}">
      <formula1>$M$19:$M$21</formula1>
    </dataValidation>
    <dataValidation type="list" allowBlank="1" showInputMessage="1" showErrorMessage="1" sqref="F25:G25" xr:uid="{00000000-0002-0000-0700-000002000000}">
      <formula1>$M$19:$M$25</formula1>
    </dataValidation>
  </dataValidations>
  <printOptions horizontalCentered="1"/>
  <pageMargins left="0.5" right="0.5" top="0.5" bottom="0.5" header="0.5" footer="0.25"/>
  <pageSetup orientation="portrait" r:id="rId1"/>
  <headerFooter>
    <oddFooter>Page &amp;P of &amp;N</oddFooter>
  </headerFooter>
  <drawing r:id="rId2"/>
  <extLst>
    <ext xmlns:x14="http://schemas.microsoft.com/office/spreadsheetml/2009/9/main" uri="{CCE6A557-97BC-4b89-ADB6-D9C93CAAB3DF}">
      <x14:dataValidations xmlns:xm="http://schemas.microsoft.com/office/excel/2006/main" count="1">
        <x14:dataValidation type="list" showInputMessage="1" xr:uid="{00000000-0002-0000-0700-000001000000}">
          <x14:formula1>
            <xm:f>'Cust. Names'!A3:A100</xm:f>
          </x14:formula1>
          <xm:sqref>D11:G11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theme="8" tint="0.39997558519241921"/>
  </sheetPr>
  <dimension ref="A8:M199"/>
  <sheetViews>
    <sheetView workbookViewId="0">
      <selection activeCell="L22" sqref="L22"/>
    </sheetView>
  </sheetViews>
  <sheetFormatPr defaultColWidth="8.85546875" defaultRowHeight="12.75" x14ac:dyDescent="0.2"/>
  <cols>
    <col min="1" max="1" width="8.85546875" style="364"/>
    <col min="2" max="2" width="6.140625" style="364" customWidth="1"/>
    <col min="3" max="3" width="2.42578125" style="364" customWidth="1"/>
    <col min="4" max="4" width="4.28515625" style="364" customWidth="1"/>
    <col min="5" max="10" width="8.85546875" style="364"/>
    <col min="11" max="11" width="15.42578125" style="364" customWidth="1"/>
    <col min="12" max="12" width="8.85546875" style="364"/>
    <col min="13" max="13" width="9.140625" style="364" hidden="1" customWidth="1"/>
    <col min="14" max="16384" width="8.85546875" style="364"/>
  </cols>
  <sheetData>
    <row r="8" spans="1:11" x14ac:dyDescent="0.2">
      <c r="D8" s="915">
        <f ca="1">'Base Bid'!C4</f>
        <v>46048</v>
      </c>
      <c r="E8" s="915"/>
      <c r="F8" s="915"/>
      <c r="G8" s="915"/>
    </row>
    <row r="9" spans="1:11" ht="12.75" customHeight="1" x14ac:dyDescent="0.2">
      <c r="D9" s="368"/>
    </row>
    <row r="10" spans="1:11" ht="12.75" customHeight="1" x14ac:dyDescent="0.2"/>
    <row r="11" spans="1:11" ht="12.75" customHeight="1" x14ac:dyDescent="0.2">
      <c r="D11" s="911">
        <f>'Base Bid'!C6</f>
        <v>0</v>
      </c>
      <c r="E11" s="911"/>
      <c r="F11" s="911"/>
      <c r="G11" s="911"/>
      <c r="H11" s="372"/>
      <c r="I11" s="372"/>
      <c r="J11" s="372"/>
      <c r="K11" s="372"/>
    </row>
    <row r="12" spans="1:11" ht="12.75" customHeight="1" x14ac:dyDescent="0.2">
      <c r="D12" s="921"/>
      <c r="E12" s="921"/>
      <c r="F12" s="921"/>
      <c r="G12" s="921"/>
      <c r="H12" s="372"/>
      <c r="I12" s="372"/>
      <c r="J12" s="372"/>
      <c r="K12" s="372"/>
    </row>
    <row r="13" spans="1:11" ht="12.75" customHeight="1" x14ac:dyDescent="0.2">
      <c r="A13" s="365" t="s">
        <v>739</v>
      </c>
      <c r="D13" s="921"/>
      <c r="E13" s="921"/>
      <c r="F13" s="921"/>
      <c r="G13" s="921"/>
      <c r="H13" s="372"/>
      <c r="I13" s="372"/>
      <c r="J13" s="372"/>
      <c r="K13" s="372"/>
    </row>
    <row r="14" spans="1:11" ht="12.75" customHeight="1" x14ac:dyDescent="0.2">
      <c r="A14" s="365"/>
      <c r="D14" s="921"/>
      <c r="E14" s="921"/>
      <c r="F14" s="921"/>
      <c r="G14" s="921"/>
      <c r="H14" s="372"/>
      <c r="I14" s="372"/>
      <c r="J14" s="372"/>
      <c r="K14" s="372"/>
    </row>
    <row r="15" spans="1:11" ht="12.75" customHeight="1" x14ac:dyDescent="0.2">
      <c r="A15" s="366" t="s">
        <v>740</v>
      </c>
      <c r="D15" s="373"/>
      <c r="E15" s="373"/>
      <c r="F15" s="373"/>
      <c r="G15" s="373"/>
      <c r="H15" s="372"/>
      <c r="I15" s="372"/>
      <c r="J15" s="372"/>
      <c r="K15" s="372"/>
    </row>
    <row r="16" spans="1:11" ht="12.75" customHeight="1" x14ac:dyDescent="0.2">
      <c r="A16" s="366" t="s">
        <v>741</v>
      </c>
      <c r="D16" s="374"/>
      <c r="E16" s="372"/>
      <c r="F16" s="372"/>
      <c r="G16" s="372"/>
      <c r="H16" s="372"/>
      <c r="I16" s="372"/>
      <c r="J16" s="372"/>
      <c r="K16" s="372"/>
    </row>
    <row r="17" spans="1:13" ht="12.75" customHeight="1" x14ac:dyDescent="0.2">
      <c r="A17" s="366" t="s">
        <v>742</v>
      </c>
      <c r="D17" s="375" t="s">
        <v>767</v>
      </c>
      <c r="E17" s="372"/>
      <c r="F17" s="922" t="str">
        <f>'Base Bid'!C3</f>
        <v xml:space="preserve">Test Phoenix Project </v>
      </c>
      <c r="G17" s="922"/>
      <c r="H17" s="922"/>
      <c r="I17" s="922"/>
      <c r="J17" s="922"/>
      <c r="K17" s="922"/>
    </row>
    <row r="18" spans="1:13" ht="12.75" customHeight="1" x14ac:dyDescent="0.2">
      <c r="A18" s="366" t="s">
        <v>743</v>
      </c>
      <c r="D18" s="374"/>
      <c r="E18" s="372"/>
      <c r="F18" s="372"/>
      <c r="G18" s="372"/>
      <c r="H18" s="372"/>
      <c r="I18" s="372"/>
      <c r="J18" s="372"/>
      <c r="K18" s="372"/>
      <c r="M18" s="395" t="s">
        <v>791</v>
      </c>
    </row>
    <row r="19" spans="1:13" ht="12.75" customHeight="1" x14ac:dyDescent="0.2">
      <c r="A19" s="366" t="s">
        <v>744</v>
      </c>
      <c r="D19" s="909" t="s">
        <v>773</v>
      </c>
      <c r="E19" s="909"/>
      <c r="F19" s="909"/>
      <c r="G19" s="909"/>
      <c r="H19" s="909"/>
      <c r="I19" s="909"/>
      <c r="J19" s="909"/>
      <c r="K19" s="909"/>
      <c r="M19" s="364" t="s">
        <v>763</v>
      </c>
    </row>
    <row r="20" spans="1:13" ht="12.75" customHeight="1" x14ac:dyDescent="0.2">
      <c r="A20" s="367"/>
      <c r="D20" s="909"/>
      <c r="E20" s="909"/>
      <c r="F20" s="909"/>
      <c r="G20" s="909"/>
      <c r="H20" s="909"/>
      <c r="I20" s="909"/>
      <c r="J20" s="909"/>
      <c r="K20" s="909"/>
      <c r="M20" s="364" t="s">
        <v>764</v>
      </c>
    </row>
    <row r="21" spans="1:13" ht="12.75" customHeight="1" x14ac:dyDescent="0.2">
      <c r="A21" s="367"/>
      <c r="D21" s="374"/>
      <c r="E21" s="372"/>
      <c r="F21" s="372"/>
      <c r="G21" s="372"/>
      <c r="H21" s="372"/>
      <c r="I21" s="372"/>
      <c r="J21" s="372"/>
      <c r="K21" s="372"/>
      <c r="M21" s="364" t="s">
        <v>766</v>
      </c>
    </row>
    <row r="22" spans="1:13" ht="12.75" customHeight="1" x14ac:dyDescent="0.2">
      <c r="A22" s="367"/>
      <c r="D22" s="374" t="s">
        <v>762</v>
      </c>
      <c r="E22" s="372"/>
      <c r="F22" s="923" t="s">
        <v>766</v>
      </c>
      <c r="G22" s="923"/>
      <c r="H22" s="372"/>
      <c r="I22" s="372"/>
      <c r="J22" s="376" t="s">
        <v>770</v>
      </c>
      <c r="K22" s="377">
        <f>'Base Bid'!R211</f>
        <v>100983.74400000001</v>
      </c>
    </row>
    <row r="23" spans="1:13" ht="12.75" customHeight="1" x14ac:dyDescent="0.2">
      <c r="A23" s="367"/>
      <c r="D23" s="372"/>
      <c r="E23" s="372"/>
      <c r="F23" s="372"/>
      <c r="G23" s="372"/>
      <c r="H23" s="372"/>
      <c r="I23" s="372"/>
      <c r="J23" s="376" t="s">
        <v>771</v>
      </c>
      <c r="K23" s="387">
        <f>'Base Bid'!X211</f>
        <v>65556.837743616008</v>
      </c>
      <c r="M23" s="395" t="s">
        <v>792</v>
      </c>
    </row>
    <row r="24" spans="1:13" ht="12.75" customHeight="1" thickBot="1" x14ac:dyDescent="0.25">
      <c r="A24" s="367"/>
      <c r="D24" s="372"/>
      <c r="E24" s="378"/>
      <c r="F24" s="378"/>
      <c r="G24" s="378"/>
      <c r="H24" s="378"/>
      <c r="I24" s="392"/>
      <c r="J24" s="393" t="s">
        <v>769</v>
      </c>
      <c r="K24" s="394">
        <f>'Base Bid'!AB211</f>
        <v>32400</v>
      </c>
      <c r="M24" s="364" t="s">
        <v>793</v>
      </c>
    </row>
    <row r="25" spans="1:13" ht="12.75" customHeight="1" x14ac:dyDescent="0.2">
      <c r="A25" s="367"/>
      <c r="G25" s="378"/>
      <c r="H25" s="378"/>
      <c r="I25" s="378"/>
      <c r="J25" s="386" t="s">
        <v>772</v>
      </c>
      <c r="K25" s="388">
        <f>'Base Bid'!AH214</f>
        <v>198940.58174361603</v>
      </c>
      <c r="M25" s="364" t="s">
        <v>794</v>
      </c>
    </row>
    <row r="26" spans="1:13" ht="12.75" customHeight="1" x14ac:dyDescent="0.2">
      <c r="A26" s="365" t="s">
        <v>745</v>
      </c>
      <c r="D26" s="918" t="s">
        <v>751</v>
      </c>
      <c r="E26" s="918"/>
      <c r="F26" s="918"/>
      <c r="G26" s="370"/>
      <c r="H26" s="370"/>
      <c r="I26" s="370"/>
      <c r="J26" s="370"/>
      <c r="K26" s="370"/>
    </row>
    <row r="27" spans="1:13" ht="12.75" customHeight="1" x14ac:dyDescent="0.2">
      <c r="A27" s="366" t="s">
        <v>746</v>
      </c>
      <c r="D27" s="375"/>
      <c r="E27" s="370"/>
      <c r="F27" s="370"/>
      <c r="G27" s="370"/>
      <c r="H27" s="370"/>
      <c r="I27" s="370"/>
      <c r="J27" s="370"/>
      <c r="K27" s="370"/>
    </row>
    <row r="28" spans="1:13" ht="12.75" customHeight="1" x14ac:dyDescent="0.2">
      <c r="A28" s="366" t="s">
        <v>747</v>
      </c>
      <c r="D28" s="379"/>
      <c r="E28" s="370"/>
      <c r="F28" s="370"/>
      <c r="G28" s="370"/>
      <c r="H28" s="370"/>
      <c r="I28" s="370"/>
      <c r="J28" s="370"/>
      <c r="K28" s="370"/>
    </row>
    <row r="29" spans="1:13" ht="12.75" customHeight="1" x14ac:dyDescent="0.2">
      <c r="A29" s="366" t="s">
        <v>748</v>
      </c>
      <c r="D29" s="372"/>
      <c r="E29" s="370"/>
      <c r="F29" s="370"/>
      <c r="G29" s="370"/>
      <c r="H29" s="370"/>
      <c r="I29" s="370"/>
      <c r="J29" s="370"/>
      <c r="K29" s="370"/>
    </row>
    <row r="30" spans="1:13" ht="12.75" customHeight="1" x14ac:dyDescent="0.2">
      <c r="A30" s="366" t="s">
        <v>749</v>
      </c>
      <c r="D30" s="381"/>
      <c r="E30" s="370"/>
      <c r="F30" s="370"/>
      <c r="G30" s="370"/>
      <c r="H30" s="370"/>
      <c r="I30" s="370"/>
      <c r="J30" s="370"/>
      <c r="K30" s="370"/>
    </row>
    <row r="31" spans="1:13" ht="12.75" customHeight="1" x14ac:dyDescent="0.2">
      <c r="A31" s="363"/>
      <c r="D31" s="381"/>
      <c r="E31" s="370"/>
      <c r="F31" s="370"/>
      <c r="G31" s="370"/>
      <c r="H31" s="370"/>
      <c r="I31" s="370"/>
      <c r="J31" s="370"/>
      <c r="K31" s="370"/>
    </row>
    <row r="32" spans="1:13" ht="12.75" customHeight="1" x14ac:dyDescent="0.2">
      <c r="A32" s="367"/>
      <c r="D32" s="381"/>
      <c r="E32" s="370"/>
      <c r="F32" s="370"/>
      <c r="G32" s="370"/>
      <c r="H32" s="370"/>
      <c r="I32" s="370"/>
      <c r="J32" s="370"/>
      <c r="K32" s="370"/>
    </row>
    <row r="33" spans="1:11" ht="12.75" customHeight="1" x14ac:dyDescent="0.2">
      <c r="A33" s="367"/>
      <c r="D33" s="381"/>
      <c r="E33" s="370"/>
      <c r="F33" s="370"/>
      <c r="G33" s="370"/>
      <c r="H33" s="370"/>
      <c r="I33" s="370"/>
      <c r="J33" s="370"/>
      <c r="K33" s="370"/>
    </row>
    <row r="34" spans="1:11" ht="12.75" customHeight="1" x14ac:dyDescent="0.2">
      <c r="A34" s="367"/>
      <c r="D34" s="381"/>
      <c r="E34" s="370"/>
      <c r="F34" s="370"/>
      <c r="G34" s="370"/>
      <c r="H34" s="370"/>
      <c r="I34" s="370"/>
      <c r="J34" s="370"/>
      <c r="K34" s="370"/>
    </row>
    <row r="35" spans="1:11" ht="12.75" customHeight="1" x14ac:dyDescent="0.2">
      <c r="A35" s="367"/>
      <c r="D35" s="382"/>
      <c r="E35" s="372"/>
      <c r="F35" s="372"/>
      <c r="G35" s="372"/>
      <c r="H35" s="372"/>
      <c r="I35" s="372"/>
      <c r="J35" s="372"/>
      <c r="K35" s="372"/>
    </row>
    <row r="36" spans="1:11" ht="12.75" customHeight="1" x14ac:dyDescent="0.2">
      <c r="A36" s="365" t="s">
        <v>750</v>
      </c>
      <c r="D36" s="383" t="s">
        <v>727</v>
      </c>
      <c r="E36" s="372"/>
      <c r="F36" s="372"/>
      <c r="G36" s="372"/>
      <c r="H36" s="372"/>
      <c r="I36" s="372"/>
      <c r="J36" s="372"/>
      <c r="K36" s="372"/>
    </row>
    <row r="37" spans="1:11" ht="12.75" customHeight="1" x14ac:dyDescent="0.2">
      <c r="D37" s="374" t="s">
        <v>768</v>
      </c>
      <c r="E37" s="372"/>
      <c r="F37" s="372"/>
      <c r="G37" s="372"/>
      <c r="H37" s="372"/>
      <c r="I37" s="372"/>
      <c r="J37" s="372"/>
      <c r="K37" s="372"/>
    </row>
    <row r="38" spans="1:11" ht="12.75" customHeight="1" x14ac:dyDescent="0.2">
      <c r="D38" s="384"/>
      <c r="E38" s="370"/>
      <c r="F38" s="370"/>
      <c r="G38" s="370"/>
      <c r="H38" s="370"/>
      <c r="I38" s="370"/>
      <c r="J38" s="370"/>
      <c r="K38" s="370"/>
    </row>
    <row r="39" spans="1:11" ht="12.75" customHeight="1" x14ac:dyDescent="0.2">
      <c r="D39" s="384"/>
      <c r="E39" s="370" t="s">
        <v>752</v>
      </c>
      <c r="F39" s="370"/>
      <c r="G39" s="370"/>
      <c r="H39" s="370"/>
      <c r="I39" s="370" t="s">
        <v>761</v>
      </c>
      <c r="J39" s="370"/>
      <c r="K39" s="370"/>
    </row>
    <row r="40" spans="1:11" ht="12.75" customHeight="1" x14ac:dyDescent="0.2">
      <c r="D40" s="384"/>
      <c r="E40" s="370" t="s">
        <v>753</v>
      </c>
      <c r="F40" s="370"/>
      <c r="G40" s="370"/>
      <c r="H40" s="370"/>
      <c r="I40" s="370"/>
      <c r="J40" s="370"/>
      <c r="K40" s="370"/>
    </row>
    <row r="41" spans="1:11" ht="12.75" customHeight="1" x14ac:dyDescent="0.2">
      <c r="D41" s="384"/>
      <c r="E41" s="370" t="s">
        <v>754</v>
      </c>
      <c r="F41" s="370"/>
      <c r="G41" s="370"/>
      <c r="H41" s="370"/>
      <c r="I41" s="370"/>
      <c r="J41" s="370"/>
      <c r="K41" s="370"/>
    </row>
    <row r="42" spans="1:11" ht="12.75" customHeight="1" x14ac:dyDescent="0.2">
      <c r="D42" s="384"/>
      <c r="E42" s="370" t="s">
        <v>755</v>
      </c>
      <c r="F42" s="370"/>
      <c r="G42" s="370"/>
      <c r="H42" s="370"/>
      <c r="I42" s="370"/>
      <c r="J42" s="370"/>
      <c r="K42" s="370"/>
    </row>
    <row r="43" spans="1:11" ht="12.75" customHeight="1" x14ac:dyDescent="0.2">
      <c r="D43" s="384"/>
      <c r="E43" s="370" t="s">
        <v>756</v>
      </c>
      <c r="F43" s="370"/>
      <c r="G43" s="370"/>
      <c r="H43" s="370"/>
      <c r="I43" s="370"/>
      <c r="J43" s="370"/>
      <c r="K43" s="370"/>
    </row>
    <row r="44" spans="1:11" ht="12.75" customHeight="1" x14ac:dyDescent="0.2">
      <c r="D44" s="384"/>
      <c r="E44" s="370" t="s">
        <v>757</v>
      </c>
      <c r="F44" s="370"/>
      <c r="G44" s="370"/>
      <c r="H44" s="370"/>
      <c r="I44" s="370"/>
      <c r="J44" s="370"/>
      <c r="K44" s="370"/>
    </row>
    <row r="45" spans="1:11" ht="12.75" customHeight="1" x14ac:dyDescent="0.2">
      <c r="D45" s="384"/>
      <c r="E45" s="370" t="s">
        <v>758</v>
      </c>
      <c r="F45" s="370"/>
      <c r="G45" s="370"/>
      <c r="H45" s="370"/>
      <c r="I45" s="370"/>
      <c r="J45" s="370"/>
      <c r="K45" s="370"/>
    </row>
    <row r="46" spans="1:11" ht="12.75" customHeight="1" x14ac:dyDescent="0.2">
      <c r="D46" s="384"/>
      <c r="E46" s="370" t="s">
        <v>759</v>
      </c>
      <c r="F46" s="370"/>
      <c r="G46" s="370"/>
      <c r="H46" s="370"/>
      <c r="I46" s="370"/>
      <c r="J46" s="370"/>
      <c r="K46" s="370"/>
    </row>
    <row r="47" spans="1:11" ht="12.75" customHeight="1" x14ac:dyDescent="0.2">
      <c r="D47" s="385"/>
      <c r="E47" s="370" t="s">
        <v>760</v>
      </c>
      <c r="F47" s="370"/>
      <c r="G47" s="370"/>
      <c r="H47" s="370"/>
      <c r="I47" s="370"/>
      <c r="J47" s="370"/>
      <c r="K47" s="370"/>
    </row>
    <row r="48" spans="1:11" ht="12.75" customHeight="1" x14ac:dyDescent="0.2">
      <c r="D48" s="363"/>
      <c r="E48" s="371"/>
      <c r="F48" s="371"/>
      <c r="G48" s="371"/>
      <c r="H48" s="371"/>
      <c r="I48" s="371"/>
      <c r="J48" s="371"/>
      <c r="K48" s="371"/>
    </row>
    <row r="49" spans="4:11" x14ac:dyDescent="0.2">
      <c r="D49" s="908" t="s">
        <v>728</v>
      </c>
      <c r="E49" s="908"/>
      <c r="F49" s="908"/>
      <c r="G49" s="908"/>
      <c r="H49" s="908"/>
      <c r="I49" s="908"/>
      <c r="J49" s="908"/>
      <c r="K49" s="908"/>
    </row>
    <row r="50" spans="4:11" x14ac:dyDescent="0.2">
      <c r="D50" s="363"/>
    </row>
    <row r="51" spans="4:11" ht="12.75" customHeight="1" x14ac:dyDescent="0.2">
      <c r="D51" s="913" t="s">
        <v>729</v>
      </c>
      <c r="E51" s="913"/>
      <c r="F51" s="913"/>
      <c r="G51" s="913"/>
      <c r="H51" s="913"/>
      <c r="I51" s="913"/>
      <c r="J51" s="913"/>
      <c r="K51" s="913"/>
    </row>
    <row r="52" spans="4:11" x14ac:dyDescent="0.2">
      <c r="D52" s="913"/>
      <c r="E52" s="913"/>
      <c r="F52" s="913"/>
      <c r="G52" s="913"/>
      <c r="H52" s="913"/>
      <c r="I52" s="913"/>
      <c r="J52" s="913"/>
      <c r="K52" s="913"/>
    </row>
    <row r="53" spans="4:11" x14ac:dyDescent="0.2">
      <c r="D53" s="369"/>
      <c r="E53" s="369"/>
      <c r="F53" s="369"/>
      <c r="G53" s="369"/>
      <c r="H53" s="369"/>
      <c r="I53" s="369"/>
      <c r="J53" s="369"/>
      <c r="K53" s="369"/>
    </row>
    <row r="54" spans="4:11" x14ac:dyDescent="0.2">
      <c r="D54" s="913" t="s">
        <v>730</v>
      </c>
      <c r="E54" s="913"/>
      <c r="F54" s="913"/>
      <c r="G54" s="913"/>
      <c r="H54" s="913"/>
      <c r="I54" s="913"/>
      <c r="J54" s="913"/>
      <c r="K54" s="913"/>
    </row>
    <row r="55" spans="4:11" x14ac:dyDescent="0.2">
      <c r="D55" s="913"/>
      <c r="E55" s="913"/>
      <c r="F55" s="913"/>
      <c r="G55" s="913"/>
      <c r="H55" s="913"/>
      <c r="I55" s="913"/>
      <c r="J55" s="913"/>
      <c r="K55" s="913"/>
    </row>
    <row r="56" spans="4:11" ht="12.75" customHeight="1" x14ac:dyDescent="0.2">
      <c r="D56" s="913"/>
      <c r="E56" s="913"/>
      <c r="F56" s="913"/>
      <c r="G56" s="913"/>
      <c r="H56" s="913"/>
      <c r="I56" s="913"/>
      <c r="J56" s="913"/>
      <c r="K56" s="913"/>
    </row>
    <row r="57" spans="4:11" x14ac:dyDescent="0.2">
      <c r="D57" s="913"/>
      <c r="E57" s="913"/>
      <c r="F57" s="913"/>
      <c r="G57" s="913"/>
      <c r="H57" s="913"/>
      <c r="I57" s="913"/>
      <c r="J57" s="913"/>
      <c r="K57" s="913"/>
    </row>
    <row r="58" spans="4:11" x14ac:dyDescent="0.2">
      <c r="D58" s="369"/>
      <c r="E58" s="369"/>
      <c r="F58" s="369"/>
      <c r="G58" s="369"/>
      <c r="H58" s="369"/>
      <c r="I58" s="369"/>
      <c r="J58" s="369"/>
      <c r="K58" s="369"/>
    </row>
    <row r="59" spans="4:11" x14ac:dyDescent="0.2">
      <c r="D59" s="913" t="s">
        <v>731</v>
      </c>
      <c r="E59" s="913"/>
      <c r="F59" s="913"/>
      <c r="G59" s="913"/>
      <c r="H59" s="913"/>
      <c r="I59" s="913"/>
      <c r="J59" s="913"/>
      <c r="K59" s="913"/>
    </row>
    <row r="60" spans="4:11" x14ac:dyDescent="0.2">
      <c r="D60" s="913"/>
      <c r="E60" s="913"/>
      <c r="F60" s="913"/>
      <c r="G60" s="913"/>
      <c r="H60" s="913"/>
      <c r="I60" s="913"/>
      <c r="J60" s="913"/>
      <c r="K60" s="913"/>
    </row>
    <row r="61" spans="4:11" x14ac:dyDescent="0.2">
      <c r="D61" s="913"/>
      <c r="E61" s="913"/>
      <c r="F61" s="913"/>
      <c r="G61" s="913"/>
      <c r="H61" s="913"/>
      <c r="I61" s="913"/>
      <c r="J61" s="913"/>
      <c r="K61" s="913"/>
    </row>
    <row r="63" spans="4:11" x14ac:dyDescent="0.2">
      <c r="D63" s="913" t="s">
        <v>732</v>
      </c>
      <c r="E63" s="913"/>
      <c r="F63" s="913"/>
      <c r="G63" s="913"/>
      <c r="H63" s="913"/>
      <c r="I63" s="913"/>
      <c r="J63" s="913"/>
      <c r="K63" s="913"/>
    </row>
    <row r="64" spans="4:11" x14ac:dyDescent="0.2">
      <c r="D64" s="913"/>
      <c r="E64" s="913"/>
      <c r="F64" s="913"/>
      <c r="G64" s="913"/>
      <c r="H64" s="913"/>
      <c r="I64" s="913"/>
      <c r="J64" s="913"/>
      <c r="K64" s="913"/>
    </row>
    <row r="65" spans="4:4" x14ac:dyDescent="0.2">
      <c r="D65" s="363"/>
    </row>
    <row r="66" spans="4:4" x14ac:dyDescent="0.2">
      <c r="D66" s="363"/>
    </row>
    <row r="67" spans="4:4" x14ac:dyDescent="0.2">
      <c r="D67" s="363" t="s">
        <v>733</v>
      </c>
    </row>
    <row r="68" spans="4:4" x14ac:dyDescent="0.2">
      <c r="D68" s="363" t="s">
        <v>734</v>
      </c>
    </row>
    <row r="70" spans="4:4" x14ac:dyDescent="0.2">
      <c r="D70" s="363" t="s">
        <v>735</v>
      </c>
    </row>
    <row r="71" spans="4:4" x14ac:dyDescent="0.2">
      <c r="D71" s="363" t="s">
        <v>736</v>
      </c>
    </row>
    <row r="72" spans="4:4" x14ac:dyDescent="0.2">
      <c r="D72" s="363"/>
    </row>
    <row r="73" spans="4:4" x14ac:dyDescent="0.2">
      <c r="D73" s="363"/>
    </row>
    <row r="74" spans="4:4" x14ac:dyDescent="0.2">
      <c r="D74" s="363" t="s">
        <v>737</v>
      </c>
    </row>
    <row r="75" spans="4:4" x14ac:dyDescent="0.2">
      <c r="D75" s="363" t="s">
        <v>738</v>
      </c>
    </row>
    <row r="118" spans="1:11" ht="21" x14ac:dyDescent="0.35">
      <c r="A118" s="917" t="s">
        <v>726</v>
      </c>
      <c r="B118" s="917"/>
      <c r="C118" s="917"/>
      <c r="D118" s="917"/>
      <c r="E118" s="917"/>
      <c r="F118" s="917"/>
      <c r="G118" s="917"/>
      <c r="H118" s="917"/>
      <c r="I118" s="917"/>
      <c r="J118" s="917"/>
      <c r="K118" s="917"/>
    </row>
    <row r="119" spans="1:11" x14ac:dyDescent="0.2">
      <c r="A119" s="389"/>
      <c r="B119" s="390"/>
      <c r="C119" s="390"/>
      <c r="D119" s="390"/>
      <c r="E119" s="390"/>
      <c r="F119" s="390"/>
      <c r="G119" s="390"/>
      <c r="H119" s="390"/>
      <c r="I119" s="390"/>
      <c r="J119" s="390"/>
      <c r="K119" s="390"/>
    </row>
    <row r="120" spans="1:11" ht="15" customHeight="1" x14ac:dyDescent="0.2">
      <c r="A120" s="910" t="s">
        <v>774</v>
      </c>
      <c r="B120" s="910"/>
      <c r="C120" s="910"/>
      <c r="D120" s="910"/>
      <c r="E120" s="910"/>
      <c r="F120" s="910"/>
      <c r="G120" s="910"/>
      <c r="H120" s="910"/>
      <c r="I120" s="910"/>
      <c r="J120" s="910"/>
      <c r="K120" s="910"/>
    </row>
    <row r="121" spans="1:11" ht="15" customHeight="1" x14ac:dyDescent="0.2">
      <c r="A121" s="910"/>
      <c r="B121" s="910"/>
      <c r="C121" s="910"/>
      <c r="D121" s="910"/>
      <c r="E121" s="910"/>
      <c r="F121" s="910"/>
      <c r="G121" s="910"/>
      <c r="H121" s="910"/>
      <c r="I121" s="910"/>
      <c r="J121" s="910"/>
      <c r="K121" s="910"/>
    </row>
    <row r="122" spans="1:11" ht="15" customHeight="1" x14ac:dyDescent="0.2">
      <c r="A122" s="910"/>
      <c r="B122" s="910"/>
      <c r="C122" s="910"/>
      <c r="D122" s="910"/>
      <c r="E122" s="910"/>
      <c r="F122" s="910"/>
      <c r="G122" s="910"/>
      <c r="H122" s="910"/>
      <c r="I122" s="910"/>
      <c r="J122" s="910"/>
      <c r="K122" s="910"/>
    </row>
    <row r="123" spans="1:11" ht="15" customHeight="1" x14ac:dyDescent="0.2">
      <c r="A123" s="910"/>
      <c r="B123" s="910"/>
      <c r="C123" s="910"/>
      <c r="D123" s="910"/>
      <c r="E123" s="910"/>
      <c r="F123" s="910"/>
      <c r="G123" s="910"/>
      <c r="H123" s="910"/>
      <c r="I123" s="910"/>
      <c r="J123" s="910"/>
      <c r="K123" s="910"/>
    </row>
    <row r="124" spans="1:11" ht="15" customHeight="1" x14ac:dyDescent="0.2">
      <c r="A124" s="916" t="s">
        <v>775</v>
      </c>
      <c r="B124" s="916"/>
      <c r="C124" s="916"/>
      <c r="D124" s="916"/>
      <c r="E124" s="916"/>
      <c r="F124" s="916"/>
      <c r="G124" s="916"/>
      <c r="H124" s="916"/>
      <c r="I124" s="916"/>
      <c r="J124" s="916"/>
      <c r="K124" s="916"/>
    </row>
    <row r="125" spans="1:11" ht="15" customHeight="1" x14ac:dyDescent="0.2">
      <c r="A125" s="916"/>
      <c r="B125" s="916"/>
      <c r="C125" s="916"/>
      <c r="D125" s="916"/>
      <c r="E125" s="916"/>
      <c r="F125" s="916"/>
      <c r="G125" s="916"/>
      <c r="H125" s="916"/>
      <c r="I125" s="916"/>
      <c r="J125" s="916"/>
      <c r="K125" s="916"/>
    </row>
    <row r="126" spans="1:11" ht="15" customHeight="1" x14ac:dyDescent="0.2">
      <c r="A126" s="916"/>
      <c r="B126" s="916"/>
      <c r="C126" s="916"/>
      <c r="D126" s="916"/>
      <c r="E126" s="916"/>
      <c r="F126" s="916"/>
      <c r="G126" s="916"/>
      <c r="H126" s="916"/>
      <c r="I126" s="916"/>
      <c r="J126" s="916"/>
      <c r="K126" s="916"/>
    </row>
    <row r="127" spans="1:11" ht="15" customHeight="1" x14ac:dyDescent="0.2">
      <c r="A127" s="916"/>
      <c r="B127" s="916"/>
      <c r="C127" s="916"/>
      <c r="D127" s="916"/>
      <c r="E127" s="916"/>
      <c r="F127" s="916"/>
      <c r="G127" s="916"/>
      <c r="H127" s="916"/>
      <c r="I127" s="916"/>
      <c r="J127" s="916"/>
      <c r="K127" s="916"/>
    </row>
    <row r="128" spans="1:11" ht="15" customHeight="1" x14ac:dyDescent="0.2">
      <c r="A128" s="916"/>
      <c r="B128" s="916"/>
      <c r="C128" s="916"/>
      <c r="D128" s="916"/>
      <c r="E128" s="916"/>
      <c r="F128" s="916"/>
      <c r="G128" s="916"/>
      <c r="H128" s="916"/>
      <c r="I128" s="916"/>
      <c r="J128" s="916"/>
      <c r="K128" s="916"/>
    </row>
    <row r="129" spans="1:11" ht="25.5" customHeight="1" x14ac:dyDescent="0.2">
      <c r="A129" s="916"/>
      <c r="B129" s="916"/>
      <c r="C129" s="916"/>
      <c r="D129" s="916"/>
      <c r="E129" s="916"/>
      <c r="F129" s="916"/>
      <c r="G129" s="916"/>
      <c r="H129" s="916"/>
      <c r="I129" s="916"/>
      <c r="J129" s="916"/>
      <c r="K129" s="916"/>
    </row>
    <row r="130" spans="1:11" ht="15" customHeight="1" x14ac:dyDescent="0.2">
      <c r="A130" s="910" t="s">
        <v>776</v>
      </c>
      <c r="B130" s="910"/>
      <c r="C130" s="910"/>
      <c r="D130" s="910"/>
      <c r="E130" s="910"/>
      <c r="F130" s="910"/>
      <c r="G130" s="910"/>
      <c r="H130" s="910"/>
      <c r="I130" s="910"/>
      <c r="J130" s="910"/>
      <c r="K130" s="910"/>
    </row>
    <row r="131" spans="1:11" ht="15" customHeight="1" x14ac:dyDescent="0.2">
      <c r="A131" s="910"/>
      <c r="B131" s="910"/>
      <c r="C131" s="910"/>
      <c r="D131" s="910"/>
      <c r="E131" s="910"/>
      <c r="F131" s="910"/>
      <c r="G131" s="910"/>
      <c r="H131" s="910"/>
      <c r="I131" s="910"/>
      <c r="J131" s="910"/>
      <c r="K131" s="910"/>
    </row>
    <row r="132" spans="1:11" ht="15" customHeight="1" x14ac:dyDescent="0.2">
      <c r="A132" s="910"/>
      <c r="B132" s="910"/>
      <c r="C132" s="910"/>
      <c r="D132" s="910"/>
      <c r="E132" s="910"/>
      <c r="F132" s="910"/>
      <c r="G132" s="910"/>
      <c r="H132" s="910"/>
      <c r="I132" s="910"/>
      <c r="J132" s="910"/>
      <c r="K132" s="910"/>
    </row>
    <row r="133" spans="1:11" ht="23.25" customHeight="1" x14ac:dyDescent="0.2">
      <c r="A133" s="910"/>
      <c r="B133" s="910"/>
      <c r="C133" s="910"/>
      <c r="D133" s="910"/>
      <c r="E133" s="910"/>
      <c r="F133" s="910"/>
      <c r="G133" s="910"/>
      <c r="H133" s="910"/>
      <c r="I133" s="910"/>
      <c r="J133" s="910"/>
      <c r="K133" s="910"/>
    </row>
    <row r="134" spans="1:11" ht="15" customHeight="1" x14ac:dyDescent="0.2">
      <c r="A134" s="910" t="s">
        <v>777</v>
      </c>
      <c r="B134" s="910"/>
      <c r="C134" s="910"/>
      <c r="D134" s="910"/>
      <c r="E134" s="910"/>
      <c r="F134" s="910"/>
      <c r="G134" s="910"/>
      <c r="H134" s="910"/>
      <c r="I134" s="910"/>
      <c r="J134" s="910"/>
      <c r="K134" s="910"/>
    </row>
    <row r="135" spans="1:11" ht="15" customHeight="1" x14ac:dyDescent="0.2">
      <c r="A135" s="910"/>
      <c r="B135" s="910"/>
      <c r="C135" s="910"/>
      <c r="D135" s="910"/>
      <c r="E135" s="910"/>
      <c r="F135" s="910"/>
      <c r="G135" s="910"/>
      <c r="H135" s="910"/>
      <c r="I135" s="910"/>
      <c r="J135" s="910"/>
      <c r="K135" s="910"/>
    </row>
    <row r="136" spans="1:11" ht="15" customHeight="1" x14ac:dyDescent="0.2">
      <c r="A136" s="910"/>
      <c r="B136" s="910"/>
      <c r="C136" s="910"/>
      <c r="D136" s="910"/>
      <c r="E136" s="910"/>
      <c r="F136" s="910"/>
      <c r="G136" s="910"/>
      <c r="H136" s="910"/>
      <c r="I136" s="910"/>
      <c r="J136" s="910"/>
      <c r="K136" s="910"/>
    </row>
    <row r="137" spans="1:11" x14ac:dyDescent="0.2">
      <c r="A137" s="910"/>
      <c r="B137" s="910"/>
      <c r="C137" s="910"/>
      <c r="D137" s="910"/>
      <c r="E137" s="910"/>
      <c r="F137" s="910"/>
      <c r="G137" s="910"/>
      <c r="H137" s="910"/>
      <c r="I137" s="910"/>
      <c r="J137" s="910"/>
      <c r="K137" s="910"/>
    </row>
    <row r="138" spans="1:11" ht="24" customHeight="1" x14ac:dyDescent="0.2">
      <c r="A138" s="910"/>
      <c r="B138" s="910"/>
      <c r="C138" s="910"/>
      <c r="D138" s="910"/>
      <c r="E138" s="910"/>
      <c r="F138" s="910"/>
      <c r="G138" s="910"/>
      <c r="H138" s="910"/>
      <c r="I138" s="910"/>
      <c r="J138" s="910"/>
      <c r="K138" s="910"/>
    </row>
    <row r="139" spans="1:11" x14ac:dyDescent="0.2">
      <c r="A139" s="910" t="s">
        <v>778</v>
      </c>
      <c r="B139" s="910"/>
      <c r="C139" s="910"/>
      <c r="D139" s="910"/>
      <c r="E139" s="910"/>
      <c r="F139" s="910"/>
      <c r="G139" s="910"/>
      <c r="H139" s="910"/>
      <c r="I139" s="910"/>
      <c r="J139" s="910"/>
      <c r="K139" s="910"/>
    </row>
    <row r="140" spans="1:11" x14ac:dyDescent="0.2">
      <c r="A140" s="910"/>
      <c r="B140" s="910"/>
      <c r="C140" s="910"/>
      <c r="D140" s="910"/>
      <c r="E140" s="910"/>
      <c r="F140" s="910"/>
      <c r="G140" s="910"/>
      <c r="H140" s="910"/>
      <c r="I140" s="910"/>
      <c r="J140" s="910"/>
      <c r="K140" s="910"/>
    </row>
    <row r="141" spans="1:11" ht="22.5" customHeight="1" x14ac:dyDescent="0.2">
      <c r="A141" s="910"/>
      <c r="B141" s="910"/>
      <c r="C141" s="910"/>
      <c r="D141" s="910"/>
      <c r="E141" s="910"/>
      <c r="F141" s="910"/>
      <c r="G141" s="910"/>
      <c r="H141" s="910"/>
      <c r="I141" s="910"/>
      <c r="J141" s="910"/>
      <c r="K141" s="910"/>
    </row>
    <row r="142" spans="1:11" ht="15" customHeight="1" x14ac:dyDescent="0.2">
      <c r="A142" s="910" t="s">
        <v>779</v>
      </c>
      <c r="B142" s="910"/>
      <c r="C142" s="910"/>
      <c r="D142" s="910"/>
      <c r="E142" s="910"/>
      <c r="F142" s="910"/>
      <c r="G142" s="910"/>
      <c r="H142" s="910"/>
      <c r="I142" s="910"/>
      <c r="J142" s="910"/>
      <c r="K142" s="910"/>
    </row>
    <row r="143" spans="1:11" ht="15" customHeight="1" x14ac:dyDescent="0.2">
      <c r="A143" s="910"/>
      <c r="B143" s="910"/>
      <c r="C143" s="910"/>
      <c r="D143" s="910"/>
      <c r="E143" s="910"/>
      <c r="F143" s="910"/>
      <c r="G143" s="910"/>
      <c r="H143" s="910"/>
      <c r="I143" s="910"/>
      <c r="J143" s="910"/>
      <c r="K143" s="910"/>
    </row>
    <row r="144" spans="1:11" ht="27.75" customHeight="1" x14ac:dyDescent="0.2">
      <c r="A144" s="910"/>
      <c r="B144" s="910"/>
      <c r="C144" s="910"/>
      <c r="D144" s="910"/>
      <c r="E144" s="910"/>
      <c r="F144" s="910"/>
      <c r="G144" s="910"/>
      <c r="H144" s="910"/>
      <c r="I144" s="910"/>
      <c r="J144" s="910"/>
      <c r="K144" s="910"/>
    </row>
    <row r="145" spans="1:11" ht="15" customHeight="1" x14ac:dyDescent="0.2">
      <c r="A145" s="910" t="s">
        <v>780</v>
      </c>
      <c r="B145" s="910"/>
      <c r="C145" s="910"/>
      <c r="D145" s="910"/>
      <c r="E145" s="910"/>
      <c r="F145" s="910"/>
      <c r="G145" s="910"/>
      <c r="H145" s="910"/>
      <c r="I145" s="910"/>
      <c r="J145" s="910"/>
      <c r="K145" s="910"/>
    </row>
    <row r="146" spans="1:11" ht="15" customHeight="1" x14ac:dyDescent="0.2">
      <c r="A146" s="910"/>
      <c r="B146" s="910"/>
      <c r="C146" s="910"/>
      <c r="D146" s="910"/>
      <c r="E146" s="910"/>
      <c r="F146" s="910"/>
      <c r="G146" s="910"/>
      <c r="H146" s="910"/>
      <c r="I146" s="910"/>
      <c r="J146" s="910"/>
      <c r="K146" s="910"/>
    </row>
    <row r="147" spans="1:11" ht="15" customHeight="1" x14ac:dyDescent="0.2">
      <c r="A147" s="910"/>
      <c r="B147" s="910"/>
      <c r="C147" s="910"/>
      <c r="D147" s="910"/>
      <c r="E147" s="910"/>
      <c r="F147" s="910"/>
      <c r="G147" s="910"/>
      <c r="H147" s="910"/>
      <c r="I147" s="910"/>
      <c r="J147" s="910"/>
      <c r="K147" s="910"/>
    </row>
    <row r="148" spans="1:11" ht="24" customHeight="1" x14ac:dyDescent="0.2">
      <c r="A148" s="910"/>
      <c r="B148" s="910"/>
      <c r="C148" s="910"/>
      <c r="D148" s="910"/>
      <c r="E148" s="910"/>
      <c r="F148" s="910"/>
      <c r="G148" s="910"/>
      <c r="H148" s="910"/>
      <c r="I148" s="910"/>
      <c r="J148" s="910"/>
      <c r="K148" s="910"/>
    </row>
    <row r="149" spans="1:11" ht="15" customHeight="1" x14ac:dyDescent="0.2">
      <c r="A149" s="910" t="s">
        <v>781</v>
      </c>
      <c r="B149" s="910"/>
      <c r="C149" s="910"/>
      <c r="D149" s="910"/>
      <c r="E149" s="910"/>
      <c r="F149" s="910"/>
      <c r="G149" s="910"/>
      <c r="H149" s="910"/>
      <c r="I149" s="910"/>
      <c r="J149" s="910"/>
      <c r="K149" s="910"/>
    </row>
    <row r="150" spans="1:11" ht="27" customHeight="1" x14ac:dyDescent="0.2">
      <c r="A150" s="910"/>
      <c r="B150" s="910"/>
      <c r="C150" s="910"/>
      <c r="D150" s="910"/>
      <c r="E150" s="910"/>
      <c r="F150" s="910"/>
      <c r="G150" s="910"/>
      <c r="H150" s="910"/>
      <c r="I150" s="910"/>
      <c r="J150" s="910"/>
      <c r="K150" s="910"/>
    </row>
    <row r="151" spans="1:11" ht="15" customHeight="1" x14ac:dyDescent="0.2">
      <c r="A151" s="910" t="s">
        <v>782</v>
      </c>
      <c r="B151" s="910"/>
      <c r="C151" s="910"/>
      <c r="D151" s="910"/>
      <c r="E151" s="910"/>
      <c r="F151" s="910"/>
      <c r="G151" s="910"/>
      <c r="H151" s="910"/>
      <c r="I151" s="910"/>
      <c r="J151" s="910"/>
      <c r="K151" s="910"/>
    </row>
    <row r="152" spans="1:11" ht="15" customHeight="1" x14ac:dyDescent="0.2">
      <c r="A152" s="910"/>
      <c r="B152" s="910"/>
      <c r="C152" s="910"/>
      <c r="D152" s="910"/>
      <c r="E152" s="910"/>
      <c r="F152" s="910"/>
      <c r="G152" s="910"/>
      <c r="H152" s="910"/>
      <c r="I152" s="910"/>
      <c r="J152" s="910"/>
      <c r="K152" s="910"/>
    </row>
    <row r="153" spans="1:11" ht="15" customHeight="1" x14ac:dyDescent="0.2">
      <c r="A153" s="910"/>
      <c r="B153" s="910"/>
      <c r="C153" s="910"/>
      <c r="D153" s="910"/>
      <c r="E153" s="910"/>
      <c r="F153" s="910"/>
      <c r="G153" s="910"/>
      <c r="H153" s="910"/>
      <c r="I153" s="910"/>
      <c r="J153" s="910"/>
      <c r="K153" s="910"/>
    </row>
    <row r="154" spans="1:11" ht="15" customHeight="1" x14ac:dyDescent="0.2">
      <c r="A154" s="910"/>
      <c r="B154" s="910"/>
      <c r="C154" s="910"/>
      <c r="D154" s="910"/>
      <c r="E154" s="910"/>
      <c r="F154" s="910"/>
      <c r="G154" s="910"/>
      <c r="H154" s="910"/>
      <c r="I154" s="910"/>
      <c r="J154" s="910"/>
      <c r="K154" s="910"/>
    </row>
    <row r="155" spans="1:11" ht="26.25" customHeight="1" x14ac:dyDescent="0.2">
      <c r="A155" s="910"/>
      <c r="B155" s="910"/>
      <c r="C155" s="910"/>
      <c r="D155" s="910"/>
      <c r="E155" s="910"/>
      <c r="F155" s="910"/>
      <c r="G155" s="910"/>
      <c r="H155" s="910"/>
      <c r="I155" s="910"/>
      <c r="J155" s="910"/>
      <c r="K155" s="910"/>
    </row>
    <row r="156" spans="1:11" x14ac:dyDescent="0.2">
      <c r="A156" s="910" t="s">
        <v>783</v>
      </c>
      <c r="B156" s="910"/>
      <c r="C156" s="910"/>
      <c r="D156" s="910"/>
      <c r="E156" s="910"/>
      <c r="F156" s="910"/>
      <c r="G156" s="910"/>
      <c r="H156" s="910"/>
      <c r="I156" s="910"/>
      <c r="J156" s="910"/>
      <c r="K156" s="910"/>
    </row>
    <row r="157" spans="1:11" x14ac:dyDescent="0.2">
      <c r="A157" s="910"/>
      <c r="B157" s="910"/>
      <c r="C157" s="910"/>
      <c r="D157" s="910"/>
      <c r="E157" s="910"/>
      <c r="F157" s="910"/>
      <c r="G157" s="910"/>
      <c r="H157" s="910"/>
      <c r="I157" s="910"/>
      <c r="J157" s="910"/>
      <c r="K157" s="910"/>
    </row>
    <row r="158" spans="1:11" x14ac:dyDescent="0.2">
      <c r="A158" s="910"/>
      <c r="B158" s="910"/>
      <c r="C158" s="910"/>
      <c r="D158" s="910"/>
      <c r="E158" s="910"/>
      <c r="F158" s="910"/>
      <c r="G158" s="910"/>
      <c r="H158" s="910"/>
      <c r="I158" s="910"/>
      <c r="J158" s="910"/>
      <c r="K158" s="910"/>
    </row>
    <row r="159" spans="1:11" x14ac:dyDescent="0.2">
      <c r="A159" s="910"/>
      <c r="B159" s="910"/>
      <c r="C159" s="910"/>
      <c r="D159" s="910"/>
      <c r="E159" s="910"/>
      <c r="F159" s="910"/>
      <c r="G159" s="910"/>
      <c r="H159" s="910"/>
      <c r="I159" s="910"/>
      <c r="J159" s="910"/>
      <c r="K159" s="910"/>
    </row>
    <row r="160" spans="1:11" x14ac:dyDescent="0.2">
      <c r="A160" s="910"/>
      <c r="B160" s="910"/>
      <c r="C160" s="910"/>
      <c r="D160" s="910"/>
      <c r="E160" s="910"/>
      <c r="F160" s="910"/>
      <c r="G160" s="910"/>
      <c r="H160" s="910"/>
      <c r="I160" s="910"/>
      <c r="J160" s="910"/>
      <c r="K160" s="910"/>
    </row>
    <row r="161" spans="1:11" x14ac:dyDescent="0.2">
      <c r="A161" s="391"/>
      <c r="B161" s="391"/>
      <c r="C161" s="391"/>
      <c r="D161" s="391"/>
      <c r="E161" s="391"/>
      <c r="F161" s="391"/>
      <c r="G161" s="391"/>
      <c r="H161" s="391"/>
      <c r="I161" s="391"/>
      <c r="J161" s="391"/>
      <c r="K161" s="391"/>
    </row>
    <row r="162" spans="1:11" x14ac:dyDescent="0.2">
      <c r="A162" s="910" t="s">
        <v>784</v>
      </c>
      <c r="B162" s="910"/>
      <c r="C162" s="910"/>
      <c r="D162" s="910"/>
      <c r="E162" s="910"/>
      <c r="F162" s="910"/>
      <c r="G162" s="910"/>
      <c r="H162" s="910"/>
      <c r="I162" s="910"/>
      <c r="J162" s="910"/>
      <c r="K162" s="910"/>
    </row>
    <row r="163" spans="1:11" x14ac:dyDescent="0.2">
      <c r="A163" s="910"/>
      <c r="B163" s="910"/>
      <c r="C163" s="910"/>
      <c r="D163" s="910"/>
      <c r="E163" s="910"/>
      <c r="F163" s="910"/>
      <c r="G163" s="910"/>
      <c r="H163" s="910"/>
      <c r="I163" s="910"/>
      <c r="J163" s="910"/>
      <c r="K163" s="910"/>
    </row>
    <row r="164" spans="1:11" x14ac:dyDescent="0.2">
      <c r="A164" s="910"/>
      <c r="B164" s="910"/>
      <c r="C164" s="910"/>
      <c r="D164" s="910"/>
      <c r="E164" s="910"/>
      <c r="F164" s="910"/>
      <c r="G164" s="910"/>
      <c r="H164" s="910"/>
      <c r="I164" s="910"/>
      <c r="J164" s="910"/>
      <c r="K164" s="910"/>
    </row>
    <row r="165" spans="1:11" x14ac:dyDescent="0.2">
      <c r="A165" s="910"/>
      <c r="B165" s="910"/>
      <c r="C165" s="910"/>
      <c r="D165" s="910"/>
      <c r="E165" s="910"/>
      <c r="F165" s="910"/>
      <c r="G165" s="910"/>
      <c r="H165" s="910"/>
      <c r="I165" s="910"/>
      <c r="J165" s="910"/>
      <c r="K165" s="910"/>
    </row>
    <row r="166" spans="1:11" x14ac:dyDescent="0.2">
      <c r="A166" s="910"/>
      <c r="B166" s="910"/>
      <c r="C166" s="910"/>
      <c r="D166" s="910"/>
      <c r="E166" s="910"/>
      <c r="F166" s="910"/>
      <c r="G166" s="910"/>
      <c r="H166" s="910"/>
      <c r="I166" s="910"/>
      <c r="J166" s="910"/>
      <c r="K166" s="910"/>
    </row>
    <row r="167" spans="1:11" ht="17.25" customHeight="1" x14ac:dyDescent="0.2">
      <c r="A167" s="910"/>
      <c r="B167" s="910"/>
      <c r="C167" s="910"/>
      <c r="D167" s="910"/>
      <c r="E167" s="910"/>
      <c r="F167" s="910"/>
      <c r="G167" s="910"/>
      <c r="H167" s="910"/>
      <c r="I167" s="910"/>
      <c r="J167" s="910"/>
      <c r="K167" s="910"/>
    </row>
    <row r="168" spans="1:11" x14ac:dyDescent="0.2">
      <c r="A168" s="910" t="s">
        <v>785</v>
      </c>
      <c r="B168" s="910"/>
      <c r="C168" s="910"/>
      <c r="D168" s="910"/>
      <c r="E168" s="910"/>
      <c r="F168" s="910"/>
      <c r="G168" s="910"/>
      <c r="H168" s="910"/>
      <c r="I168" s="910"/>
      <c r="J168" s="910"/>
      <c r="K168" s="910"/>
    </row>
    <row r="169" spans="1:11" x14ac:dyDescent="0.2">
      <c r="A169" s="910"/>
      <c r="B169" s="910"/>
      <c r="C169" s="910"/>
      <c r="D169" s="910"/>
      <c r="E169" s="910"/>
      <c r="F169" s="910"/>
      <c r="G169" s="910"/>
      <c r="H169" s="910"/>
      <c r="I169" s="910"/>
      <c r="J169" s="910"/>
      <c r="K169" s="910"/>
    </row>
    <row r="170" spans="1:11" x14ac:dyDescent="0.2">
      <c r="A170" s="910"/>
      <c r="B170" s="910"/>
      <c r="C170" s="910"/>
      <c r="D170" s="910"/>
      <c r="E170" s="910"/>
      <c r="F170" s="910"/>
      <c r="G170" s="910"/>
      <c r="H170" s="910"/>
      <c r="I170" s="910"/>
      <c r="J170" s="910"/>
      <c r="K170" s="910"/>
    </row>
    <row r="171" spans="1:11" x14ac:dyDescent="0.2">
      <c r="A171" s="910"/>
      <c r="B171" s="910"/>
      <c r="C171" s="910"/>
      <c r="D171" s="910"/>
      <c r="E171" s="910"/>
      <c r="F171" s="910"/>
      <c r="G171" s="910"/>
      <c r="H171" s="910"/>
      <c r="I171" s="910"/>
      <c r="J171" s="910"/>
      <c r="K171" s="910"/>
    </row>
    <row r="172" spans="1:11" x14ac:dyDescent="0.2">
      <c r="A172" s="910"/>
      <c r="B172" s="910"/>
      <c r="C172" s="910"/>
      <c r="D172" s="910"/>
      <c r="E172" s="910"/>
      <c r="F172" s="910"/>
      <c r="G172" s="910"/>
      <c r="H172" s="910"/>
      <c r="I172" s="910"/>
      <c r="J172" s="910"/>
      <c r="K172" s="910"/>
    </row>
    <row r="173" spans="1:11" x14ac:dyDescent="0.2">
      <c r="A173" s="910"/>
      <c r="B173" s="910"/>
      <c r="C173" s="910"/>
      <c r="D173" s="910"/>
      <c r="E173" s="910"/>
      <c r="F173" s="910"/>
      <c r="G173" s="910"/>
      <c r="H173" s="910"/>
      <c r="I173" s="910"/>
      <c r="J173" s="910"/>
      <c r="K173" s="910"/>
    </row>
    <row r="174" spans="1:11" ht="26.25" customHeight="1" x14ac:dyDescent="0.2">
      <c r="A174" s="910"/>
      <c r="B174" s="910"/>
      <c r="C174" s="910"/>
      <c r="D174" s="910"/>
      <c r="E174" s="910"/>
      <c r="F174" s="910"/>
      <c r="G174" s="910"/>
      <c r="H174" s="910"/>
      <c r="I174" s="910"/>
      <c r="J174" s="910"/>
      <c r="K174" s="910"/>
    </row>
    <row r="175" spans="1:11" x14ac:dyDescent="0.2">
      <c r="A175" s="910" t="s">
        <v>786</v>
      </c>
      <c r="B175" s="910"/>
      <c r="C175" s="910"/>
      <c r="D175" s="910"/>
      <c r="E175" s="910"/>
      <c r="F175" s="910"/>
      <c r="G175" s="910"/>
      <c r="H175" s="910"/>
      <c r="I175" s="910"/>
      <c r="J175" s="910"/>
      <c r="K175" s="910"/>
    </row>
    <row r="176" spans="1:11" x14ac:dyDescent="0.2">
      <c r="A176" s="910"/>
      <c r="B176" s="910"/>
      <c r="C176" s="910"/>
      <c r="D176" s="910"/>
      <c r="E176" s="910"/>
      <c r="F176" s="910"/>
      <c r="G176" s="910"/>
      <c r="H176" s="910"/>
      <c r="I176" s="910"/>
      <c r="J176" s="910"/>
      <c r="K176" s="910"/>
    </row>
    <row r="177" spans="1:11" x14ac:dyDescent="0.2">
      <c r="A177" s="910"/>
      <c r="B177" s="910"/>
      <c r="C177" s="910"/>
      <c r="D177" s="910"/>
      <c r="E177" s="910"/>
      <c r="F177" s="910"/>
      <c r="G177" s="910"/>
      <c r="H177" s="910"/>
      <c r="I177" s="910"/>
      <c r="J177" s="910"/>
      <c r="K177" s="910"/>
    </row>
    <row r="178" spans="1:11" ht="18.75" customHeight="1" x14ac:dyDescent="0.2">
      <c r="A178" s="910"/>
      <c r="B178" s="910"/>
      <c r="C178" s="910"/>
      <c r="D178" s="910"/>
      <c r="E178" s="910"/>
      <c r="F178" s="910"/>
      <c r="G178" s="910"/>
      <c r="H178" s="910"/>
      <c r="I178" s="910"/>
      <c r="J178" s="910"/>
      <c r="K178" s="910"/>
    </row>
    <row r="179" spans="1:11" x14ac:dyDescent="0.2">
      <c r="A179" s="910" t="s">
        <v>787</v>
      </c>
      <c r="B179" s="910"/>
      <c r="C179" s="910"/>
      <c r="D179" s="910"/>
      <c r="E179" s="910"/>
      <c r="F179" s="910"/>
      <c r="G179" s="910"/>
      <c r="H179" s="910"/>
      <c r="I179" s="910"/>
      <c r="J179" s="910"/>
      <c r="K179" s="910"/>
    </row>
    <row r="180" spans="1:11" x14ac:dyDescent="0.2">
      <c r="A180" s="910"/>
      <c r="B180" s="910"/>
      <c r="C180" s="910"/>
      <c r="D180" s="910"/>
      <c r="E180" s="910"/>
      <c r="F180" s="910"/>
      <c r="G180" s="910"/>
      <c r="H180" s="910"/>
      <c r="I180" s="910"/>
      <c r="J180" s="910"/>
      <c r="K180" s="910"/>
    </row>
    <row r="181" spans="1:11" ht="19.5" customHeight="1" x14ac:dyDescent="0.2">
      <c r="A181" s="910"/>
      <c r="B181" s="910"/>
      <c r="C181" s="910"/>
      <c r="D181" s="910"/>
      <c r="E181" s="910"/>
      <c r="F181" s="910"/>
      <c r="G181" s="910"/>
      <c r="H181" s="910"/>
      <c r="I181" s="910"/>
      <c r="J181" s="910"/>
      <c r="K181" s="910"/>
    </row>
    <row r="182" spans="1:11" x14ac:dyDescent="0.2">
      <c r="A182" s="910" t="s">
        <v>788</v>
      </c>
      <c r="B182" s="910"/>
      <c r="C182" s="910"/>
      <c r="D182" s="910"/>
      <c r="E182" s="910"/>
      <c r="F182" s="910"/>
      <c r="G182" s="910"/>
      <c r="H182" s="910"/>
      <c r="I182" s="910"/>
      <c r="J182" s="910"/>
      <c r="K182" s="910"/>
    </row>
    <row r="183" spans="1:11" x14ac:dyDescent="0.2">
      <c r="A183" s="910"/>
      <c r="B183" s="910"/>
      <c r="C183" s="910"/>
      <c r="D183" s="910"/>
      <c r="E183" s="910"/>
      <c r="F183" s="910"/>
      <c r="G183" s="910"/>
      <c r="H183" s="910"/>
      <c r="I183" s="910"/>
      <c r="J183" s="910"/>
      <c r="K183" s="910"/>
    </row>
    <row r="184" spans="1:11" x14ac:dyDescent="0.2">
      <c r="A184" s="910"/>
      <c r="B184" s="910"/>
      <c r="C184" s="910"/>
      <c r="D184" s="910"/>
      <c r="E184" s="910"/>
      <c r="F184" s="910"/>
      <c r="G184" s="910"/>
      <c r="H184" s="910"/>
      <c r="I184" s="910"/>
      <c r="J184" s="910"/>
      <c r="K184" s="910"/>
    </row>
    <row r="185" spans="1:11" x14ac:dyDescent="0.2">
      <c r="A185" s="910"/>
      <c r="B185" s="910"/>
      <c r="C185" s="910"/>
      <c r="D185" s="910"/>
      <c r="E185" s="910"/>
      <c r="F185" s="910"/>
      <c r="G185" s="910"/>
      <c r="H185" s="910"/>
      <c r="I185" s="910"/>
      <c r="J185" s="910"/>
      <c r="K185" s="910"/>
    </row>
    <row r="186" spans="1:11" x14ac:dyDescent="0.2">
      <c r="A186" s="910"/>
      <c r="B186" s="910"/>
      <c r="C186" s="910"/>
      <c r="D186" s="910"/>
      <c r="E186" s="910"/>
      <c r="F186" s="910"/>
      <c r="G186" s="910"/>
      <c r="H186" s="910"/>
      <c r="I186" s="910"/>
      <c r="J186" s="910"/>
      <c r="K186" s="910"/>
    </row>
    <row r="187" spans="1:11" x14ac:dyDescent="0.2">
      <c r="A187" s="910"/>
      <c r="B187" s="910"/>
      <c r="C187" s="910"/>
      <c r="D187" s="910"/>
      <c r="E187" s="910"/>
      <c r="F187" s="910"/>
      <c r="G187" s="910"/>
      <c r="H187" s="910"/>
      <c r="I187" s="910"/>
      <c r="J187" s="910"/>
      <c r="K187" s="910"/>
    </row>
    <row r="188" spans="1:11" x14ac:dyDescent="0.2">
      <c r="A188" s="910"/>
      <c r="B188" s="910"/>
      <c r="C188" s="910"/>
      <c r="D188" s="910"/>
      <c r="E188" s="910"/>
      <c r="F188" s="910"/>
      <c r="G188" s="910"/>
      <c r="H188" s="910"/>
      <c r="I188" s="910"/>
      <c r="J188" s="910"/>
      <c r="K188" s="910"/>
    </row>
    <row r="189" spans="1:11" x14ac:dyDescent="0.2">
      <c r="A189" s="910"/>
      <c r="B189" s="910"/>
      <c r="C189" s="910"/>
      <c r="D189" s="910"/>
      <c r="E189" s="910"/>
      <c r="F189" s="910"/>
      <c r="G189" s="910"/>
      <c r="H189" s="910"/>
      <c r="I189" s="910"/>
      <c r="J189" s="910"/>
      <c r="K189" s="910"/>
    </row>
    <row r="190" spans="1:11" x14ac:dyDescent="0.2">
      <c r="A190" s="910" t="s">
        <v>789</v>
      </c>
      <c r="B190" s="910"/>
      <c r="C190" s="910"/>
      <c r="D190" s="910"/>
      <c r="E190" s="910"/>
      <c r="F190" s="910"/>
      <c r="G190" s="910"/>
      <c r="H190" s="910"/>
      <c r="I190" s="910"/>
      <c r="J190" s="910"/>
      <c r="K190" s="910"/>
    </row>
    <row r="191" spans="1:11" x14ac:dyDescent="0.2">
      <c r="A191" s="910"/>
      <c r="B191" s="910"/>
      <c r="C191" s="910"/>
      <c r="D191" s="910"/>
      <c r="E191" s="910"/>
      <c r="F191" s="910"/>
      <c r="G191" s="910"/>
      <c r="H191" s="910"/>
      <c r="I191" s="910"/>
      <c r="J191" s="910"/>
      <c r="K191" s="910"/>
    </row>
    <row r="192" spans="1:11" ht="20.25" customHeight="1" x14ac:dyDescent="0.2">
      <c r="A192" s="910"/>
      <c r="B192" s="910"/>
      <c r="C192" s="910"/>
      <c r="D192" s="910"/>
      <c r="E192" s="910"/>
      <c r="F192" s="910"/>
      <c r="G192" s="910"/>
      <c r="H192" s="910"/>
      <c r="I192" s="910"/>
      <c r="J192" s="910"/>
      <c r="K192" s="910"/>
    </row>
    <row r="193" spans="1:11" x14ac:dyDescent="0.2">
      <c r="A193" s="910" t="s">
        <v>790</v>
      </c>
      <c r="B193" s="910"/>
      <c r="C193" s="910"/>
      <c r="D193" s="910"/>
      <c r="E193" s="910"/>
      <c r="F193" s="910"/>
      <c r="G193" s="910"/>
      <c r="H193" s="910"/>
      <c r="I193" s="910"/>
      <c r="J193" s="910"/>
      <c r="K193" s="910"/>
    </row>
    <row r="194" spans="1:11" x14ac:dyDescent="0.2">
      <c r="A194" s="910"/>
      <c r="B194" s="910"/>
      <c r="C194" s="910"/>
      <c r="D194" s="910"/>
      <c r="E194" s="910"/>
      <c r="F194" s="910"/>
      <c r="G194" s="910"/>
      <c r="H194" s="910"/>
      <c r="I194" s="910"/>
      <c r="J194" s="910"/>
      <c r="K194" s="910"/>
    </row>
    <row r="195" spans="1:11" x14ac:dyDescent="0.2">
      <c r="A195" s="910"/>
      <c r="B195" s="910"/>
      <c r="C195" s="910"/>
      <c r="D195" s="910"/>
      <c r="E195" s="910"/>
      <c r="F195" s="910"/>
      <c r="G195" s="910"/>
      <c r="H195" s="910"/>
      <c r="I195" s="910"/>
      <c r="J195" s="910"/>
      <c r="K195" s="910"/>
    </row>
    <row r="196" spans="1:11" ht="15" customHeight="1" x14ac:dyDescent="0.2">
      <c r="A196" s="910"/>
      <c r="B196" s="910"/>
      <c r="C196" s="910"/>
      <c r="D196" s="910"/>
      <c r="E196" s="910"/>
      <c r="F196" s="910"/>
      <c r="G196" s="910"/>
      <c r="H196" s="910"/>
      <c r="I196" s="910"/>
      <c r="J196" s="910"/>
      <c r="K196" s="910"/>
    </row>
    <row r="197" spans="1:11" ht="15" customHeight="1" x14ac:dyDescent="0.2">
      <c r="A197" s="910"/>
      <c r="B197" s="910"/>
      <c r="C197" s="910"/>
      <c r="D197" s="910"/>
      <c r="E197" s="910"/>
      <c r="F197" s="910"/>
      <c r="G197" s="910"/>
      <c r="H197" s="910"/>
      <c r="I197" s="910"/>
      <c r="J197" s="910"/>
      <c r="K197" s="910"/>
    </row>
    <row r="198" spans="1:11" x14ac:dyDescent="0.2">
      <c r="A198" s="910"/>
      <c r="B198" s="910"/>
      <c r="C198" s="910"/>
      <c r="D198" s="910"/>
      <c r="E198" s="910"/>
      <c r="F198" s="910"/>
      <c r="G198" s="910"/>
      <c r="H198" s="910"/>
      <c r="I198" s="910"/>
      <c r="J198" s="910"/>
      <c r="K198" s="910"/>
    </row>
    <row r="199" spans="1:11" x14ac:dyDescent="0.2">
      <c r="A199" s="910"/>
      <c r="B199" s="910"/>
      <c r="C199" s="910"/>
      <c r="D199" s="910"/>
      <c r="E199" s="910"/>
      <c r="F199" s="910"/>
      <c r="G199" s="910"/>
      <c r="H199" s="910"/>
      <c r="I199" s="910"/>
      <c r="J199" s="910"/>
      <c r="K199" s="910"/>
    </row>
  </sheetData>
  <sheetProtection formatCells="0" formatColumns="0" formatRows="0" insertColumns="0" insertRows="0" insertHyperlinks="0" deleteColumns="0" deleteRows="0" sort="0" autoFilter="0" pivotTables="0"/>
  <mergeCells count="32">
    <mergeCell ref="A190:K192"/>
    <mergeCell ref="A193:K199"/>
    <mergeCell ref="A156:K160"/>
    <mergeCell ref="A162:K167"/>
    <mergeCell ref="A168:K174"/>
    <mergeCell ref="A175:K178"/>
    <mergeCell ref="A179:K181"/>
    <mergeCell ref="A182:K189"/>
    <mergeCell ref="A151:K155"/>
    <mergeCell ref="D59:K61"/>
    <mergeCell ref="D63:K64"/>
    <mergeCell ref="A118:K118"/>
    <mergeCell ref="A120:K123"/>
    <mergeCell ref="A124:K129"/>
    <mergeCell ref="A130:K133"/>
    <mergeCell ref="A134:K138"/>
    <mergeCell ref="A139:K141"/>
    <mergeCell ref="A142:K144"/>
    <mergeCell ref="A145:K148"/>
    <mergeCell ref="A149:K150"/>
    <mergeCell ref="D54:K57"/>
    <mergeCell ref="D8:G8"/>
    <mergeCell ref="D11:G11"/>
    <mergeCell ref="D12:G12"/>
    <mergeCell ref="D13:G13"/>
    <mergeCell ref="D14:G14"/>
    <mergeCell ref="F17:K17"/>
    <mergeCell ref="D19:K20"/>
    <mergeCell ref="F22:G22"/>
    <mergeCell ref="D26:F26"/>
    <mergeCell ref="D49:K49"/>
    <mergeCell ref="D51:K52"/>
  </mergeCells>
  <dataValidations count="1">
    <dataValidation type="list" allowBlank="1" showInputMessage="1" showErrorMessage="1" sqref="F22" xr:uid="{00000000-0002-0000-0800-000000000000}">
      <formula1>$M$19:$M$21</formula1>
    </dataValidation>
  </dataValidations>
  <printOptions horizontalCentered="1"/>
  <pageMargins left="0.5" right="0.5" top="0.5" bottom="0.5" header="0.5" footer="0.25"/>
  <pageSetup orientation="portrait" verticalDpi="0" r:id="rId1"/>
  <headerFooter>
    <oddFoote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7" tint="0.39997558519241921"/>
  </sheetPr>
  <dimension ref="A2:E35"/>
  <sheetViews>
    <sheetView workbookViewId="0">
      <selection activeCell="B9" sqref="B9"/>
    </sheetView>
  </sheetViews>
  <sheetFormatPr defaultColWidth="8.85546875" defaultRowHeight="15" x14ac:dyDescent="0.25"/>
  <cols>
    <col min="1" max="1" width="26.85546875" customWidth="1"/>
    <col min="2" max="2" width="21.85546875" customWidth="1"/>
    <col min="3" max="3" width="23" customWidth="1"/>
    <col min="4" max="4" width="22.140625" customWidth="1"/>
    <col min="5" max="5" width="16.140625" customWidth="1"/>
  </cols>
  <sheetData>
    <row r="2" spans="1:5" s="522" customFormat="1" x14ac:dyDescent="0.25">
      <c r="A2" s="522" t="s">
        <v>834</v>
      </c>
      <c r="B2" s="522" t="s">
        <v>836</v>
      </c>
      <c r="C2" s="522" t="s">
        <v>835</v>
      </c>
      <c r="D2" s="522" t="s">
        <v>837</v>
      </c>
    </row>
    <row r="3" spans="1:5" x14ac:dyDescent="0.25">
      <c r="A3" s="827" t="s">
        <v>832</v>
      </c>
      <c r="B3" s="827" t="s">
        <v>833</v>
      </c>
      <c r="C3" s="827" t="s">
        <v>838</v>
      </c>
      <c r="D3" s="827" t="s">
        <v>839</v>
      </c>
      <c r="E3" s="827"/>
    </row>
    <row r="4" spans="1:5" x14ac:dyDescent="0.25">
      <c r="A4" s="827" t="s">
        <v>840</v>
      </c>
      <c r="B4" s="827" t="s">
        <v>841</v>
      </c>
      <c r="C4" s="827" t="s">
        <v>842</v>
      </c>
      <c r="D4" s="827" t="s">
        <v>843</v>
      </c>
      <c r="E4" s="827"/>
    </row>
    <row r="5" spans="1:5" x14ac:dyDescent="0.25">
      <c r="A5" s="827" t="s">
        <v>846</v>
      </c>
      <c r="B5" s="827" t="s">
        <v>841</v>
      </c>
      <c r="C5" s="827" t="s">
        <v>842</v>
      </c>
      <c r="D5" s="827" t="s">
        <v>843</v>
      </c>
      <c r="E5" s="827"/>
    </row>
    <row r="6" spans="1:5" x14ac:dyDescent="0.25">
      <c r="A6" s="827" t="s">
        <v>965</v>
      </c>
      <c r="B6" s="827" t="s">
        <v>966</v>
      </c>
      <c r="C6" s="828" t="s">
        <v>968</v>
      </c>
      <c r="D6" s="827" t="s">
        <v>967</v>
      </c>
      <c r="E6" s="827"/>
    </row>
    <row r="7" spans="1:5" x14ac:dyDescent="0.25">
      <c r="A7" s="827" t="s">
        <v>970</v>
      </c>
      <c r="B7" s="827" t="s">
        <v>971</v>
      </c>
      <c r="C7" s="827" t="s">
        <v>973</v>
      </c>
      <c r="D7" s="827" t="s">
        <v>972</v>
      </c>
      <c r="E7" s="827"/>
    </row>
    <row r="8" spans="1:5" x14ac:dyDescent="0.25">
      <c r="A8" s="827" t="s">
        <v>974</v>
      </c>
      <c r="B8" s="827" t="s">
        <v>975</v>
      </c>
      <c r="C8" s="827" t="s">
        <v>976</v>
      </c>
      <c r="D8" s="827" t="s">
        <v>839</v>
      </c>
      <c r="E8" s="827"/>
    </row>
    <row r="9" spans="1:5" x14ac:dyDescent="0.25">
      <c r="A9" s="827" t="s">
        <v>977</v>
      </c>
      <c r="B9" s="827" t="s">
        <v>978</v>
      </c>
      <c r="C9" s="827" t="s">
        <v>979</v>
      </c>
      <c r="D9" s="827" t="s">
        <v>980</v>
      </c>
      <c r="E9" s="827"/>
    </row>
    <row r="10" spans="1:5" x14ac:dyDescent="0.25">
      <c r="A10" s="827"/>
      <c r="B10" s="827"/>
      <c r="C10" s="827"/>
      <c r="D10" s="827"/>
      <c r="E10" s="827"/>
    </row>
    <row r="11" spans="1:5" x14ac:dyDescent="0.25">
      <c r="A11" s="827"/>
      <c r="B11" s="827"/>
      <c r="C11" s="827"/>
      <c r="D11" s="827"/>
      <c r="E11" s="827"/>
    </row>
    <row r="12" spans="1:5" x14ac:dyDescent="0.25">
      <c r="A12" s="827"/>
      <c r="B12" s="827"/>
      <c r="C12" s="827"/>
      <c r="D12" s="827"/>
      <c r="E12" s="827"/>
    </row>
    <row r="13" spans="1:5" x14ac:dyDescent="0.25">
      <c r="A13" s="827"/>
      <c r="B13" s="827"/>
      <c r="C13" s="827"/>
      <c r="D13" s="827"/>
      <c r="E13" s="827"/>
    </row>
    <row r="14" spans="1:5" x14ac:dyDescent="0.25">
      <c r="A14" s="827"/>
      <c r="B14" s="827"/>
      <c r="C14" s="827"/>
      <c r="D14" s="827"/>
      <c r="E14" s="827"/>
    </row>
    <row r="15" spans="1:5" x14ac:dyDescent="0.25">
      <c r="A15" s="827"/>
      <c r="B15" s="827"/>
      <c r="C15" s="827"/>
      <c r="D15" s="827"/>
      <c r="E15" s="827"/>
    </row>
    <row r="16" spans="1:5" x14ac:dyDescent="0.25">
      <c r="A16" s="827"/>
      <c r="B16" s="827"/>
      <c r="C16" s="827"/>
      <c r="D16" s="827"/>
      <c r="E16" s="827"/>
    </row>
    <row r="17" spans="1:5" x14ac:dyDescent="0.25">
      <c r="A17" s="827"/>
      <c r="B17" s="827"/>
      <c r="C17" s="827"/>
      <c r="D17" s="827"/>
      <c r="E17" s="827"/>
    </row>
    <row r="18" spans="1:5" x14ac:dyDescent="0.25">
      <c r="A18" s="827"/>
      <c r="B18" s="827"/>
      <c r="C18" s="827"/>
      <c r="D18" s="827"/>
      <c r="E18" s="827"/>
    </row>
    <row r="19" spans="1:5" x14ac:dyDescent="0.25">
      <c r="A19" s="827"/>
      <c r="B19" s="827"/>
      <c r="C19" s="827"/>
      <c r="D19" s="827"/>
      <c r="E19" s="827"/>
    </row>
    <row r="20" spans="1:5" x14ac:dyDescent="0.25">
      <c r="A20" s="827"/>
      <c r="B20" s="827"/>
      <c r="C20" s="827"/>
      <c r="D20" s="827"/>
      <c r="E20" s="827"/>
    </row>
    <row r="21" spans="1:5" x14ac:dyDescent="0.25">
      <c r="A21" s="827"/>
      <c r="B21" s="827"/>
      <c r="C21" s="827"/>
      <c r="D21" s="827"/>
      <c r="E21" s="827"/>
    </row>
    <row r="22" spans="1:5" x14ac:dyDescent="0.25">
      <c r="A22" s="827"/>
      <c r="B22" s="827"/>
      <c r="C22" s="827"/>
      <c r="D22" s="827"/>
      <c r="E22" s="827"/>
    </row>
    <row r="23" spans="1:5" x14ac:dyDescent="0.25">
      <c r="A23" s="827"/>
      <c r="B23" s="827"/>
      <c r="C23" s="827"/>
      <c r="D23" s="827"/>
      <c r="E23" s="827"/>
    </row>
    <row r="24" spans="1:5" x14ac:dyDescent="0.25">
      <c r="A24" s="827"/>
      <c r="B24" s="827"/>
      <c r="C24" s="827"/>
      <c r="D24" s="827"/>
      <c r="E24" s="827"/>
    </row>
    <row r="25" spans="1:5" x14ac:dyDescent="0.25">
      <c r="A25" s="827"/>
      <c r="B25" s="827"/>
      <c r="C25" s="827"/>
      <c r="D25" s="827"/>
      <c r="E25" s="827"/>
    </row>
    <row r="26" spans="1:5" x14ac:dyDescent="0.25">
      <c r="A26" s="827"/>
      <c r="B26" s="827"/>
      <c r="C26" s="827"/>
      <c r="D26" s="827"/>
      <c r="E26" s="827"/>
    </row>
    <row r="27" spans="1:5" x14ac:dyDescent="0.25">
      <c r="A27" s="827"/>
      <c r="B27" s="827"/>
      <c r="C27" s="827"/>
      <c r="D27" s="827"/>
      <c r="E27" s="827"/>
    </row>
    <row r="28" spans="1:5" x14ac:dyDescent="0.25">
      <c r="A28" s="827"/>
      <c r="B28" s="827"/>
      <c r="C28" s="827"/>
      <c r="D28" s="827"/>
      <c r="E28" s="827"/>
    </row>
    <row r="29" spans="1:5" x14ac:dyDescent="0.25">
      <c r="A29" s="827"/>
      <c r="B29" s="827"/>
      <c r="C29" s="827"/>
      <c r="D29" s="827"/>
      <c r="E29" s="827"/>
    </row>
    <row r="30" spans="1:5" x14ac:dyDescent="0.25">
      <c r="A30" s="827"/>
      <c r="B30" s="827"/>
      <c r="C30" s="827"/>
      <c r="D30" s="827"/>
      <c r="E30" s="827"/>
    </row>
    <row r="31" spans="1:5" x14ac:dyDescent="0.25">
      <c r="A31" s="827"/>
      <c r="B31" s="827"/>
      <c r="C31" s="827"/>
      <c r="D31" s="827"/>
      <c r="E31" s="827"/>
    </row>
    <row r="32" spans="1:5" x14ac:dyDescent="0.25">
      <c r="A32" s="827"/>
      <c r="B32" s="827"/>
      <c r="C32" s="827"/>
      <c r="D32" s="827"/>
      <c r="E32" s="827"/>
    </row>
    <row r="33" spans="1:5" x14ac:dyDescent="0.25">
      <c r="A33" s="827"/>
      <c r="B33" s="827"/>
      <c r="C33" s="827"/>
      <c r="D33" s="827"/>
      <c r="E33" s="827"/>
    </row>
    <row r="34" spans="1:5" x14ac:dyDescent="0.25">
      <c r="A34" s="827"/>
      <c r="B34" s="827"/>
      <c r="C34" s="827"/>
      <c r="D34" s="827"/>
      <c r="E34" s="827"/>
    </row>
    <row r="35" spans="1:5" x14ac:dyDescent="0.25">
      <c r="A35" s="827"/>
      <c r="B35" s="827"/>
      <c r="C35" s="827"/>
      <c r="D35" s="827"/>
      <c r="E35" s="82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0000"/>
    <pageSetUpPr fitToPage="1"/>
  </sheetPr>
  <dimension ref="A1:AB872"/>
  <sheetViews>
    <sheetView showGridLines="0" showZeros="0" zoomScale="90" zoomScaleNormal="90" workbookViewId="0">
      <pane xSplit="25" ySplit="5" topLeftCell="Z6" activePane="bottomRight" state="frozen"/>
      <selection activeCell="O833" sqref="O833"/>
      <selection pane="topRight" activeCell="O833" sqref="O833"/>
      <selection pane="bottomLeft" activeCell="O833" sqref="O833"/>
      <selection pane="bottomRight" activeCell="J30" sqref="J30"/>
    </sheetView>
  </sheetViews>
  <sheetFormatPr defaultColWidth="8.85546875" defaultRowHeight="15" x14ac:dyDescent="0.25"/>
  <cols>
    <col min="1" max="1" width="10.42578125" style="195" customWidth="1"/>
    <col min="2" max="2" width="11" style="195" customWidth="1"/>
    <col min="3" max="3" width="11.140625" customWidth="1"/>
    <col min="4" max="4" width="30.42578125" style="195" customWidth="1"/>
    <col min="5" max="5" width="10" style="195" customWidth="1"/>
    <col min="6" max="6" width="8.7109375" style="209" customWidth="1"/>
    <col min="7" max="7" width="4.28515625" style="214" customWidth="1"/>
    <col min="8" max="8" width="5.28515625" style="196" customWidth="1"/>
    <col min="9" max="9" width="6.42578125" style="195" customWidth="1"/>
    <col min="10" max="10" width="9.140625" style="197" customWidth="1"/>
    <col min="11" max="11" width="8.42578125" style="198" customWidth="1"/>
    <col min="12" max="12" width="8.7109375" style="198" customWidth="1"/>
    <col min="13" max="13" width="8.7109375" style="195" customWidth="1"/>
    <col min="14" max="14" width="10" style="549" customWidth="1"/>
    <col min="15" max="15" width="10.85546875" style="195" customWidth="1"/>
    <col min="16" max="16" width="9" style="556" customWidth="1"/>
    <col min="17" max="17" width="8.85546875" style="207" customWidth="1"/>
    <col min="18" max="18" width="9.42578125" style="201" customWidth="1"/>
    <col min="19" max="19" width="8" style="201" customWidth="1"/>
    <col min="20" max="20" width="9.7109375" style="200" customWidth="1"/>
    <col min="21" max="21" width="8" style="203" customWidth="1"/>
    <col min="22" max="23" width="7.85546875" style="201" customWidth="1"/>
    <col min="24" max="25" width="8.7109375" style="201" customWidth="1"/>
    <col min="26" max="26" width="8.85546875" style="195"/>
    <col min="27" max="27" width="5.42578125" style="195" customWidth="1"/>
    <col min="28" max="28" width="1.85546875" style="195" customWidth="1"/>
    <col min="29" max="29" width="6.28515625" style="195" customWidth="1"/>
    <col min="30" max="30" width="8.42578125" style="195" customWidth="1"/>
    <col min="31" max="16384" width="8.85546875" style="195"/>
  </cols>
  <sheetData>
    <row r="1" spans="1:25" ht="13.5" thickBot="1" x14ac:dyDescent="0.25">
      <c r="A1" s="194"/>
      <c r="B1" s="193" t="s">
        <v>661</v>
      </c>
      <c r="C1" s="924" t="s">
        <v>723</v>
      </c>
      <c r="D1" s="924"/>
      <c r="F1" s="204"/>
      <c r="G1" s="195"/>
      <c r="H1" s="197"/>
      <c r="I1" s="198"/>
      <c r="J1" s="198"/>
      <c r="K1" s="195"/>
      <c r="L1" s="199"/>
      <c r="M1" s="199" t="s">
        <v>35</v>
      </c>
      <c r="N1" s="550"/>
      <c r="O1" s="291">
        <f>'Base Bid'!R3</f>
        <v>93.75</v>
      </c>
      <c r="P1" s="553"/>
      <c r="Q1" s="557" t="s">
        <v>569</v>
      </c>
      <c r="R1" s="571">
        <v>-0.35</v>
      </c>
      <c r="T1" s="201"/>
      <c r="U1" s="201"/>
      <c r="W1" s="195"/>
      <c r="X1" s="195"/>
      <c r="Y1" s="195"/>
    </row>
    <row r="2" spans="1:25" ht="12.75" x14ac:dyDescent="0.2">
      <c r="C2" s="195"/>
      <c r="F2" s="204"/>
      <c r="G2" s="195"/>
      <c r="H2" s="197"/>
      <c r="I2" s="198"/>
      <c r="J2" s="198"/>
      <c r="K2" s="195"/>
      <c r="L2" s="195"/>
      <c r="M2" s="202"/>
      <c r="O2" s="198"/>
      <c r="P2" s="553"/>
      <c r="Q2" s="558"/>
      <c r="R2" s="560"/>
      <c r="T2" s="201"/>
      <c r="U2" s="201"/>
      <c r="W2" s="195"/>
      <c r="X2" s="195"/>
      <c r="Y2" s="195"/>
    </row>
    <row r="3" spans="1:25" ht="12.75" x14ac:dyDescent="0.2">
      <c r="C3" s="195"/>
      <c r="F3" s="204"/>
      <c r="G3" s="195"/>
      <c r="H3" s="197"/>
      <c r="I3" s="198"/>
      <c r="J3" s="198"/>
      <c r="K3" s="195"/>
      <c r="L3" s="925"/>
      <c r="M3" s="925"/>
      <c r="O3" s="198"/>
      <c r="P3" s="553"/>
      <c r="Q3" s="558"/>
      <c r="T3" s="201"/>
      <c r="U3" s="201"/>
      <c r="W3" s="195"/>
      <c r="X3" s="195"/>
      <c r="Y3" s="195"/>
    </row>
    <row r="4" spans="1:25" ht="12.75" x14ac:dyDescent="0.2">
      <c r="C4" s="195"/>
      <c r="F4" s="532"/>
      <c r="G4" s="531"/>
      <c r="H4" s="531"/>
      <c r="I4" s="531"/>
      <c r="J4" s="532" t="s">
        <v>866</v>
      </c>
      <c r="K4" s="532"/>
      <c r="L4" s="533"/>
      <c r="M4" s="534"/>
      <c r="N4" s="551"/>
      <c r="O4" s="531"/>
      <c r="P4" s="554"/>
      <c r="Q4" s="559"/>
      <c r="R4" s="559"/>
      <c r="T4" s="201"/>
      <c r="U4" s="201"/>
      <c r="W4" s="195"/>
      <c r="X4" s="195"/>
      <c r="Y4" s="195"/>
    </row>
    <row r="5" spans="1:25" s="569" customFormat="1" ht="30" customHeight="1" x14ac:dyDescent="0.25">
      <c r="A5" s="561" t="s">
        <v>571</v>
      </c>
      <c r="B5" s="561" t="s">
        <v>570</v>
      </c>
      <c r="C5" s="561" t="s">
        <v>572</v>
      </c>
      <c r="D5" s="561" t="s">
        <v>573</v>
      </c>
      <c r="E5" s="561" t="s">
        <v>574</v>
      </c>
      <c r="F5" s="539" t="s">
        <v>575</v>
      </c>
      <c r="G5" s="543" t="s">
        <v>576</v>
      </c>
      <c r="H5" s="539" t="s">
        <v>577</v>
      </c>
      <c r="I5" s="543" t="s">
        <v>578</v>
      </c>
      <c r="J5" s="562" t="s">
        <v>579</v>
      </c>
      <c r="K5" s="563" t="s">
        <v>580</v>
      </c>
      <c r="L5" s="535" t="s">
        <v>867</v>
      </c>
      <c r="M5" s="215" t="s">
        <v>660</v>
      </c>
      <c r="N5" s="564" t="s">
        <v>883</v>
      </c>
      <c r="O5" s="543" t="s">
        <v>522</v>
      </c>
      <c r="P5" s="565" t="s">
        <v>581</v>
      </c>
      <c r="Q5" s="566" t="s">
        <v>582</v>
      </c>
      <c r="R5" s="567" t="s">
        <v>3</v>
      </c>
      <c r="S5" s="567" t="s">
        <v>73</v>
      </c>
      <c r="T5" s="567" t="s">
        <v>583</v>
      </c>
      <c r="U5" s="568" t="s">
        <v>584</v>
      </c>
      <c r="V5" s="568"/>
    </row>
    <row r="6" spans="1:25" ht="12.75" x14ac:dyDescent="0.2">
      <c r="A6" s="195" t="s">
        <v>606</v>
      </c>
      <c r="B6" s="195" t="s">
        <v>605</v>
      </c>
      <c r="C6" s="195">
        <v>45</v>
      </c>
      <c r="D6" s="195" t="s">
        <v>629</v>
      </c>
      <c r="E6" s="288"/>
      <c r="F6" s="204">
        <v>0.5</v>
      </c>
      <c r="G6" s="204"/>
      <c r="H6" s="197"/>
      <c r="I6" s="210"/>
      <c r="J6" s="205">
        <v>0.51</v>
      </c>
      <c r="K6" s="287">
        <v>0.13</v>
      </c>
      <c r="L6" s="206">
        <v>1.04</v>
      </c>
      <c r="M6" s="286">
        <v>1.04</v>
      </c>
      <c r="N6" s="552">
        <v>41791</v>
      </c>
      <c r="O6" s="205">
        <f>K6*E6</f>
        <v>0</v>
      </c>
      <c r="P6" s="555">
        <f>(1+$R$1)*Table33[[#This Row],[Hours]]</f>
        <v>0</v>
      </c>
      <c r="Q6" s="207">
        <f>P6*$O$1</f>
        <v>0</v>
      </c>
      <c r="R6" s="208">
        <f>M6*E6</f>
        <v>0</v>
      </c>
      <c r="S6" s="208">
        <f>R6+Q6</f>
        <v>0</v>
      </c>
      <c r="T6" s="208" t="str">
        <f>IF(E6="","",S6/E6)</f>
        <v/>
      </c>
      <c r="U6" s="195">
        <f>Table33[[#This Row],[gal/100ft]]*Table33[[#This Row],[QTY]]/100</f>
        <v>0</v>
      </c>
      <c r="V6" s="195"/>
      <c r="W6" s="195"/>
      <c r="X6" s="195"/>
      <c r="Y6" s="195"/>
    </row>
    <row r="7" spans="1:25" ht="12.75" x14ac:dyDescent="0.2">
      <c r="A7" s="195" t="s">
        <v>606</v>
      </c>
      <c r="B7" s="195" t="s">
        <v>605</v>
      </c>
      <c r="C7" s="195">
        <v>45</v>
      </c>
      <c r="D7" s="195" t="s">
        <v>629</v>
      </c>
      <c r="E7" s="288"/>
      <c r="F7" s="204">
        <v>0.75</v>
      </c>
      <c r="G7" s="204"/>
      <c r="H7" s="197"/>
      <c r="I7" s="210"/>
      <c r="J7" s="205">
        <v>0.56000000000000005</v>
      </c>
      <c r="K7" s="287">
        <v>0.16</v>
      </c>
      <c r="L7" s="206">
        <v>1.34</v>
      </c>
      <c r="M7" s="286">
        <v>1.34</v>
      </c>
      <c r="N7" s="552">
        <v>41791</v>
      </c>
      <c r="O7" s="205">
        <f t="shared" ref="O7:O22" si="0">K7*E7</f>
        <v>0</v>
      </c>
      <c r="P7" s="555">
        <f>(1+$R$1)*Table33[[#This Row],[Hours]]</f>
        <v>0</v>
      </c>
      <c r="Q7" s="207">
        <f t="shared" ref="Q7:Q70" si="1">P7*$O$1</f>
        <v>0</v>
      </c>
      <c r="R7" s="208">
        <f t="shared" ref="R7:R22" si="2">M7*E7</f>
        <v>0</v>
      </c>
      <c r="S7" s="208">
        <f t="shared" ref="S7:S22" si="3">R7+Q7</f>
        <v>0</v>
      </c>
      <c r="T7" s="208" t="str">
        <f t="shared" ref="T7:T22" si="4">IF(E7="","",S7/E7)</f>
        <v/>
      </c>
      <c r="U7" s="195">
        <f>Table33[[#This Row],[gal/100ft]]*Table33[[#This Row],[QTY]]/100</f>
        <v>0</v>
      </c>
      <c r="V7" s="195"/>
      <c r="W7" s="195"/>
      <c r="X7" s="195"/>
      <c r="Y7" s="195"/>
    </row>
    <row r="8" spans="1:25" ht="12.75" x14ac:dyDescent="0.2">
      <c r="A8" s="195" t="s">
        <v>606</v>
      </c>
      <c r="B8" s="195" t="s">
        <v>605</v>
      </c>
      <c r="C8" s="195">
        <v>45</v>
      </c>
      <c r="D8" s="195" t="s">
        <v>629</v>
      </c>
      <c r="E8" s="288"/>
      <c r="F8" s="204">
        <v>1</v>
      </c>
      <c r="G8" s="204"/>
      <c r="H8" s="197"/>
      <c r="I8" s="210"/>
      <c r="J8" s="205">
        <v>0.6</v>
      </c>
      <c r="K8" s="287">
        <v>0.18</v>
      </c>
      <c r="L8" s="206">
        <v>1.93</v>
      </c>
      <c r="M8" s="286">
        <v>1.93</v>
      </c>
      <c r="N8" s="552">
        <v>41791</v>
      </c>
      <c r="O8" s="205">
        <f t="shared" si="0"/>
        <v>0</v>
      </c>
      <c r="P8" s="555">
        <f>(1+$R$1)*Table33[[#This Row],[Hours]]</f>
        <v>0</v>
      </c>
      <c r="Q8" s="207">
        <f t="shared" si="1"/>
        <v>0</v>
      </c>
      <c r="R8" s="208">
        <f t="shared" si="2"/>
        <v>0</v>
      </c>
      <c r="S8" s="208">
        <f t="shared" si="3"/>
        <v>0</v>
      </c>
      <c r="T8" s="208" t="str">
        <f t="shared" si="4"/>
        <v/>
      </c>
      <c r="U8" s="195">
        <f>Table33[[#This Row],[gal/100ft]]*Table33[[#This Row],[QTY]]/100</f>
        <v>0</v>
      </c>
      <c r="V8" s="195"/>
      <c r="W8" s="195"/>
      <c r="X8" s="195"/>
      <c r="Y8" s="195"/>
    </row>
    <row r="9" spans="1:25" ht="12.75" x14ac:dyDescent="0.2">
      <c r="A9" s="195" t="s">
        <v>606</v>
      </c>
      <c r="B9" s="195" t="s">
        <v>605</v>
      </c>
      <c r="C9" s="195">
        <v>45</v>
      </c>
      <c r="D9" s="195" t="s">
        <v>629</v>
      </c>
      <c r="E9" s="288"/>
      <c r="F9" s="204">
        <v>1.25</v>
      </c>
      <c r="G9" s="204"/>
      <c r="H9" s="197"/>
      <c r="I9" s="210"/>
      <c r="J9" s="205">
        <v>0.66</v>
      </c>
      <c r="K9" s="287">
        <v>0.2</v>
      </c>
      <c r="L9" s="206">
        <v>2.97</v>
      </c>
      <c r="M9" s="286">
        <v>2.97</v>
      </c>
      <c r="N9" s="552">
        <v>41791</v>
      </c>
      <c r="O9" s="205">
        <f t="shared" si="0"/>
        <v>0</v>
      </c>
      <c r="P9" s="555">
        <f>(1+$R$1)*Table33[[#This Row],[Hours]]</f>
        <v>0</v>
      </c>
      <c r="Q9" s="207">
        <f t="shared" si="1"/>
        <v>0</v>
      </c>
      <c r="R9" s="208">
        <f t="shared" si="2"/>
        <v>0</v>
      </c>
      <c r="S9" s="208">
        <f t="shared" si="3"/>
        <v>0</v>
      </c>
      <c r="T9" s="208" t="str">
        <f t="shared" si="4"/>
        <v/>
      </c>
      <c r="U9" s="195">
        <f>Table33[[#This Row],[gal/100ft]]*Table33[[#This Row],[QTY]]/100</f>
        <v>0</v>
      </c>
      <c r="V9" s="195"/>
      <c r="W9" s="195"/>
      <c r="X9" s="195"/>
      <c r="Y9" s="195"/>
    </row>
    <row r="10" spans="1:25" ht="12.75" x14ac:dyDescent="0.2">
      <c r="A10" s="195" t="s">
        <v>606</v>
      </c>
      <c r="B10" s="195" t="s">
        <v>605</v>
      </c>
      <c r="C10" s="195">
        <v>45</v>
      </c>
      <c r="D10" s="195" t="s">
        <v>629</v>
      </c>
      <c r="E10" s="288"/>
      <c r="F10" s="204">
        <v>1.5</v>
      </c>
      <c r="G10" s="204"/>
      <c r="H10" s="197"/>
      <c r="I10" s="210"/>
      <c r="J10" s="205">
        <v>0.69</v>
      </c>
      <c r="K10" s="287">
        <v>0.26</v>
      </c>
      <c r="L10" s="206">
        <v>6.4</v>
      </c>
      <c r="M10" s="286">
        <v>6.4</v>
      </c>
      <c r="N10" s="552">
        <v>41791</v>
      </c>
      <c r="O10" s="205">
        <f t="shared" si="0"/>
        <v>0</v>
      </c>
      <c r="P10" s="555">
        <f>(1+$R$1)*Table33[[#This Row],[Hours]]</f>
        <v>0</v>
      </c>
      <c r="Q10" s="207">
        <f t="shared" si="1"/>
        <v>0</v>
      </c>
      <c r="R10" s="208">
        <f t="shared" si="2"/>
        <v>0</v>
      </c>
      <c r="S10" s="208">
        <f t="shared" si="3"/>
        <v>0</v>
      </c>
      <c r="T10" s="208" t="str">
        <f t="shared" si="4"/>
        <v/>
      </c>
      <c r="U10" s="195">
        <f>Table33[[#This Row],[gal/100ft]]*Table33[[#This Row],[QTY]]/100</f>
        <v>0</v>
      </c>
      <c r="V10" s="195"/>
      <c r="W10" s="195"/>
      <c r="X10" s="195"/>
      <c r="Y10" s="195"/>
    </row>
    <row r="11" spans="1:25" ht="12.75" x14ac:dyDescent="0.2">
      <c r="A11" s="195" t="s">
        <v>606</v>
      </c>
      <c r="B11" s="195" t="s">
        <v>605</v>
      </c>
      <c r="C11" s="195">
        <v>45</v>
      </c>
      <c r="D11" s="195" t="s">
        <v>629</v>
      </c>
      <c r="E11" s="288"/>
      <c r="F11" s="204">
        <v>2</v>
      </c>
      <c r="G11" s="204"/>
      <c r="H11" s="197"/>
      <c r="I11" s="210"/>
      <c r="J11" s="205">
        <v>0.79</v>
      </c>
      <c r="K11" s="287">
        <v>0.3</v>
      </c>
      <c r="L11" s="206">
        <v>9.7100000000000009</v>
      </c>
      <c r="M11" s="286">
        <v>9.7100000000000009</v>
      </c>
      <c r="N11" s="552">
        <v>41791</v>
      </c>
      <c r="O11" s="205">
        <f t="shared" si="0"/>
        <v>0</v>
      </c>
      <c r="P11" s="555">
        <f>(1+$R$1)*Table33[[#This Row],[Hours]]</f>
        <v>0</v>
      </c>
      <c r="Q11" s="207">
        <f t="shared" si="1"/>
        <v>0</v>
      </c>
      <c r="R11" s="208">
        <f t="shared" si="2"/>
        <v>0</v>
      </c>
      <c r="S11" s="208">
        <f t="shared" si="3"/>
        <v>0</v>
      </c>
      <c r="T11" s="208" t="str">
        <f t="shared" si="4"/>
        <v/>
      </c>
      <c r="U11" s="195">
        <f>Table33[[#This Row],[gal/100ft]]*Table33[[#This Row],[QTY]]/100</f>
        <v>0</v>
      </c>
      <c r="V11" s="195"/>
      <c r="W11" s="195"/>
      <c r="X11" s="195"/>
      <c r="Y11" s="195"/>
    </row>
    <row r="12" spans="1:25" ht="12.75" x14ac:dyDescent="0.2">
      <c r="A12" s="195" t="s">
        <v>606</v>
      </c>
      <c r="B12" s="195" t="s">
        <v>605</v>
      </c>
      <c r="C12" s="195">
        <v>45</v>
      </c>
      <c r="D12" s="195" t="s">
        <v>629</v>
      </c>
      <c r="E12" s="288"/>
      <c r="F12" s="204">
        <v>2.5</v>
      </c>
      <c r="G12" s="204"/>
      <c r="H12" s="197"/>
      <c r="I12" s="210"/>
      <c r="J12" s="205">
        <v>0.98</v>
      </c>
      <c r="K12" s="287">
        <v>0.33</v>
      </c>
      <c r="L12" s="206">
        <v>21.53</v>
      </c>
      <c r="M12" s="286">
        <v>21.53</v>
      </c>
      <c r="N12" s="552">
        <v>41791</v>
      </c>
      <c r="O12" s="205">
        <f t="shared" si="0"/>
        <v>0</v>
      </c>
      <c r="P12" s="555">
        <f>(1+$R$1)*Table33[[#This Row],[Hours]]</f>
        <v>0</v>
      </c>
      <c r="Q12" s="207">
        <f t="shared" si="1"/>
        <v>0</v>
      </c>
      <c r="R12" s="208">
        <f t="shared" si="2"/>
        <v>0</v>
      </c>
      <c r="S12" s="208">
        <f t="shared" si="3"/>
        <v>0</v>
      </c>
      <c r="T12" s="208" t="str">
        <f t="shared" si="4"/>
        <v/>
      </c>
      <c r="U12" s="195">
        <f>Table33[[#This Row],[gal/100ft]]*Table33[[#This Row],[QTY]]/100</f>
        <v>0</v>
      </c>
      <c r="V12" s="195"/>
      <c r="W12" s="195"/>
      <c r="X12" s="195"/>
      <c r="Y12" s="195"/>
    </row>
    <row r="13" spans="1:25" ht="12.75" x14ac:dyDescent="0.2">
      <c r="A13" s="195" t="s">
        <v>606</v>
      </c>
      <c r="B13" s="195" t="s">
        <v>605</v>
      </c>
      <c r="C13" s="195">
        <v>45</v>
      </c>
      <c r="D13" s="195" t="s">
        <v>629</v>
      </c>
      <c r="E13" s="288"/>
      <c r="F13" s="204">
        <v>3</v>
      </c>
      <c r="G13" s="204"/>
      <c r="H13" s="197"/>
      <c r="I13" s="210"/>
      <c r="J13" s="205">
        <v>1.17</v>
      </c>
      <c r="K13" s="287">
        <v>0.45</v>
      </c>
      <c r="L13" s="206">
        <v>39.74</v>
      </c>
      <c r="M13" s="286">
        <v>39.74</v>
      </c>
      <c r="N13" s="552">
        <v>41791</v>
      </c>
      <c r="O13" s="205">
        <f t="shared" si="0"/>
        <v>0</v>
      </c>
      <c r="P13" s="555">
        <f>(1+$R$1)*Table33[[#This Row],[Hours]]</f>
        <v>0</v>
      </c>
      <c r="Q13" s="207">
        <f t="shared" si="1"/>
        <v>0</v>
      </c>
      <c r="R13" s="208">
        <f t="shared" si="2"/>
        <v>0</v>
      </c>
      <c r="S13" s="208">
        <f t="shared" si="3"/>
        <v>0</v>
      </c>
      <c r="T13" s="208" t="str">
        <f t="shared" si="4"/>
        <v/>
      </c>
      <c r="U13" s="195">
        <f>Table33[[#This Row],[gal/100ft]]*Table33[[#This Row],[QTY]]/100</f>
        <v>0</v>
      </c>
      <c r="V13" s="195"/>
      <c r="W13" s="195"/>
      <c r="X13" s="195"/>
      <c r="Y13" s="195"/>
    </row>
    <row r="14" spans="1:25" ht="12.75" x14ac:dyDescent="0.2">
      <c r="A14" s="195" t="s">
        <v>606</v>
      </c>
      <c r="B14" s="195" t="s">
        <v>605</v>
      </c>
      <c r="C14" s="195">
        <v>45</v>
      </c>
      <c r="D14" s="195" t="s">
        <v>629</v>
      </c>
      <c r="E14" s="288"/>
      <c r="F14" s="204">
        <v>3.5</v>
      </c>
      <c r="G14" s="204"/>
      <c r="H14" s="197"/>
      <c r="I14" s="210"/>
      <c r="J14" s="205">
        <v>1.37</v>
      </c>
      <c r="K14" s="287">
        <v>0.45</v>
      </c>
      <c r="L14" s="206">
        <v>56.58</v>
      </c>
      <c r="M14" s="286">
        <v>56.58</v>
      </c>
      <c r="N14" s="552">
        <v>41791</v>
      </c>
      <c r="O14" s="205">
        <f t="shared" si="0"/>
        <v>0</v>
      </c>
      <c r="P14" s="555">
        <f>(1+$R$1)*Table33[[#This Row],[Hours]]</f>
        <v>0</v>
      </c>
      <c r="Q14" s="207">
        <f t="shared" si="1"/>
        <v>0</v>
      </c>
      <c r="R14" s="208">
        <f t="shared" si="2"/>
        <v>0</v>
      </c>
      <c r="S14" s="208">
        <f t="shared" si="3"/>
        <v>0</v>
      </c>
      <c r="T14" s="208" t="str">
        <f t="shared" si="4"/>
        <v/>
      </c>
      <c r="U14" s="195">
        <f>Table33[[#This Row],[gal/100ft]]*Table33[[#This Row],[QTY]]/100</f>
        <v>0</v>
      </c>
      <c r="V14" s="195"/>
      <c r="W14" s="195"/>
      <c r="X14" s="195"/>
      <c r="Y14" s="195"/>
    </row>
    <row r="15" spans="1:25" ht="12.75" x14ac:dyDescent="0.2">
      <c r="A15" s="195" t="s">
        <v>606</v>
      </c>
      <c r="B15" s="195" t="s">
        <v>605</v>
      </c>
      <c r="C15" s="195">
        <v>45</v>
      </c>
      <c r="D15" s="195" t="s">
        <v>629</v>
      </c>
      <c r="E15" s="288"/>
      <c r="F15" s="204">
        <v>4</v>
      </c>
      <c r="G15" s="204"/>
      <c r="H15" s="197"/>
      <c r="I15" s="210"/>
      <c r="J15" s="205">
        <v>1.56</v>
      </c>
      <c r="K15" s="287">
        <v>0.55000000000000004</v>
      </c>
      <c r="L15" s="206">
        <v>87.12</v>
      </c>
      <c r="M15" s="286">
        <v>87.12</v>
      </c>
      <c r="N15" s="552">
        <v>41791</v>
      </c>
      <c r="O15" s="205">
        <f t="shared" si="0"/>
        <v>0</v>
      </c>
      <c r="P15" s="555">
        <f>(1+$R$1)*Table33[[#This Row],[Hours]]</f>
        <v>0</v>
      </c>
      <c r="Q15" s="207">
        <f t="shared" si="1"/>
        <v>0</v>
      </c>
      <c r="R15" s="208">
        <f t="shared" si="2"/>
        <v>0</v>
      </c>
      <c r="S15" s="208">
        <f t="shared" si="3"/>
        <v>0</v>
      </c>
      <c r="T15" s="208" t="str">
        <f t="shared" si="4"/>
        <v/>
      </c>
      <c r="U15" s="195">
        <f>Table33[[#This Row],[gal/100ft]]*Table33[[#This Row],[QTY]]/100</f>
        <v>0</v>
      </c>
      <c r="V15" s="195"/>
      <c r="W15" s="195"/>
      <c r="X15" s="195"/>
      <c r="Y15" s="195"/>
    </row>
    <row r="16" spans="1:25" ht="12.75" x14ac:dyDescent="0.2">
      <c r="A16" s="195" t="s">
        <v>612</v>
      </c>
      <c r="B16" s="536" t="s">
        <v>875</v>
      </c>
      <c r="C16" s="195">
        <v>45</v>
      </c>
      <c r="D16" s="536" t="s">
        <v>868</v>
      </c>
      <c r="E16" s="288"/>
      <c r="F16" s="204">
        <v>1</v>
      </c>
      <c r="G16" s="204"/>
      <c r="H16" s="197"/>
      <c r="I16" s="198"/>
      <c r="J16" s="205"/>
      <c r="K16" s="287"/>
      <c r="L16" s="206">
        <v>68.5</v>
      </c>
      <c r="M16" s="286">
        <v>68.5</v>
      </c>
      <c r="N16" s="552">
        <v>41791</v>
      </c>
      <c r="O16" s="205">
        <f t="shared" si="0"/>
        <v>0</v>
      </c>
      <c r="P16" s="555">
        <f>(1+$R$1)*Table33[[#This Row],[Hours]]</f>
        <v>0</v>
      </c>
      <c r="Q16" s="207">
        <f t="shared" si="1"/>
        <v>0</v>
      </c>
      <c r="R16" s="208">
        <f t="shared" si="2"/>
        <v>0</v>
      </c>
      <c r="S16" s="208">
        <f t="shared" si="3"/>
        <v>0</v>
      </c>
      <c r="T16" s="208" t="str">
        <f t="shared" si="4"/>
        <v/>
      </c>
      <c r="U16" s="195">
        <f>Table33[[#This Row],[gal/100ft]]*Table33[[#This Row],[QTY]]/100</f>
        <v>0</v>
      </c>
      <c r="V16" s="195"/>
      <c r="W16" s="195"/>
      <c r="X16" s="195"/>
      <c r="Y16" s="195"/>
    </row>
    <row r="17" spans="1:25" ht="12.75" x14ac:dyDescent="0.2">
      <c r="A17" s="195" t="s">
        <v>612</v>
      </c>
      <c r="B17" s="536" t="s">
        <v>875</v>
      </c>
      <c r="C17" s="195">
        <v>45</v>
      </c>
      <c r="D17" s="536" t="s">
        <v>868</v>
      </c>
      <c r="E17" s="288"/>
      <c r="F17" s="204">
        <v>1.25</v>
      </c>
      <c r="G17" s="204"/>
      <c r="H17" s="197"/>
      <c r="I17" s="198"/>
      <c r="J17" s="205">
        <v>0.69</v>
      </c>
      <c r="K17" s="287">
        <v>0.69</v>
      </c>
      <c r="L17" s="206">
        <v>68.5</v>
      </c>
      <c r="M17" s="286">
        <v>68.5</v>
      </c>
      <c r="N17" s="552">
        <v>41791</v>
      </c>
      <c r="O17" s="205">
        <f t="shared" si="0"/>
        <v>0</v>
      </c>
      <c r="P17" s="555">
        <f>(1+$R$1)*Table33[[#This Row],[Hours]]</f>
        <v>0</v>
      </c>
      <c r="Q17" s="207">
        <f t="shared" si="1"/>
        <v>0</v>
      </c>
      <c r="R17" s="208">
        <f t="shared" si="2"/>
        <v>0</v>
      </c>
      <c r="S17" s="208">
        <f t="shared" si="3"/>
        <v>0</v>
      </c>
      <c r="T17" s="208" t="str">
        <f t="shared" si="4"/>
        <v/>
      </c>
      <c r="U17" s="195">
        <f>Table33[[#This Row],[gal/100ft]]*Table33[[#This Row],[QTY]]/100</f>
        <v>0</v>
      </c>
      <c r="V17" s="195"/>
      <c r="W17" s="195"/>
      <c r="X17" s="195"/>
      <c r="Y17" s="195"/>
    </row>
    <row r="18" spans="1:25" ht="12.75" x14ac:dyDescent="0.2">
      <c r="A18" s="195" t="s">
        <v>612</v>
      </c>
      <c r="B18" s="536" t="s">
        <v>875</v>
      </c>
      <c r="C18" s="195">
        <v>45</v>
      </c>
      <c r="D18" s="536" t="s">
        <v>868</v>
      </c>
      <c r="E18" s="288"/>
      <c r="F18" s="204">
        <v>1.5</v>
      </c>
      <c r="G18" s="204"/>
      <c r="H18" s="197"/>
      <c r="I18" s="198"/>
      <c r="J18" s="205">
        <v>0.73</v>
      </c>
      <c r="K18" s="287">
        <v>0.73</v>
      </c>
      <c r="L18" s="206">
        <v>70.5</v>
      </c>
      <c r="M18" s="286">
        <v>70.5</v>
      </c>
      <c r="N18" s="552">
        <v>41791</v>
      </c>
      <c r="O18" s="205">
        <f t="shared" si="0"/>
        <v>0</v>
      </c>
      <c r="P18" s="555">
        <f>(1+$R$1)*Table33[[#This Row],[Hours]]</f>
        <v>0</v>
      </c>
      <c r="Q18" s="207">
        <f t="shared" si="1"/>
        <v>0</v>
      </c>
      <c r="R18" s="208">
        <f t="shared" si="2"/>
        <v>0</v>
      </c>
      <c r="S18" s="208">
        <f t="shared" si="3"/>
        <v>0</v>
      </c>
      <c r="T18" s="208" t="str">
        <f t="shared" si="4"/>
        <v/>
      </c>
      <c r="U18" s="195">
        <f>Table33[[#This Row],[gal/100ft]]*Table33[[#This Row],[QTY]]/100</f>
        <v>0</v>
      </c>
      <c r="V18" s="195"/>
      <c r="W18" s="195"/>
      <c r="X18" s="195"/>
      <c r="Y18" s="195"/>
    </row>
    <row r="19" spans="1:25" ht="12.75" x14ac:dyDescent="0.2">
      <c r="A19" s="195" t="s">
        <v>612</v>
      </c>
      <c r="B19" s="536" t="s">
        <v>875</v>
      </c>
      <c r="C19" s="195">
        <v>45</v>
      </c>
      <c r="D19" s="536" t="s">
        <v>868</v>
      </c>
      <c r="E19" s="288"/>
      <c r="F19" s="204">
        <v>2</v>
      </c>
      <c r="G19" s="204"/>
      <c r="H19" s="197"/>
      <c r="I19" s="198"/>
      <c r="J19" s="205">
        <v>0.89</v>
      </c>
      <c r="K19" s="287">
        <v>0.89</v>
      </c>
      <c r="L19" s="206">
        <v>77</v>
      </c>
      <c r="M19" s="286">
        <v>77</v>
      </c>
      <c r="N19" s="552">
        <v>41791</v>
      </c>
      <c r="O19" s="205">
        <f t="shared" si="0"/>
        <v>0</v>
      </c>
      <c r="P19" s="555">
        <f>(1+$R$1)*Table33[[#This Row],[Hours]]</f>
        <v>0</v>
      </c>
      <c r="Q19" s="207">
        <f t="shared" si="1"/>
        <v>0</v>
      </c>
      <c r="R19" s="208">
        <f t="shared" si="2"/>
        <v>0</v>
      </c>
      <c r="S19" s="208">
        <f t="shared" si="3"/>
        <v>0</v>
      </c>
      <c r="T19" s="208" t="str">
        <f t="shared" si="4"/>
        <v/>
      </c>
      <c r="U19" s="195">
        <f>Table33[[#This Row],[gal/100ft]]*Table33[[#This Row],[QTY]]/100</f>
        <v>0</v>
      </c>
      <c r="V19" s="195"/>
      <c r="W19" s="195"/>
      <c r="X19" s="195"/>
      <c r="Y19" s="195"/>
    </row>
    <row r="20" spans="1:25" ht="12.75" x14ac:dyDescent="0.2">
      <c r="A20" s="195" t="s">
        <v>612</v>
      </c>
      <c r="B20" s="536" t="s">
        <v>875</v>
      </c>
      <c r="C20" s="195">
        <v>45</v>
      </c>
      <c r="D20" s="536" t="s">
        <v>868</v>
      </c>
      <c r="E20" s="288"/>
      <c r="F20" s="204">
        <v>2.5</v>
      </c>
      <c r="G20" s="204"/>
      <c r="H20" s="197"/>
      <c r="I20" s="198"/>
      <c r="J20" s="205">
        <v>0.95</v>
      </c>
      <c r="K20" s="287">
        <v>0.95</v>
      </c>
      <c r="L20" s="206">
        <v>103</v>
      </c>
      <c r="M20" s="286">
        <v>103</v>
      </c>
      <c r="N20" s="552">
        <v>41791</v>
      </c>
      <c r="O20" s="205">
        <f t="shared" si="0"/>
        <v>0</v>
      </c>
      <c r="P20" s="555">
        <f>(1+$R$1)*Table33[[#This Row],[Hours]]</f>
        <v>0</v>
      </c>
      <c r="Q20" s="207">
        <f t="shared" si="1"/>
        <v>0</v>
      </c>
      <c r="R20" s="208">
        <f t="shared" si="2"/>
        <v>0</v>
      </c>
      <c r="S20" s="208">
        <f t="shared" si="3"/>
        <v>0</v>
      </c>
      <c r="T20" s="208" t="str">
        <f t="shared" si="4"/>
        <v/>
      </c>
      <c r="U20" s="195">
        <f>Table33[[#This Row],[gal/100ft]]*Table33[[#This Row],[QTY]]/100</f>
        <v>0</v>
      </c>
      <c r="V20" s="195"/>
      <c r="W20" s="195"/>
      <c r="X20" s="195"/>
      <c r="Y20" s="195"/>
    </row>
    <row r="21" spans="1:25" ht="12.75" x14ac:dyDescent="0.2">
      <c r="A21" s="195" t="s">
        <v>612</v>
      </c>
      <c r="B21" s="536" t="s">
        <v>875</v>
      </c>
      <c r="C21" s="195">
        <v>45</v>
      </c>
      <c r="D21" s="536" t="s">
        <v>868</v>
      </c>
      <c r="E21" s="288"/>
      <c r="F21" s="204">
        <v>3</v>
      </c>
      <c r="G21" s="204"/>
      <c r="H21" s="197"/>
      <c r="I21" s="198"/>
      <c r="J21" s="205">
        <v>1.05</v>
      </c>
      <c r="K21" s="287">
        <v>1.05</v>
      </c>
      <c r="L21" s="206">
        <v>137.5</v>
      </c>
      <c r="M21" s="286">
        <v>137.5</v>
      </c>
      <c r="N21" s="552">
        <v>41791</v>
      </c>
      <c r="O21" s="205">
        <f t="shared" si="0"/>
        <v>0</v>
      </c>
      <c r="P21" s="555">
        <f>(1+$R$1)*Table33[[#This Row],[Hours]]</f>
        <v>0</v>
      </c>
      <c r="Q21" s="207">
        <f t="shared" si="1"/>
        <v>0</v>
      </c>
      <c r="R21" s="208">
        <f t="shared" si="2"/>
        <v>0</v>
      </c>
      <c r="S21" s="208">
        <f t="shared" si="3"/>
        <v>0</v>
      </c>
      <c r="T21" s="208" t="str">
        <f t="shared" si="4"/>
        <v/>
      </c>
      <c r="U21" s="195">
        <f>Table33[[#This Row],[gal/100ft]]*Table33[[#This Row],[QTY]]/100</f>
        <v>0</v>
      </c>
      <c r="V21" s="195"/>
      <c r="W21" s="195"/>
      <c r="X21" s="195"/>
      <c r="Y21" s="195"/>
    </row>
    <row r="22" spans="1:25" ht="12.75" x14ac:dyDescent="0.2">
      <c r="A22" s="195" t="s">
        <v>612</v>
      </c>
      <c r="B22" s="536" t="s">
        <v>875</v>
      </c>
      <c r="C22" s="195">
        <v>45</v>
      </c>
      <c r="D22" s="536" t="s">
        <v>868</v>
      </c>
      <c r="E22" s="288"/>
      <c r="F22" s="204">
        <v>4</v>
      </c>
      <c r="G22" s="204"/>
      <c r="H22" s="197"/>
      <c r="I22" s="198"/>
      <c r="J22" s="205">
        <v>1.41</v>
      </c>
      <c r="K22" s="287">
        <v>1.41</v>
      </c>
      <c r="L22" s="206">
        <v>83.04</v>
      </c>
      <c r="M22" s="286">
        <v>83.04</v>
      </c>
      <c r="N22" s="552">
        <v>41791</v>
      </c>
      <c r="O22" s="205">
        <f t="shared" si="0"/>
        <v>0</v>
      </c>
      <c r="P22" s="555">
        <f>(1+$R$1)*Table33[[#This Row],[Hours]]</f>
        <v>0</v>
      </c>
      <c r="Q22" s="207">
        <f t="shared" si="1"/>
        <v>0</v>
      </c>
      <c r="R22" s="208">
        <f t="shared" si="2"/>
        <v>0</v>
      </c>
      <c r="S22" s="208">
        <f t="shared" si="3"/>
        <v>0</v>
      </c>
      <c r="T22" s="208" t="str">
        <f t="shared" si="4"/>
        <v/>
      </c>
      <c r="U22" s="195">
        <f>Table33[[#This Row],[gal/100ft]]*Table33[[#This Row],[QTY]]/100</f>
        <v>0</v>
      </c>
      <c r="V22" s="195"/>
      <c r="W22" s="195"/>
      <c r="X22" s="195"/>
      <c r="Y22" s="195"/>
    </row>
    <row r="23" spans="1:25" ht="12.75" x14ac:dyDescent="0.2">
      <c r="A23" s="195" t="s">
        <v>612</v>
      </c>
      <c r="B23" s="536" t="s">
        <v>875</v>
      </c>
      <c r="C23" s="195">
        <v>45</v>
      </c>
      <c r="D23" s="536" t="s">
        <v>868</v>
      </c>
      <c r="E23" s="288"/>
      <c r="F23" s="204">
        <v>5</v>
      </c>
      <c r="G23" s="204"/>
      <c r="H23" s="197"/>
      <c r="I23" s="198"/>
      <c r="J23" s="205"/>
      <c r="K23" s="287"/>
      <c r="L23" s="206">
        <v>1010</v>
      </c>
      <c r="M23" s="286">
        <v>1010</v>
      </c>
      <c r="N23" s="552">
        <v>41791</v>
      </c>
      <c r="O23" s="205">
        <f t="shared" ref="O23:O86" si="5">K23*E23</f>
        <v>0</v>
      </c>
      <c r="P23" s="555">
        <f>(1+$R$1)*Table33[[#This Row],[Hours]]</f>
        <v>0</v>
      </c>
      <c r="Q23" s="207">
        <f t="shared" si="1"/>
        <v>0</v>
      </c>
      <c r="R23" s="208">
        <f t="shared" ref="R23:R86" si="6">M23*E23</f>
        <v>0</v>
      </c>
      <c r="S23" s="208">
        <f t="shared" ref="S23:S86" si="7">R23+Q23</f>
        <v>0</v>
      </c>
      <c r="T23" s="208" t="str">
        <f t="shared" ref="T23:T86" si="8">IF(E23="","",S23/E23)</f>
        <v/>
      </c>
      <c r="U23" s="195">
        <f>Table33[[#This Row],[gal/100ft]]*Table33[[#This Row],[QTY]]/100</f>
        <v>0</v>
      </c>
      <c r="V23" s="195"/>
      <c r="W23" s="195"/>
      <c r="X23" s="195"/>
      <c r="Y23" s="195"/>
    </row>
    <row r="24" spans="1:25" x14ac:dyDescent="0.25">
      <c r="A24" s="195" t="s">
        <v>612</v>
      </c>
      <c r="B24" s="536" t="s">
        <v>875</v>
      </c>
      <c r="C24" s="195">
        <v>45</v>
      </c>
      <c r="D24" s="536" t="s">
        <v>868</v>
      </c>
      <c r="E24" s="288"/>
      <c r="F24" s="204">
        <v>6</v>
      </c>
      <c r="G24" s="204"/>
      <c r="H24" s="197"/>
      <c r="I24" s="198"/>
      <c r="J24" s="205">
        <v>2.46</v>
      </c>
      <c r="K24" s="287">
        <v>2.46</v>
      </c>
      <c r="L24" s="206">
        <v>156.47999999999999</v>
      </c>
      <c r="M24" s="286">
        <v>156.47999999999999</v>
      </c>
      <c r="N24" s="552">
        <v>41791</v>
      </c>
      <c r="O24" s="205">
        <f t="shared" si="5"/>
        <v>0</v>
      </c>
      <c r="P24" s="555">
        <f>(1+$R$1)*Table33[[#This Row],[Hours]]</f>
        <v>0</v>
      </c>
      <c r="Q24" s="207">
        <f t="shared" si="1"/>
        <v>0</v>
      </c>
      <c r="R24" s="208">
        <f t="shared" si="6"/>
        <v>0</v>
      </c>
      <c r="S24" s="208">
        <f t="shared" si="7"/>
        <v>0</v>
      </c>
      <c r="T24" s="208" t="str">
        <f t="shared" si="8"/>
        <v/>
      </c>
      <c r="U24" s="195">
        <f>Table33[[#This Row],[gal/100ft]]*Table33[[#This Row],[QTY]]/100</f>
        <v>0</v>
      </c>
      <c r="V24" s="195"/>
      <c r="W24" s="195"/>
      <c r="X24"/>
      <c r="Y24"/>
    </row>
    <row r="25" spans="1:25" x14ac:dyDescent="0.25">
      <c r="A25" s="195" t="s">
        <v>612</v>
      </c>
      <c r="B25" s="536" t="s">
        <v>875</v>
      </c>
      <c r="C25" s="195">
        <v>45</v>
      </c>
      <c r="D25" s="536" t="s">
        <v>868</v>
      </c>
      <c r="E25" s="288"/>
      <c r="F25" s="204">
        <v>8</v>
      </c>
      <c r="G25" s="204"/>
      <c r="H25" s="197"/>
      <c r="I25" s="198"/>
      <c r="J25" s="205">
        <v>3.51</v>
      </c>
      <c r="K25" s="287">
        <v>3.51</v>
      </c>
      <c r="L25" s="206">
        <v>267.52</v>
      </c>
      <c r="M25" s="286">
        <v>267.52</v>
      </c>
      <c r="N25" s="552">
        <v>41791</v>
      </c>
      <c r="O25" s="205">
        <f t="shared" si="5"/>
        <v>0</v>
      </c>
      <c r="P25" s="555">
        <f>(1+$R$1)*Table33[[#This Row],[Hours]]</f>
        <v>0</v>
      </c>
      <c r="Q25" s="207">
        <f t="shared" si="1"/>
        <v>0</v>
      </c>
      <c r="R25" s="208">
        <f t="shared" si="6"/>
        <v>0</v>
      </c>
      <c r="S25" s="208">
        <f t="shared" si="7"/>
        <v>0</v>
      </c>
      <c r="T25" s="208" t="str">
        <f t="shared" si="8"/>
        <v/>
      </c>
      <c r="U25" s="195">
        <f>Table33[[#This Row],[gal/100ft]]*Table33[[#This Row],[QTY]]/100</f>
        <v>0</v>
      </c>
      <c r="V25" s="195"/>
      <c r="W25" s="195"/>
      <c r="X25"/>
      <c r="Y25"/>
    </row>
    <row r="26" spans="1:25" x14ac:dyDescent="0.25">
      <c r="A26" s="195" t="s">
        <v>612</v>
      </c>
      <c r="B26" s="536" t="s">
        <v>875</v>
      </c>
      <c r="C26" s="195">
        <v>45</v>
      </c>
      <c r="D26" s="544" t="s">
        <v>868</v>
      </c>
      <c r="E26" s="290"/>
      <c r="F26" s="540">
        <v>10</v>
      </c>
      <c r="G26" s="204"/>
      <c r="H26" s="197"/>
      <c r="I26" s="198"/>
      <c r="J26" s="205">
        <v>4.51</v>
      </c>
      <c r="K26" s="287">
        <v>4.51</v>
      </c>
      <c r="L26" s="206">
        <v>625.76</v>
      </c>
      <c r="M26" s="286">
        <v>625.76</v>
      </c>
      <c r="N26" s="552">
        <v>41791</v>
      </c>
      <c r="O26" s="205">
        <f t="shared" si="5"/>
        <v>0</v>
      </c>
      <c r="P26" s="555">
        <f>(1+$R$1)*Table33[[#This Row],[Hours]]</f>
        <v>0</v>
      </c>
      <c r="Q26" s="207">
        <f t="shared" si="1"/>
        <v>0</v>
      </c>
      <c r="R26" s="208">
        <f t="shared" si="6"/>
        <v>0</v>
      </c>
      <c r="S26" s="208">
        <f t="shared" si="7"/>
        <v>0</v>
      </c>
      <c r="T26" s="208" t="str">
        <f t="shared" si="8"/>
        <v/>
      </c>
      <c r="U26" s="195">
        <f>Table33[[#This Row],[gal/100ft]]*Table33[[#This Row],[QTY]]/100</f>
        <v>0</v>
      </c>
      <c r="V26" s="195"/>
      <c r="W26" s="195"/>
      <c r="X26"/>
      <c r="Y26"/>
    </row>
    <row r="27" spans="1:25" x14ac:dyDescent="0.25">
      <c r="A27" s="195" t="s">
        <v>612</v>
      </c>
      <c r="B27" s="536" t="s">
        <v>875</v>
      </c>
      <c r="C27" s="195">
        <v>45</v>
      </c>
      <c r="D27" s="544" t="s">
        <v>868</v>
      </c>
      <c r="E27" s="290"/>
      <c r="F27" s="540">
        <v>12</v>
      </c>
      <c r="G27" s="204"/>
      <c r="H27" s="197"/>
      <c r="I27" s="198"/>
      <c r="J27" s="205">
        <v>4.6900000000000004</v>
      </c>
      <c r="K27" s="287">
        <v>4.6900000000000004</v>
      </c>
      <c r="L27" s="206">
        <v>2059</v>
      </c>
      <c r="M27" s="286">
        <v>2059</v>
      </c>
      <c r="N27" s="552">
        <v>41791</v>
      </c>
      <c r="O27" s="205">
        <f t="shared" si="5"/>
        <v>0</v>
      </c>
      <c r="P27" s="555">
        <f>(1+$R$1)*Table33[[#This Row],[Hours]]</f>
        <v>0</v>
      </c>
      <c r="Q27" s="207">
        <f t="shared" si="1"/>
        <v>0</v>
      </c>
      <c r="R27" s="208">
        <f t="shared" si="6"/>
        <v>0</v>
      </c>
      <c r="S27" s="208">
        <f t="shared" si="7"/>
        <v>0</v>
      </c>
      <c r="T27" s="208" t="str">
        <f t="shared" si="8"/>
        <v/>
      </c>
      <c r="U27" s="195">
        <f>Table33[[#This Row],[gal/100ft]]*Table33[[#This Row],[QTY]]/100</f>
        <v>0</v>
      </c>
      <c r="V27" s="195"/>
      <c r="W27" s="195"/>
      <c r="X27"/>
      <c r="Y27"/>
    </row>
    <row r="28" spans="1:25" x14ac:dyDescent="0.25">
      <c r="A28" s="311" t="s">
        <v>711</v>
      </c>
      <c r="B28" s="311" t="s">
        <v>711</v>
      </c>
      <c r="C28" s="296">
        <v>45</v>
      </c>
      <c r="D28" s="311" t="s">
        <v>713</v>
      </c>
      <c r="E28" s="288"/>
      <c r="F28" s="297">
        <v>0.5</v>
      </c>
      <c r="G28" s="204"/>
      <c r="H28" s="197"/>
      <c r="I28" s="198"/>
      <c r="J28" s="205">
        <v>0.12</v>
      </c>
      <c r="K28" s="287">
        <v>0.12</v>
      </c>
      <c r="L28" s="206">
        <v>1.76</v>
      </c>
      <c r="M28" s="286">
        <v>1.76</v>
      </c>
      <c r="N28" s="552">
        <v>41791</v>
      </c>
      <c r="O28" s="205">
        <f t="shared" si="5"/>
        <v>0</v>
      </c>
      <c r="P28" s="555">
        <f>(1+$R$1)*Table33[[#This Row],[Hours]]</f>
        <v>0</v>
      </c>
      <c r="Q28" s="207">
        <f t="shared" si="1"/>
        <v>0</v>
      </c>
      <c r="R28" s="208">
        <f t="shared" si="6"/>
        <v>0</v>
      </c>
      <c r="S28" s="208">
        <f t="shared" si="7"/>
        <v>0</v>
      </c>
      <c r="T28" s="208" t="str">
        <f t="shared" si="8"/>
        <v/>
      </c>
      <c r="U28" s="195">
        <f>Table33[[#This Row],[gal/100ft]]*Table33[[#This Row],[QTY]]/100</f>
        <v>0</v>
      </c>
      <c r="V28" s="195"/>
      <c r="W28" s="195"/>
      <c r="X28"/>
      <c r="Y28"/>
    </row>
    <row r="29" spans="1:25" x14ac:dyDescent="0.25">
      <c r="A29" s="311" t="s">
        <v>711</v>
      </c>
      <c r="B29" s="311" t="s">
        <v>711</v>
      </c>
      <c r="C29" s="296">
        <v>45</v>
      </c>
      <c r="D29" s="311" t="s">
        <v>713</v>
      </c>
      <c r="E29" s="288"/>
      <c r="F29" s="297">
        <v>0.75</v>
      </c>
      <c r="G29" s="204"/>
      <c r="H29" s="197"/>
      <c r="I29" s="198"/>
      <c r="J29" s="205">
        <v>0.16</v>
      </c>
      <c r="K29" s="287">
        <v>0.16</v>
      </c>
      <c r="L29" s="206">
        <v>2.16</v>
      </c>
      <c r="M29" s="286">
        <v>2.16</v>
      </c>
      <c r="N29" s="552">
        <v>41791</v>
      </c>
      <c r="O29" s="205">
        <f t="shared" si="5"/>
        <v>0</v>
      </c>
      <c r="P29" s="555">
        <f>(1+$R$1)*Table33[[#This Row],[Hours]]</f>
        <v>0</v>
      </c>
      <c r="Q29" s="207">
        <f t="shared" si="1"/>
        <v>0</v>
      </c>
      <c r="R29" s="208">
        <f t="shared" si="6"/>
        <v>0</v>
      </c>
      <c r="S29" s="208">
        <f t="shared" si="7"/>
        <v>0</v>
      </c>
      <c r="T29" s="208" t="str">
        <f t="shared" si="8"/>
        <v/>
      </c>
      <c r="U29" s="195">
        <f>Table33[[#This Row],[gal/100ft]]*Table33[[#This Row],[QTY]]/100</f>
        <v>0</v>
      </c>
      <c r="V29" s="195"/>
      <c r="W29" s="195"/>
      <c r="X29"/>
      <c r="Y29"/>
    </row>
    <row r="30" spans="1:25" x14ac:dyDescent="0.25">
      <c r="A30" s="311" t="s">
        <v>711</v>
      </c>
      <c r="B30" s="311" t="s">
        <v>711</v>
      </c>
      <c r="C30" s="296">
        <v>45</v>
      </c>
      <c r="D30" s="311" t="s">
        <v>713</v>
      </c>
      <c r="E30" s="288"/>
      <c r="F30" s="297">
        <v>1</v>
      </c>
      <c r="G30" s="204"/>
      <c r="H30" s="197"/>
      <c r="I30" s="198"/>
      <c r="J30" s="205">
        <v>0.17</v>
      </c>
      <c r="K30" s="287">
        <v>0.17</v>
      </c>
      <c r="L30" s="206">
        <v>6.91</v>
      </c>
      <c r="M30" s="286">
        <v>6.91</v>
      </c>
      <c r="N30" s="552">
        <v>41791</v>
      </c>
      <c r="O30" s="205">
        <f t="shared" si="5"/>
        <v>0</v>
      </c>
      <c r="P30" s="555">
        <f>(1+$R$1)*Table33[[#This Row],[Hours]]</f>
        <v>0</v>
      </c>
      <c r="Q30" s="207">
        <f t="shared" si="1"/>
        <v>0</v>
      </c>
      <c r="R30" s="208">
        <f t="shared" si="6"/>
        <v>0</v>
      </c>
      <c r="S30" s="208">
        <f t="shared" si="7"/>
        <v>0</v>
      </c>
      <c r="T30" s="208" t="str">
        <f t="shared" si="8"/>
        <v/>
      </c>
      <c r="U30" s="195">
        <f>Table33[[#This Row],[gal/100ft]]*Table33[[#This Row],[QTY]]/100</f>
        <v>0</v>
      </c>
      <c r="V30" s="195"/>
      <c r="W30" s="195"/>
      <c r="X30"/>
      <c r="Y30"/>
    </row>
    <row r="31" spans="1:25" x14ac:dyDescent="0.25">
      <c r="A31" s="311" t="s">
        <v>711</v>
      </c>
      <c r="B31" s="311" t="s">
        <v>711</v>
      </c>
      <c r="C31" s="296">
        <v>45</v>
      </c>
      <c r="D31" s="311" t="s">
        <v>713</v>
      </c>
      <c r="E31" s="288"/>
      <c r="F31" s="204">
        <v>1.25</v>
      </c>
      <c r="G31" s="204"/>
      <c r="H31" s="197"/>
      <c r="I31" s="198"/>
      <c r="J31" s="205">
        <v>0.2</v>
      </c>
      <c r="K31" s="287">
        <v>0.2</v>
      </c>
      <c r="L31" s="206">
        <v>9.91</v>
      </c>
      <c r="M31" s="286">
        <v>9.91</v>
      </c>
      <c r="N31" s="552">
        <v>41791</v>
      </c>
      <c r="O31" s="205">
        <f t="shared" si="5"/>
        <v>0</v>
      </c>
      <c r="P31" s="555">
        <f>(1+$R$1)*Table33[[#This Row],[Hours]]</f>
        <v>0</v>
      </c>
      <c r="Q31" s="207">
        <f t="shared" si="1"/>
        <v>0</v>
      </c>
      <c r="R31" s="208">
        <f t="shared" si="6"/>
        <v>0</v>
      </c>
      <c r="S31" s="208">
        <f t="shared" si="7"/>
        <v>0</v>
      </c>
      <c r="T31" s="208" t="str">
        <f t="shared" si="8"/>
        <v/>
      </c>
      <c r="U31" s="195">
        <f>Table33[[#This Row],[gal/100ft]]*Table33[[#This Row],[QTY]]/100</f>
        <v>0</v>
      </c>
      <c r="V31" s="195"/>
      <c r="W31" s="195"/>
      <c r="X31"/>
      <c r="Y31"/>
    </row>
    <row r="32" spans="1:25" x14ac:dyDescent="0.25">
      <c r="A32" s="311" t="s">
        <v>711</v>
      </c>
      <c r="B32" s="311" t="s">
        <v>711</v>
      </c>
      <c r="C32" s="296">
        <v>45</v>
      </c>
      <c r="D32" s="311" t="s">
        <v>713</v>
      </c>
      <c r="E32" s="288"/>
      <c r="F32" s="204">
        <v>1.5</v>
      </c>
      <c r="G32" s="204"/>
      <c r="H32" s="197"/>
      <c r="I32" s="198"/>
      <c r="J32" s="205">
        <v>0.24</v>
      </c>
      <c r="K32" s="287">
        <v>0.24</v>
      </c>
      <c r="L32" s="206">
        <v>16.05</v>
      </c>
      <c r="M32" s="286">
        <v>16.05</v>
      </c>
      <c r="N32" s="552">
        <v>41791</v>
      </c>
      <c r="O32" s="205">
        <f t="shared" si="5"/>
        <v>0</v>
      </c>
      <c r="P32" s="555">
        <f>(1+$R$1)*Table33[[#This Row],[Hours]]</f>
        <v>0</v>
      </c>
      <c r="Q32" s="207">
        <f t="shared" si="1"/>
        <v>0</v>
      </c>
      <c r="R32" s="208">
        <f t="shared" si="6"/>
        <v>0</v>
      </c>
      <c r="S32" s="208">
        <f t="shared" si="7"/>
        <v>0</v>
      </c>
      <c r="T32" s="208" t="str">
        <f t="shared" si="8"/>
        <v/>
      </c>
      <c r="U32" s="195">
        <f>Table33[[#This Row],[gal/100ft]]*Table33[[#This Row],[QTY]]/100</f>
        <v>0</v>
      </c>
      <c r="V32" s="195"/>
      <c r="W32" s="195"/>
      <c r="X32"/>
      <c r="Y32"/>
    </row>
    <row r="33" spans="1:25" x14ac:dyDescent="0.25">
      <c r="A33" s="311" t="s">
        <v>711</v>
      </c>
      <c r="B33" s="311" t="s">
        <v>711</v>
      </c>
      <c r="C33" s="296">
        <v>45</v>
      </c>
      <c r="D33" s="311" t="s">
        <v>713</v>
      </c>
      <c r="E33" s="288"/>
      <c r="F33" s="204">
        <v>2</v>
      </c>
      <c r="G33" s="204"/>
      <c r="H33" s="197"/>
      <c r="I33" s="198"/>
      <c r="J33" s="205">
        <v>0.27</v>
      </c>
      <c r="K33" s="287">
        <v>0.27</v>
      </c>
      <c r="L33" s="206">
        <v>22.46</v>
      </c>
      <c r="M33" s="286">
        <v>22.46</v>
      </c>
      <c r="N33" s="552">
        <v>41791</v>
      </c>
      <c r="O33" s="205">
        <f t="shared" si="5"/>
        <v>0</v>
      </c>
      <c r="P33" s="555">
        <f>(1+$R$1)*Table33[[#This Row],[Hours]]</f>
        <v>0</v>
      </c>
      <c r="Q33" s="207">
        <f t="shared" si="1"/>
        <v>0</v>
      </c>
      <c r="R33" s="208">
        <f t="shared" si="6"/>
        <v>0</v>
      </c>
      <c r="S33" s="208">
        <f t="shared" si="7"/>
        <v>0</v>
      </c>
      <c r="T33" s="208" t="str">
        <f t="shared" si="8"/>
        <v/>
      </c>
      <c r="U33" s="195">
        <f>Table33[[#This Row],[gal/100ft]]*Table33[[#This Row],[QTY]]/100</f>
        <v>0</v>
      </c>
      <c r="V33" s="195"/>
      <c r="W33" s="195"/>
      <c r="X33"/>
      <c r="Y33"/>
    </row>
    <row r="34" spans="1:25" x14ac:dyDescent="0.25">
      <c r="A34" s="311" t="s">
        <v>711</v>
      </c>
      <c r="B34" s="311" t="s">
        <v>711</v>
      </c>
      <c r="C34" s="296">
        <v>45</v>
      </c>
      <c r="D34" s="311" t="s">
        <v>713</v>
      </c>
      <c r="E34" s="289"/>
      <c r="F34" s="204">
        <v>2.5</v>
      </c>
      <c r="G34" s="272"/>
      <c r="H34" s="273"/>
      <c r="I34" s="274"/>
      <c r="J34" s="205">
        <v>0.33</v>
      </c>
      <c r="K34" s="287">
        <v>0.33</v>
      </c>
      <c r="L34" s="206">
        <v>52</v>
      </c>
      <c r="M34" s="286">
        <v>52</v>
      </c>
      <c r="N34" s="552">
        <v>41791</v>
      </c>
      <c r="O34" s="205">
        <f t="shared" si="5"/>
        <v>0</v>
      </c>
      <c r="P34" s="555">
        <f>(1+$R$1)*Table33[[#This Row],[Hours]]</f>
        <v>0</v>
      </c>
      <c r="Q34" s="207">
        <f t="shared" si="1"/>
        <v>0</v>
      </c>
      <c r="R34" s="208">
        <f t="shared" si="6"/>
        <v>0</v>
      </c>
      <c r="S34" s="208">
        <f t="shared" si="7"/>
        <v>0</v>
      </c>
      <c r="T34" s="208" t="str">
        <f t="shared" si="8"/>
        <v/>
      </c>
      <c r="U34" s="195">
        <f>Table33[[#This Row],[gal/100ft]]*Table33[[#This Row],[QTY]]/100</f>
        <v>0</v>
      </c>
      <c r="V34" s="195"/>
      <c r="W34" s="195"/>
      <c r="X34"/>
      <c r="Y34"/>
    </row>
    <row r="35" spans="1:25" x14ac:dyDescent="0.25">
      <c r="A35" s="311" t="s">
        <v>711</v>
      </c>
      <c r="B35" s="311" t="s">
        <v>711</v>
      </c>
      <c r="C35" s="296">
        <v>45</v>
      </c>
      <c r="D35" s="311" t="s">
        <v>713</v>
      </c>
      <c r="E35" s="289"/>
      <c r="F35" s="204">
        <v>3</v>
      </c>
      <c r="G35" s="272"/>
      <c r="H35" s="273"/>
      <c r="I35" s="274"/>
      <c r="J35" s="205">
        <v>0.38</v>
      </c>
      <c r="K35" s="287">
        <v>0.38</v>
      </c>
      <c r="L35" s="206">
        <v>0</v>
      </c>
      <c r="M35" s="286">
        <v>0</v>
      </c>
      <c r="N35" s="552">
        <v>41791</v>
      </c>
      <c r="O35" s="205">
        <f t="shared" si="5"/>
        <v>0</v>
      </c>
      <c r="P35" s="555">
        <f>(1+$R$1)*Table33[[#This Row],[Hours]]</f>
        <v>0</v>
      </c>
      <c r="Q35" s="207">
        <f t="shared" si="1"/>
        <v>0</v>
      </c>
      <c r="R35" s="208">
        <f t="shared" si="6"/>
        <v>0</v>
      </c>
      <c r="S35" s="208">
        <f t="shared" si="7"/>
        <v>0</v>
      </c>
      <c r="T35" s="208" t="str">
        <f t="shared" si="8"/>
        <v/>
      </c>
      <c r="U35" s="195">
        <f>Table33[[#This Row],[gal/100ft]]*Table33[[#This Row],[QTY]]/100</f>
        <v>0</v>
      </c>
      <c r="V35" s="195"/>
      <c r="W35" s="195"/>
      <c r="X35"/>
      <c r="Y35"/>
    </row>
    <row r="36" spans="1:25" x14ac:dyDescent="0.25">
      <c r="A36" s="311" t="s">
        <v>711</v>
      </c>
      <c r="B36" s="311" t="s">
        <v>711</v>
      </c>
      <c r="C36" s="296">
        <v>45</v>
      </c>
      <c r="D36" s="311" t="s">
        <v>713</v>
      </c>
      <c r="E36" s="289"/>
      <c r="F36" s="204">
        <v>4</v>
      </c>
      <c r="G36" s="272"/>
      <c r="H36" s="273"/>
      <c r="I36" s="274"/>
      <c r="J36" s="205">
        <v>0.51</v>
      </c>
      <c r="K36" s="287">
        <v>0.51</v>
      </c>
      <c r="L36" s="206">
        <v>122.15</v>
      </c>
      <c r="M36" s="286">
        <v>122.15</v>
      </c>
      <c r="N36" s="552">
        <v>41791</v>
      </c>
      <c r="O36" s="205">
        <f t="shared" si="5"/>
        <v>0</v>
      </c>
      <c r="P36" s="555">
        <f>(1+$R$1)*Table33[[#This Row],[Hours]]</f>
        <v>0</v>
      </c>
      <c r="Q36" s="207">
        <f t="shared" si="1"/>
        <v>0</v>
      </c>
      <c r="R36" s="208">
        <f t="shared" si="6"/>
        <v>0</v>
      </c>
      <c r="S36" s="208">
        <f t="shared" si="7"/>
        <v>0</v>
      </c>
      <c r="T36" s="208" t="str">
        <f t="shared" si="8"/>
        <v/>
      </c>
      <c r="U36" s="195">
        <f>Table33[[#This Row],[gal/100ft]]*Table33[[#This Row],[QTY]]/100</f>
        <v>0</v>
      </c>
      <c r="V36" s="195"/>
      <c r="W36" s="195"/>
      <c r="X36"/>
      <c r="Y36"/>
    </row>
    <row r="37" spans="1:25" x14ac:dyDescent="0.25">
      <c r="A37" s="195" t="s">
        <v>602</v>
      </c>
      <c r="B37" s="536" t="s">
        <v>875</v>
      </c>
      <c r="C37" s="195">
        <v>45</v>
      </c>
      <c r="D37" s="195" t="s">
        <v>609</v>
      </c>
      <c r="E37" s="288"/>
      <c r="F37" s="204">
        <v>3</v>
      </c>
      <c r="G37" s="204"/>
      <c r="H37" s="197"/>
      <c r="I37" s="198"/>
      <c r="J37" s="205">
        <v>6.3</v>
      </c>
      <c r="K37" s="287">
        <v>6.3</v>
      </c>
      <c r="L37" s="206">
        <v>45</v>
      </c>
      <c r="M37" s="286">
        <v>45</v>
      </c>
      <c r="N37" s="552">
        <v>41791</v>
      </c>
      <c r="O37" s="205">
        <f t="shared" si="5"/>
        <v>0</v>
      </c>
      <c r="P37" s="555">
        <f>(1+$R$1)*Table33[[#This Row],[Hours]]</f>
        <v>0</v>
      </c>
      <c r="Q37" s="207">
        <f t="shared" si="1"/>
        <v>0</v>
      </c>
      <c r="R37" s="208">
        <f t="shared" si="6"/>
        <v>0</v>
      </c>
      <c r="S37" s="208">
        <f t="shared" si="7"/>
        <v>0</v>
      </c>
      <c r="T37" s="208" t="str">
        <f t="shared" si="8"/>
        <v/>
      </c>
      <c r="U37" s="195">
        <f>Table33[[#This Row],[gal/100ft]]*Table33[[#This Row],[QTY]]/100</f>
        <v>0</v>
      </c>
      <c r="V37" s="195"/>
      <c r="W37" s="195"/>
      <c r="X37"/>
      <c r="Y37"/>
    </row>
    <row r="38" spans="1:25" x14ac:dyDescent="0.25">
      <c r="A38" s="195" t="s">
        <v>602</v>
      </c>
      <c r="B38" s="536" t="s">
        <v>875</v>
      </c>
      <c r="C38" s="195">
        <v>45</v>
      </c>
      <c r="D38" s="195" t="s">
        <v>609</v>
      </c>
      <c r="E38" s="290"/>
      <c r="F38" s="540">
        <v>0.5</v>
      </c>
      <c r="G38" s="204"/>
      <c r="H38" s="197"/>
      <c r="I38" s="198"/>
      <c r="J38" s="205">
        <v>1.27</v>
      </c>
      <c r="K38" s="287">
        <v>1.27</v>
      </c>
      <c r="L38" s="206">
        <v>18</v>
      </c>
      <c r="M38" s="286">
        <v>18</v>
      </c>
      <c r="N38" s="552">
        <v>41791</v>
      </c>
      <c r="O38" s="205">
        <f t="shared" si="5"/>
        <v>0</v>
      </c>
      <c r="P38" s="555">
        <f>(1+$R$1)*Table33[[#This Row],[Hours]]</f>
        <v>0</v>
      </c>
      <c r="Q38" s="207">
        <f t="shared" si="1"/>
        <v>0</v>
      </c>
      <c r="R38" s="208">
        <f t="shared" si="6"/>
        <v>0</v>
      </c>
      <c r="S38" s="208">
        <f t="shared" si="7"/>
        <v>0</v>
      </c>
      <c r="T38" s="208" t="str">
        <f t="shared" si="8"/>
        <v/>
      </c>
      <c r="U38" s="195">
        <f>Table33[[#This Row],[gal/100ft]]*Table33[[#This Row],[QTY]]/100</f>
        <v>0</v>
      </c>
      <c r="V38" s="195"/>
      <c r="W38" s="195"/>
      <c r="X38"/>
      <c r="Y38"/>
    </row>
    <row r="39" spans="1:25" x14ac:dyDescent="0.25">
      <c r="A39" s="195" t="s">
        <v>602</v>
      </c>
      <c r="B39" s="536" t="s">
        <v>875</v>
      </c>
      <c r="C39" s="195">
        <v>45</v>
      </c>
      <c r="D39" s="195" t="s">
        <v>609</v>
      </c>
      <c r="E39" s="290"/>
      <c r="F39" s="540">
        <v>0.75</v>
      </c>
      <c r="G39" s="204"/>
      <c r="H39" s="197"/>
      <c r="I39" s="198"/>
      <c r="J39" s="205">
        <v>1.88</v>
      </c>
      <c r="K39" s="287">
        <v>1.88</v>
      </c>
      <c r="L39" s="206">
        <v>18</v>
      </c>
      <c r="M39" s="286">
        <v>18</v>
      </c>
      <c r="N39" s="552">
        <v>41791</v>
      </c>
      <c r="O39" s="205">
        <f t="shared" si="5"/>
        <v>0</v>
      </c>
      <c r="P39" s="555">
        <f>(1+$R$1)*Table33[[#This Row],[Hours]]</f>
        <v>0</v>
      </c>
      <c r="Q39" s="207">
        <f t="shared" si="1"/>
        <v>0</v>
      </c>
      <c r="R39" s="208">
        <f t="shared" si="6"/>
        <v>0</v>
      </c>
      <c r="S39" s="208">
        <f t="shared" si="7"/>
        <v>0</v>
      </c>
      <c r="T39" s="208" t="str">
        <f t="shared" si="8"/>
        <v/>
      </c>
      <c r="U39" s="195">
        <f>Table33[[#This Row],[gal/100ft]]*Table33[[#This Row],[QTY]]/100</f>
        <v>0</v>
      </c>
      <c r="V39" s="195"/>
      <c r="W39" s="195"/>
      <c r="X39"/>
      <c r="Y39"/>
    </row>
    <row r="40" spans="1:25" x14ac:dyDescent="0.25">
      <c r="A40" s="195" t="s">
        <v>602</v>
      </c>
      <c r="B40" s="536" t="s">
        <v>875</v>
      </c>
      <c r="C40" s="195">
        <v>45</v>
      </c>
      <c r="D40" s="195" t="s">
        <v>609</v>
      </c>
      <c r="E40" s="290"/>
      <c r="F40" s="540">
        <v>1</v>
      </c>
      <c r="G40" s="204"/>
      <c r="H40" s="197"/>
      <c r="I40" s="198"/>
      <c r="J40" s="205">
        <v>2.4900000000000002</v>
      </c>
      <c r="K40" s="287">
        <v>2.4900000000000002</v>
      </c>
      <c r="L40" s="206">
        <v>19</v>
      </c>
      <c r="M40" s="286">
        <v>19</v>
      </c>
      <c r="N40" s="552">
        <v>41791</v>
      </c>
      <c r="O40" s="205">
        <f t="shared" si="5"/>
        <v>0</v>
      </c>
      <c r="P40" s="555">
        <f>(1+$R$1)*Table33[[#This Row],[Hours]]</f>
        <v>0</v>
      </c>
      <c r="Q40" s="207">
        <f t="shared" si="1"/>
        <v>0</v>
      </c>
      <c r="R40" s="208">
        <f t="shared" si="6"/>
        <v>0</v>
      </c>
      <c r="S40" s="208">
        <f t="shared" si="7"/>
        <v>0</v>
      </c>
      <c r="T40" s="208" t="str">
        <f t="shared" si="8"/>
        <v/>
      </c>
      <c r="U40" s="195">
        <f>Table33[[#This Row],[gal/100ft]]*Table33[[#This Row],[QTY]]/100</f>
        <v>0</v>
      </c>
      <c r="V40" s="195"/>
      <c r="W40" s="195"/>
      <c r="X40"/>
      <c r="Y40"/>
    </row>
    <row r="41" spans="1:25" x14ac:dyDescent="0.25">
      <c r="A41" s="195" t="s">
        <v>602</v>
      </c>
      <c r="B41" s="536" t="s">
        <v>875</v>
      </c>
      <c r="C41" s="195">
        <v>45</v>
      </c>
      <c r="D41" s="216" t="s">
        <v>609</v>
      </c>
      <c r="E41" s="290"/>
      <c r="F41" s="540">
        <v>1.25</v>
      </c>
      <c r="G41" s="204"/>
      <c r="H41" s="197"/>
      <c r="I41" s="198"/>
      <c r="J41" s="205">
        <v>3.11</v>
      </c>
      <c r="K41" s="287">
        <v>3.11</v>
      </c>
      <c r="L41" s="206">
        <v>26</v>
      </c>
      <c r="M41" s="286">
        <v>26</v>
      </c>
      <c r="N41" s="552">
        <v>41791</v>
      </c>
      <c r="O41" s="205">
        <f t="shared" si="5"/>
        <v>0</v>
      </c>
      <c r="P41" s="555">
        <f>(1+$R$1)*Table33[[#This Row],[Hours]]</f>
        <v>0</v>
      </c>
      <c r="Q41" s="207">
        <f t="shared" si="1"/>
        <v>0</v>
      </c>
      <c r="R41" s="208">
        <f t="shared" si="6"/>
        <v>0</v>
      </c>
      <c r="S41" s="208">
        <f t="shared" si="7"/>
        <v>0</v>
      </c>
      <c r="T41" s="208" t="str">
        <f t="shared" si="8"/>
        <v/>
      </c>
      <c r="U41" s="195">
        <f>Table33[[#This Row],[gal/100ft]]*Table33[[#This Row],[QTY]]/100</f>
        <v>0</v>
      </c>
      <c r="V41" s="195"/>
      <c r="W41" s="195"/>
      <c r="X41"/>
      <c r="Y41"/>
    </row>
    <row r="42" spans="1:25" x14ac:dyDescent="0.25">
      <c r="A42" s="195" t="s">
        <v>602</v>
      </c>
      <c r="B42" s="536" t="s">
        <v>875</v>
      </c>
      <c r="C42" s="195">
        <v>45</v>
      </c>
      <c r="D42" s="195" t="s">
        <v>609</v>
      </c>
      <c r="E42" s="288"/>
      <c r="F42" s="204">
        <v>1.5</v>
      </c>
      <c r="G42" s="204"/>
      <c r="H42" s="197"/>
      <c r="I42" s="198"/>
      <c r="J42" s="205">
        <v>3.72</v>
      </c>
      <c r="K42" s="287">
        <v>3.72</v>
      </c>
      <c r="L42" s="206">
        <v>22</v>
      </c>
      <c r="M42" s="286">
        <v>22</v>
      </c>
      <c r="N42" s="552">
        <v>41791</v>
      </c>
      <c r="O42" s="205">
        <f t="shared" si="5"/>
        <v>0</v>
      </c>
      <c r="P42" s="555">
        <f>(1+$R$1)*Table33[[#This Row],[Hours]]</f>
        <v>0</v>
      </c>
      <c r="Q42" s="207">
        <f t="shared" si="1"/>
        <v>0</v>
      </c>
      <c r="R42" s="208">
        <f t="shared" si="6"/>
        <v>0</v>
      </c>
      <c r="S42" s="208">
        <f t="shared" si="7"/>
        <v>0</v>
      </c>
      <c r="T42" s="208" t="str">
        <f t="shared" si="8"/>
        <v/>
      </c>
      <c r="U42" s="195">
        <f>Table33[[#This Row],[gal/100ft]]*Table33[[#This Row],[QTY]]/100</f>
        <v>0</v>
      </c>
      <c r="V42" s="195"/>
      <c r="W42" s="195"/>
      <c r="X42"/>
      <c r="Y42"/>
    </row>
    <row r="43" spans="1:25" x14ac:dyDescent="0.25">
      <c r="A43" s="195" t="s">
        <v>602</v>
      </c>
      <c r="B43" s="536" t="s">
        <v>875</v>
      </c>
      <c r="C43" s="195">
        <v>45</v>
      </c>
      <c r="D43" s="195" t="s">
        <v>609</v>
      </c>
      <c r="E43" s="288"/>
      <c r="F43" s="204">
        <v>2</v>
      </c>
      <c r="G43" s="204"/>
      <c r="H43" s="197"/>
      <c r="I43" s="198"/>
      <c r="J43" s="205">
        <v>4.95</v>
      </c>
      <c r="K43" s="287">
        <v>4.95</v>
      </c>
      <c r="L43" s="206">
        <v>26</v>
      </c>
      <c r="M43" s="286">
        <v>26</v>
      </c>
      <c r="N43" s="552">
        <v>41791</v>
      </c>
      <c r="O43" s="205">
        <f t="shared" si="5"/>
        <v>0</v>
      </c>
      <c r="P43" s="555">
        <f>(1+$R$1)*Table33[[#This Row],[Hours]]</f>
        <v>0</v>
      </c>
      <c r="Q43" s="207">
        <f t="shared" si="1"/>
        <v>0</v>
      </c>
      <c r="R43" s="208">
        <f t="shared" si="6"/>
        <v>0</v>
      </c>
      <c r="S43" s="208">
        <f t="shared" si="7"/>
        <v>0</v>
      </c>
      <c r="T43" s="208" t="str">
        <f t="shared" si="8"/>
        <v/>
      </c>
      <c r="U43" s="195">
        <f>Table33[[#This Row],[gal/100ft]]*Table33[[#This Row],[QTY]]/100</f>
        <v>0</v>
      </c>
      <c r="V43" s="195"/>
      <c r="W43" s="195"/>
      <c r="X43"/>
      <c r="Y43"/>
    </row>
    <row r="44" spans="1:25" x14ac:dyDescent="0.25">
      <c r="A44" s="195" t="s">
        <v>602</v>
      </c>
      <c r="B44" s="536" t="s">
        <v>875</v>
      </c>
      <c r="C44" s="195">
        <v>45</v>
      </c>
      <c r="D44" s="195" t="s">
        <v>609</v>
      </c>
      <c r="E44" s="288"/>
      <c r="F44" s="204">
        <v>2.5</v>
      </c>
      <c r="G44" s="204"/>
      <c r="H44" s="197"/>
      <c r="I44" s="198"/>
      <c r="J44" s="205">
        <v>5.97</v>
      </c>
      <c r="K44" s="287">
        <v>5.97</v>
      </c>
      <c r="L44" s="206">
        <v>60</v>
      </c>
      <c r="M44" s="286">
        <v>60</v>
      </c>
      <c r="N44" s="552">
        <v>41791</v>
      </c>
      <c r="O44" s="205">
        <f t="shared" si="5"/>
        <v>0</v>
      </c>
      <c r="P44" s="555">
        <f>(1+$R$1)*Table33[[#This Row],[Hours]]</f>
        <v>0</v>
      </c>
      <c r="Q44" s="207">
        <f t="shared" si="1"/>
        <v>0</v>
      </c>
      <c r="R44" s="208">
        <f t="shared" si="6"/>
        <v>0</v>
      </c>
      <c r="S44" s="208">
        <f t="shared" si="7"/>
        <v>0</v>
      </c>
      <c r="T44" s="208" t="str">
        <f t="shared" si="8"/>
        <v/>
      </c>
      <c r="U44" s="195">
        <f>Table33[[#This Row],[gal/100ft]]*Table33[[#This Row],[QTY]]/100</f>
        <v>0</v>
      </c>
      <c r="V44" s="195"/>
      <c r="W44" s="195"/>
      <c r="X44"/>
      <c r="Y44"/>
    </row>
    <row r="45" spans="1:25" x14ac:dyDescent="0.25">
      <c r="A45" s="195" t="s">
        <v>602</v>
      </c>
      <c r="B45" s="536" t="s">
        <v>875</v>
      </c>
      <c r="C45" s="195">
        <v>45</v>
      </c>
      <c r="D45" s="195" t="s">
        <v>609</v>
      </c>
      <c r="E45" s="288"/>
      <c r="F45" s="204">
        <v>4</v>
      </c>
      <c r="G45" s="204"/>
      <c r="H45" s="197"/>
      <c r="I45" s="198"/>
      <c r="J45" s="205">
        <v>7.43</v>
      </c>
      <c r="K45" s="287">
        <v>7.43</v>
      </c>
      <c r="L45" s="206">
        <v>76</v>
      </c>
      <c r="M45" s="286">
        <v>76</v>
      </c>
      <c r="N45" s="552">
        <v>41791</v>
      </c>
      <c r="O45" s="205">
        <f t="shared" si="5"/>
        <v>0</v>
      </c>
      <c r="P45" s="555">
        <f>(1+$R$1)*Table33[[#This Row],[Hours]]</f>
        <v>0</v>
      </c>
      <c r="Q45" s="207">
        <f t="shared" si="1"/>
        <v>0</v>
      </c>
      <c r="R45" s="208">
        <f t="shared" si="6"/>
        <v>0</v>
      </c>
      <c r="S45" s="208">
        <f t="shared" si="7"/>
        <v>0</v>
      </c>
      <c r="T45" s="208" t="str">
        <f t="shared" si="8"/>
        <v/>
      </c>
      <c r="U45" s="195">
        <f>Table33[[#This Row],[gal/100ft]]*Table33[[#This Row],[QTY]]/100</f>
        <v>0</v>
      </c>
      <c r="V45" s="195"/>
      <c r="W45" s="195"/>
      <c r="X45"/>
      <c r="Y45"/>
    </row>
    <row r="46" spans="1:25" x14ac:dyDescent="0.25">
      <c r="A46" s="195" t="s">
        <v>602</v>
      </c>
      <c r="B46" s="536" t="s">
        <v>875</v>
      </c>
      <c r="C46" s="195">
        <v>45</v>
      </c>
      <c r="D46" s="195" t="s">
        <v>609</v>
      </c>
      <c r="E46" s="288"/>
      <c r="F46" s="204">
        <v>5</v>
      </c>
      <c r="G46" s="204"/>
      <c r="H46" s="197"/>
      <c r="I46" s="198"/>
      <c r="J46" s="205">
        <v>8.3699999999999992</v>
      </c>
      <c r="K46" s="287">
        <v>8.3699999999999992</v>
      </c>
      <c r="L46" s="206">
        <v>280</v>
      </c>
      <c r="M46" s="286">
        <v>280</v>
      </c>
      <c r="N46" s="552">
        <v>41791</v>
      </c>
      <c r="O46" s="205">
        <f t="shared" si="5"/>
        <v>0</v>
      </c>
      <c r="P46" s="555">
        <f>(1+$R$1)*Table33[[#This Row],[Hours]]</f>
        <v>0</v>
      </c>
      <c r="Q46" s="207">
        <f t="shared" si="1"/>
        <v>0</v>
      </c>
      <c r="R46" s="208">
        <f t="shared" si="6"/>
        <v>0</v>
      </c>
      <c r="S46" s="208">
        <f t="shared" si="7"/>
        <v>0</v>
      </c>
      <c r="T46" s="208" t="str">
        <f t="shared" si="8"/>
        <v/>
      </c>
      <c r="U46" s="195">
        <f>Table33[[#This Row],[gal/100ft]]*Table33[[#This Row],[QTY]]/100</f>
        <v>0</v>
      </c>
      <c r="V46" s="195"/>
      <c r="W46" s="195"/>
      <c r="X46"/>
      <c r="Y46"/>
    </row>
    <row r="47" spans="1:25" x14ac:dyDescent="0.25">
      <c r="A47" s="195" t="s">
        <v>602</v>
      </c>
      <c r="B47" s="536" t="s">
        <v>875</v>
      </c>
      <c r="C47" s="195">
        <v>45</v>
      </c>
      <c r="D47" s="195" t="s">
        <v>609</v>
      </c>
      <c r="E47" s="288"/>
      <c r="F47" s="204">
        <v>6</v>
      </c>
      <c r="G47" s="204"/>
      <c r="H47" s="197"/>
      <c r="I47" s="198"/>
      <c r="J47" s="205">
        <v>9.32</v>
      </c>
      <c r="K47" s="287">
        <v>9.32</v>
      </c>
      <c r="L47" s="206">
        <v>190</v>
      </c>
      <c r="M47" s="286">
        <v>190</v>
      </c>
      <c r="N47" s="552">
        <v>41791</v>
      </c>
      <c r="O47" s="205">
        <f t="shared" si="5"/>
        <v>0</v>
      </c>
      <c r="P47" s="555">
        <f>(1+$R$1)*Table33[[#This Row],[Hours]]</f>
        <v>0</v>
      </c>
      <c r="Q47" s="207">
        <f t="shared" si="1"/>
        <v>0</v>
      </c>
      <c r="R47" s="208">
        <f t="shared" si="6"/>
        <v>0</v>
      </c>
      <c r="S47" s="208">
        <f t="shared" si="7"/>
        <v>0</v>
      </c>
      <c r="T47" s="208" t="str">
        <f t="shared" si="8"/>
        <v/>
      </c>
      <c r="U47" s="195">
        <f>Table33[[#This Row],[gal/100ft]]*Table33[[#This Row],[QTY]]/100</f>
        <v>0</v>
      </c>
      <c r="V47" s="195"/>
      <c r="W47" s="195"/>
      <c r="X47"/>
      <c r="Y47"/>
    </row>
    <row r="48" spans="1:25" ht="12.75" x14ac:dyDescent="0.2">
      <c r="A48" s="195" t="s">
        <v>602</v>
      </c>
      <c r="B48" s="536" t="s">
        <v>875</v>
      </c>
      <c r="C48" s="195">
        <v>45</v>
      </c>
      <c r="D48" s="195" t="s">
        <v>609</v>
      </c>
      <c r="E48" s="288"/>
      <c r="F48" s="204">
        <v>8</v>
      </c>
      <c r="G48" s="204"/>
      <c r="H48" s="197"/>
      <c r="I48" s="198"/>
      <c r="J48" s="205">
        <v>11.49</v>
      </c>
      <c r="K48" s="287">
        <v>11.49</v>
      </c>
      <c r="L48" s="206">
        <v>400</v>
      </c>
      <c r="M48" s="286">
        <v>400</v>
      </c>
      <c r="N48" s="552">
        <v>41791</v>
      </c>
      <c r="O48" s="205">
        <f t="shared" si="5"/>
        <v>0</v>
      </c>
      <c r="P48" s="555">
        <f>(1+$R$1)*Table33[[#This Row],[Hours]]</f>
        <v>0</v>
      </c>
      <c r="Q48" s="207">
        <f t="shared" si="1"/>
        <v>0</v>
      </c>
      <c r="R48" s="208">
        <f t="shared" si="6"/>
        <v>0</v>
      </c>
      <c r="S48" s="208">
        <f t="shared" si="7"/>
        <v>0</v>
      </c>
      <c r="T48" s="208" t="str">
        <f t="shared" si="8"/>
        <v/>
      </c>
      <c r="U48" s="195">
        <f>Table33[[#This Row],[gal/100ft]]*Table33[[#This Row],[QTY]]/100</f>
        <v>0</v>
      </c>
      <c r="V48" s="195"/>
      <c r="W48" s="195"/>
      <c r="X48" s="195"/>
      <c r="Y48" s="195"/>
    </row>
    <row r="49" spans="1:25" ht="12.75" x14ac:dyDescent="0.2">
      <c r="A49" s="195" t="s">
        <v>602</v>
      </c>
      <c r="B49" s="536" t="s">
        <v>875</v>
      </c>
      <c r="C49" s="195">
        <v>45</v>
      </c>
      <c r="D49" s="195" t="s">
        <v>609</v>
      </c>
      <c r="E49" s="288"/>
      <c r="F49" s="204">
        <v>10</v>
      </c>
      <c r="G49" s="204"/>
      <c r="H49" s="197"/>
      <c r="I49" s="198"/>
      <c r="J49" s="205">
        <v>14.37</v>
      </c>
      <c r="K49" s="287">
        <v>14.37</v>
      </c>
      <c r="L49" s="206">
        <v>700</v>
      </c>
      <c r="M49" s="286">
        <v>700</v>
      </c>
      <c r="N49" s="552">
        <v>41791</v>
      </c>
      <c r="O49" s="205">
        <f t="shared" si="5"/>
        <v>0</v>
      </c>
      <c r="P49" s="555">
        <f>(1+$R$1)*Table33[[#This Row],[Hours]]</f>
        <v>0</v>
      </c>
      <c r="Q49" s="207">
        <f t="shared" si="1"/>
        <v>0</v>
      </c>
      <c r="R49" s="208">
        <f t="shared" si="6"/>
        <v>0</v>
      </c>
      <c r="S49" s="208">
        <f t="shared" si="7"/>
        <v>0</v>
      </c>
      <c r="T49" s="208" t="str">
        <f t="shared" si="8"/>
        <v/>
      </c>
      <c r="U49" s="195">
        <f>Table33[[#This Row],[gal/100ft]]*Table33[[#This Row],[QTY]]/100</f>
        <v>0</v>
      </c>
      <c r="V49" s="195"/>
      <c r="W49" s="195"/>
      <c r="X49" s="195"/>
      <c r="Y49" s="195"/>
    </row>
    <row r="50" spans="1:25" ht="12.75" x14ac:dyDescent="0.2">
      <c r="A50" s="195" t="s">
        <v>602</v>
      </c>
      <c r="B50" s="536" t="s">
        <v>875</v>
      </c>
      <c r="C50" s="195">
        <v>45</v>
      </c>
      <c r="D50" s="195" t="s">
        <v>609</v>
      </c>
      <c r="E50" s="288"/>
      <c r="F50" s="204">
        <v>12</v>
      </c>
      <c r="G50" s="204"/>
      <c r="H50" s="197"/>
      <c r="I50" s="198"/>
      <c r="J50" s="205">
        <v>17.329999999999998</v>
      </c>
      <c r="K50" s="287">
        <v>17.329999999999998</v>
      </c>
      <c r="L50" s="206">
        <v>875</v>
      </c>
      <c r="M50" s="286">
        <v>875</v>
      </c>
      <c r="N50" s="552">
        <v>41791</v>
      </c>
      <c r="O50" s="205">
        <f t="shared" si="5"/>
        <v>0</v>
      </c>
      <c r="P50" s="555">
        <f>(1+$R$1)*Table33[[#This Row],[Hours]]</f>
        <v>0</v>
      </c>
      <c r="Q50" s="207">
        <f t="shared" si="1"/>
        <v>0</v>
      </c>
      <c r="R50" s="208">
        <f t="shared" si="6"/>
        <v>0</v>
      </c>
      <c r="S50" s="208">
        <f t="shared" si="7"/>
        <v>0</v>
      </c>
      <c r="T50" s="208" t="str">
        <f t="shared" si="8"/>
        <v/>
      </c>
      <c r="U50" s="195">
        <f>Table33[[#This Row],[gal/100ft]]*Table33[[#This Row],[QTY]]/100</f>
        <v>0</v>
      </c>
      <c r="V50" s="195"/>
      <c r="W50" s="195"/>
      <c r="X50" s="195"/>
      <c r="Y50" s="195"/>
    </row>
    <row r="51" spans="1:25" ht="12.75" x14ac:dyDescent="0.2">
      <c r="A51" s="275" t="s">
        <v>695</v>
      </c>
      <c r="B51" s="275" t="s">
        <v>693</v>
      </c>
      <c r="C51" s="275">
        <v>90</v>
      </c>
      <c r="D51" s="275" t="s">
        <v>696</v>
      </c>
      <c r="E51" s="288"/>
      <c r="F51" s="204">
        <v>0.5</v>
      </c>
      <c r="G51" s="272"/>
      <c r="H51" s="273"/>
      <c r="I51" s="274"/>
      <c r="J51" s="205">
        <v>0.47</v>
      </c>
      <c r="K51" s="287">
        <v>0.47</v>
      </c>
      <c r="L51" s="206">
        <v>0.46</v>
      </c>
      <c r="M51" s="286">
        <v>0.46</v>
      </c>
      <c r="N51" s="552">
        <v>41791</v>
      </c>
      <c r="O51" s="205">
        <f t="shared" si="5"/>
        <v>0</v>
      </c>
      <c r="P51" s="555">
        <f>(1+$R$1)*Table33[[#This Row],[Hours]]</f>
        <v>0</v>
      </c>
      <c r="Q51" s="207">
        <f t="shared" si="1"/>
        <v>0</v>
      </c>
      <c r="R51" s="208">
        <f t="shared" si="6"/>
        <v>0</v>
      </c>
      <c r="S51" s="208">
        <f t="shared" si="7"/>
        <v>0</v>
      </c>
      <c r="T51" s="208" t="str">
        <f t="shared" si="8"/>
        <v/>
      </c>
      <c r="U51" s="195">
        <f>Table33[[#This Row],[gal/100ft]]*Table33[[#This Row],[QTY]]/100</f>
        <v>0</v>
      </c>
      <c r="V51" s="195"/>
      <c r="W51" s="195"/>
      <c r="X51" s="195"/>
      <c r="Y51" s="195"/>
    </row>
    <row r="52" spans="1:25" ht="12.75" x14ac:dyDescent="0.2">
      <c r="A52" s="275" t="s">
        <v>695</v>
      </c>
      <c r="B52" s="275" t="s">
        <v>693</v>
      </c>
      <c r="C52" s="275">
        <v>90</v>
      </c>
      <c r="D52" s="275" t="s">
        <v>696</v>
      </c>
      <c r="E52" s="289"/>
      <c r="F52" s="272">
        <v>0.75</v>
      </c>
      <c r="G52" s="272"/>
      <c r="H52" s="273"/>
      <c r="I52" s="274"/>
      <c r="J52" s="205">
        <v>0.62</v>
      </c>
      <c r="K52" s="287">
        <v>0.62</v>
      </c>
      <c r="L52" s="206">
        <v>1.03</v>
      </c>
      <c r="M52" s="286">
        <v>1.03</v>
      </c>
      <c r="N52" s="552">
        <v>41791</v>
      </c>
      <c r="O52" s="205">
        <f t="shared" si="5"/>
        <v>0</v>
      </c>
      <c r="P52" s="555">
        <f>(1+$R$1)*Table33[[#This Row],[Hours]]</f>
        <v>0</v>
      </c>
      <c r="Q52" s="207">
        <f t="shared" si="1"/>
        <v>0</v>
      </c>
      <c r="R52" s="208">
        <f t="shared" si="6"/>
        <v>0</v>
      </c>
      <c r="S52" s="208">
        <f t="shared" si="7"/>
        <v>0</v>
      </c>
      <c r="T52" s="208" t="str">
        <f t="shared" si="8"/>
        <v/>
      </c>
      <c r="U52" s="195">
        <f>Table33[[#This Row],[gal/100ft]]*Table33[[#This Row],[QTY]]/100</f>
        <v>0</v>
      </c>
      <c r="V52" s="195"/>
      <c r="W52" s="195"/>
      <c r="X52" s="195"/>
      <c r="Y52" s="195"/>
    </row>
    <row r="53" spans="1:25" ht="12.75" x14ac:dyDescent="0.2">
      <c r="A53" s="275" t="s">
        <v>695</v>
      </c>
      <c r="B53" s="275" t="s">
        <v>693</v>
      </c>
      <c r="C53" s="275">
        <v>90</v>
      </c>
      <c r="D53" s="275" t="s">
        <v>696</v>
      </c>
      <c r="E53" s="289"/>
      <c r="F53" s="272">
        <v>1</v>
      </c>
      <c r="G53" s="272"/>
      <c r="H53" s="273"/>
      <c r="I53" s="274"/>
      <c r="J53" s="205">
        <v>0.75</v>
      </c>
      <c r="K53" s="287">
        <v>0.75</v>
      </c>
      <c r="L53" s="206">
        <v>2.54</v>
      </c>
      <c r="M53" s="286">
        <v>2.54</v>
      </c>
      <c r="N53" s="552">
        <v>41791</v>
      </c>
      <c r="O53" s="205">
        <f t="shared" si="5"/>
        <v>0</v>
      </c>
      <c r="P53" s="555">
        <f>(1+$R$1)*Table33[[#This Row],[Hours]]</f>
        <v>0</v>
      </c>
      <c r="Q53" s="207">
        <f t="shared" si="1"/>
        <v>0</v>
      </c>
      <c r="R53" s="208">
        <f t="shared" si="6"/>
        <v>0</v>
      </c>
      <c r="S53" s="208">
        <f t="shared" si="7"/>
        <v>0</v>
      </c>
      <c r="T53" s="208" t="str">
        <f t="shared" si="8"/>
        <v/>
      </c>
      <c r="U53" s="195">
        <f>Table33[[#This Row],[gal/100ft]]*Table33[[#This Row],[QTY]]/100</f>
        <v>0</v>
      </c>
      <c r="V53" s="195"/>
      <c r="W53" s="195"/>
      <c r="X53" s="195"/>
      <c r="Y53" s="195"/>
    </row>
    <row r="54" spans="1:25" ht="12.75" x14ac:dyDescent="0.2">
      <c r="A54" s="275" t="s">
        <v>695</v>
      </c>
      <c r="B54" s="275" t="s">
        <v>693</v>
      </c>
      <c r="C54" s="275">
        <v>90</v>
      </c>
      <c r="D54" s="275" t="s">
        <v>696</v>
      </c>
      <c r="E54" s="289"/>
      <c r="F54" s="272">
        <v>1.25</v>
      </c>
      <c r="G54" s="272"/>
      <c r="H54" s="273"/>
      <c r="I54" s="274"/>
      <c r="J54" s="205">
        <v>0.82</v>
      </c>
      <c r="K54" s="287">
        <v>0.82</v>
      </c>
      <c r="L54" s="206">
        <v>3.8</v>
      </c>
      <c r="M54" s="286">
        <v>3.8</v>
      </c>
      <c r="N54" s="552">
        <v>41791</v>
      </c>
      <c r="O54" s="205">
        <f t="shared" si="5"/>
        <v>0</v>
      </c>
      <c r="P54" s="555">
        <f>(1+$R$1)*Table33[[#This Row],[Hours]]</f>
        <v>0</v>
      </c>
      <c r="Q54" s="207">
        <f t="shared" si="1"/>
        <v>0</v>
      </c>
      <c r="R54" s="208">
        <f t="shared" si="6"/>
        <v>0</v>
      </c>
      <c r="S54" s="208">
        <f t="shared" si="7"/>
        <v>0</v>
      </c>
      <c r="T54" s="208" t="str">
        <f t="shared" si="8"/>
        <v/>
      </c>
      <c r="U54" s="195">
        <f>Table33[[#This Row],[gal/100ft]]*Table33[[#This Row],[QTY]]/100</f>
        <v>0</v>
      </c>
      <c r="V54" s="195"/>
      <c r="W54" s="195"/>
      <c r="X54" s="195"/>
      <c r="Y54" s="195"/>
    </row>
    <row r="55" spans="1:25" ht="12.75" x14ac:dyDescent="0.2">
      <c r="A55" s="275" t="s">
        <v>695</v>
      </c>
      <c r="B55" s="275" t="s">
        <v>693</v>
      </c>
      <c r="C55" s="275">
        <v>90</v>
      </c>
      <c r="D55" s="275" t="s">
        <v>696</v>
      </c>
      <c r="E55" s="289"/>
      <c r="F55" s="272">
        <v>1.5</v>
      </c>
      <c r="G55" s="272"/>
      <c r="H55" s="273"/>
      <c r="I55" s="274"/>
      <c r="J55" s="205">
        <v>0.88</v>
      </c>
      <c r="K55" s="287">
        <v>0.88</v>
      </c>
      <c r="L55" s="206">
        <v>5.93</v>
      </c>
      <c r="M55" s="286">
        <v>5.93</v>
      </c>
      <c r="N55" s="552">
        <v>41791</v>
      </c>
      <c r="O55" s="205">
        <f t="shared" si="5"/>
        <v>0</v>
      </c>
      <c r="P55" s="555">
        <f>(1+$R$1)*Table33[[#This Row],[Hours]]</f>
        <v>0</v>
      </c>
      <c r="Q55" s="207">
        <f t="shared" si="1"/>
        <v>0</v>
      </c>
      <c r="R55" s="208">
        <f t="shared" si="6"/>
        <v>0</v>
      </c>
      <c r="S55" s="208">
        <f t="shared" si="7"/>
        <v>0</v>
      </c>
      <c r="T55" s="208" t="str">
        <f t="shared" si="8"/>
        <v/>
      </c>
      <c r="U55" s="195">
        <f>Table33[[#This Row],[gal/100ft]]*Table33[[#This Row],[QTY]]/100</f>
        <v>0</v>
      </c>
      <c r="V55" s="195"/>
      <c r="W55" s="195"/>
      <c r="X55" s="195"/>
      <c r="Y55" s="195"/>
    </row>
    <row r="56" spans="1:25" ht="12.75" x14ac:dyDescent="0.2">
      <c r="A56" s="275" t="s">
        <v>695</v>
      </c>
      <c r="B56" s="275" t="s">
        <v>693</v>
      </c>
      <c r="C56" s="275">
        <v>90</v>
      </c>
      <c r="D56" s="275" t="s">
        <v>696</v>
      </c>
      <c r="E56" s="289"/>
      <c r="F56" s="272">
        <v>2</v>
      </c>
      <c r="G56" s="272"/>
      <c r="H56" s="273"/>
      <c r="I56" s="274"/>
      <c r="J56" s="205">
        <v>0.98</v>
      </c>
      <c r="K56" s="287">
        <v>0.98</v>
      </c>
      <c r="L56" s="206">
        <v>10.8</v>
      </c>
      <c r="M56" s="286">
        <v>10.8</v>
      </c>
      <c r="N56" s="552">
        <v>41791</v>
      </c>
      <c r="O56" s="205">
        <f t="shared" si="5"/>
        <v>0</v>
      </c>
      <c r="P56" s="555">
        <f>(1+$R$1)*Table33[[#This Row],[Hours]]</f>
        <v>0</v>
      </c>
      <c r="Q56" s="207">
        <f t="shared" si="1"/>
        <v>0</v>
      </c>
      <c r="R56" s="208">
        <f t="shared" si="6"/>
        <v>0</v>
      </c>
      <c r="S56" s="208">
        <f t="shared" si="7"/>
        <v>0</v>
      </c>
      <c r="T56" s="208" t="str">
        <f t="shared" si="8"/>
        <v/>
      </c>
      <c r="U56" s="195">
        <f>Table33[[#This Row],[gal/100ft]]*Table33[[#This Row],[QTY]]/100</f>
        <v>0</v>
      </c>
      <c r="V56" s="195"/>
      <c r="W56" s="195"/>
      <c r="X56" s="195"/>
      <c r="Y56" s="195"/>
    </row>
    <row r="57" spans="1:25" ht="12.75" x14ac:dyDescent="0.2">
      <c r="A57" s="195" t="s">
        <v>606</v>
      </c>
      <c r="B57" s="195" t="s">
        <v>605</v>
      </c>
      <c r="C57" s="195">
        <v>90</v>
      </c>
      <c r="D57" s="195" t="s">
        <v>630</v>
      </c>
      <c r="E57" s="288"/>
      <c r="F57" s="204">
        <v>0.5</v>
      </c>
      <c r="G57" s="204"/>
      <c r="H57" s="197"/>
      <c r="I57" s="210"/>
      <c r="J57" s="205">
        <v>0.51</v>
      </c>
      <c r="K57" s="287">
        <v>0.13</v>
      </c>
      <c r="L57" s="206">
        <v>1.04</v>
      </c>
      <c r="M57" s="286">
        <v>1.04</v>
      </c>
      <c r="N57" s="552">
        <v>41791</v>
      </c>
      <c r="O57" s="205">
        <f t="shared" si="5"/>
        <v>0</v>
      </c>
      <c r="P57" s="555">
        <f>(1+$R$1)*Table33[[#This Row],[Hours]]</f>
        <v>0</v>
      </c>
      <c r="Q57" s="207">
        <f t="shared" si="1"/>
        <v>0</v>
      </c>
      <c r="R57" s="208">
        <f t="shared" si="6"/>
        <v>0</v>
      </c>
      <c r="S57" s="208">
        <f t="shared" si="7"/>
        <v>0</v>
      </c>
      <c r="T57" s="208" t="str">
        <f t="shared" si="8"/>
        <v/>
      </c>
      <c r="U57" s="195">
        <f>Table33[[#This Row],[gal/100ft]]*Table33[[#This Row],[QTY]]/100</f>
        <v>0</v>
      </c>
      <c r="V57" s="195"/>
      <c r="W57" s="195"/>
      <c r="X57" s="195"/>
      <c r="Y57" s="195"/>
    </row>
    <row r="58" spans="1:25" ht="12.75" x14ac:dyDescent="0.2">
      <c r="A58" s="195" t="s">
        <v>606</v>
      </c>
      <c r="B58" s="195" t="s">
        <v>605</v>
      </c>
      <c r="C58" s="195">
        <v>90</v>
      </c>
      <c r="D58" s="195" t="s">
        <v>630</v>
      </c>
      <c r="E58" s="288"/>
      <c r="F58" s="204">
        <v>0.75</v>
      </c>
      <c r="G58" s="204"/>
      <c r="H58" s="197"/>
      <c r="I58" s="210"/>
      <c r="J58" s="205">
        <v>0.55000000000000004</v>
      </c>
      <c r="K58" s="287">
        <v>0.16</v>
      </c>
      <c r="L58" s="206">
        <v>1.34</v>
      </c>
      <c r="M58" s="286">
        <v>1.34</v>
      </c>
      <c r="N58" s="552">
        <v>41791</v>
      </c>
      <c r="O58" s="205">
        <f t="shared" si="5"/>
        <v>0</v>
      </c>
      <c r="P58" s="555">
        <f>(1+$R$1)*Table33[[#This Row],[Hours]]</f>
        <v>0</v>
      </c>
      <c r="Q58" s="207">
        <f t="shared" si="1"/>
        <v>0</v>
      </c>
      <c r="R58" s="208">
        <f t="shared" si="6"/>
        <v>0</v>
      </c>
      <c r="S58" s="208">
        <f t="shared" si="7"/>
        <v>0</v>
      </c>
      <c r="T58" s="208" t="str">
        <f t="shared" si="8"/>
        <v/>
      </c>
      <c r="U58" s="195">
        <f>Table33[[#This Row],[gal/100ft]]*Table33[[#This Row],[QTY]]/100</f>
        <v>0</v>
      </c>
      <c r="V58" s="195"/>
      <c r="W58" s="195"/>
      <c r="X58" s="195"/>
      <c r="Y58" s="195"/>
    </row>
    <row r="59" spans="1:25" ht="12.75" x14ac:dyDescent="0.2">
      <c r="A59" s="195" t="s">
        <v>606</v>
      </c>
      <c r="B59" s="195" t="s">
        <v>605</v>
      </c>
      <c r="C59" s="195">
        <v>90</v>
      </c>
      <c r="D59" s="195" t="s">
        <v>630</v>
      </c>
      <c r="E59" s="288"/>
      <c r="F59" s="204">
        <v>1</v>
      </c>
      <c r="G59" s="204"/>
      <c r="H59" s="197"/>
      <c r="I59" s="210"/>
      <c r="J59" s="205">
        <v>0.6</v>
      </c>
      <c r="K59" s="287">
        <v>0.18</v>
      </c>
      <c r="L59" s="206">
        <v>2.11</v>
      </c>
      <c r="M59" s="286">
        <v>2.11</v>
      </c>
      <c r="N59" s="552">
        <v>41791</v>
      </c>
      <c r="O59" s="205">
        <f t="shared" si="5"/>
        <v>0</v>
      </c>
      <c r="P59" s="555">
        <f>(1+$R$1)*Table33[[#This Row],[Hours]]</f>
        <v>0</v>
      </c>
      <c r="Q59" s="207">
        <f t="shared" si="1"/>
        <v>0</v>
      </c>
      <c r="R59" s="208">
        <f t="shared" si="6"/>
        <v>0</v>
      </c>
      <c r="S59" s="208">
        <f t="shared" si="7"/>
        <v>0</v>
      </c>
      <c r="T59" s="208" t="str">
        <f t="shared" si="8"/>
        <v/>
      </c>
      <c r="U59" s="195">
        <f>Table33[[#This Row],[gal/100ft]]*Table33[[#This Row],[QTY]]/100</f>
        <v>0</v>
      </c>
      <c r="V59" s="195"/>
      <c r="W59" s="195"/>
      <c r="X59" s="195"/>
      <c r="Y59" s="195"/>
    </row>
    <row r="60" spans="1:25" ht="12.75" x14ac:dyDescent="0.2">
      <c r="A60" s="195" t="s">
        <v>606</v>
      </c>
      <c r="B60" s="195" t="s">
        <v>605</v>
      </c>
      <c r="C60" s="195">
        <v>90</v>
      </c>
      <c r="D60" s="195" t="s">
        <v>630</v>
      </c>
      <c r="E60" s="288"/>
      <c r="F60" s="204">
        <v>1.25</v>
      </c>
      <c r="G60" s="204"/>
      <c r="H60" s="197"/>
      <c r="I60" s="210"/>
      <c r="J60" s="205">
        <v>0.66</v>
      </c>
      <c r="K60" s="287">
        <v>0.2</v>
      </c>
      <c r="L60" s="206">
        <v>2.97</v>
      </c>
      <c r="M60" s="286">
        <v>2.97</v>
      </c>
      <c r="N60" s="552">
        <v>41791</v>
      </c>
      <c r="O60" s="205">
        <f t="shared" si="5"/>
        <v>0</v>
      </c>
      <c r="P60" s="555">
        <f>(1+$R$1)*Table33[[#This Row],[Hours]]</f>
        <v>0</v>
      </c>
      <c r="Q60" s="207">
        <f t="shared" si="1"/>
        <v>0</v>
      </c>
      <c r="R60" s="208">
        <f t="shared" si="6"/>
        <v>0</v>
      </c>
      <c r="S60" s="208">
        <f t="shared" si="7"/>
        <v>0</v>
      </c>
      <c r="T60" s="208" t="str">
        <f t="shared" si="8"/>
        <v/>
      </c>
      <c r="U60" s="195">
        <f>Table33[[#This Row],[gal/100ft]]*Table33[[#This Row],[QTY]]/100</f>
        <v>0</v>
      </c>
      <c r="V60" s="195"/>
      <c r="W60" s="195"/>
      <c r="X60" s="195"/>
      <c r="Y60" s="195"/>
    </row>
    <row r="61" spans="1:25" ht="12.75" x14ac:dyDescent="0.2">
      <c r="A61" s="195" t="s">
        <v>606</v>
      </c>
      <c r="B61" s="195" t="s">
        <v>605</v>
      </c>
      <c r="C61" s="195">
        <v>90</v>
      </c>
      <c r="D61" s="195" t="s">
        <v>630</v>
      </c>
      <c r="E61" s="288"/>
      <c r="F61" s="204">
        <v>1.5</v>
      </c>
      <c r="G61" s="204"/>
      <c r="H61" s="197"/>
      <c r="I61" s="210"/>
      <c r="J61" s="205">
        <v>0.69</v>
      </c>
      <c r="K61" s="287">
        <v>0.26</v>
      </c>
      <c r="L61" s="206">
        <v>6.98</v>
      </c>
      <c r="M61" s="286">
        <v>6.98</v>
      </c>
      <c r="N61" s="552">
        <v>41791</v>
      </c>
      <c r="O61" s="205">
        <f t="shared" si="5"/>
        <v>0</v>
      </c>
      <c r="P61" s="555">
        <f>(1+$R$1)*Table33[[#This Row],[Hours]]</f>
        <v>0</v>
      </c>
      <c r="Q61" s="207">
        <f t="shared" si="1"/>
        <v>0</v>
      </c>
      <c r="R61" s="208">
        <f t="shared" si="6"/>
        <v>0</v>
      </c>
      <c r="S61" s="208">
        <f t="shared" si="7"/>
        <v>0</v>
      </c>
      <c r="T61" s="208" t="str">
        <f t="shared" si="8"/>
        <v/>
      </c>
      <c r="U61" s="195">
        <f>Table33[[#This Row],[gal/100ft]]*Table33[[#This Row],[QTY]]/100</f>
        <v>0</v>
      </c>
      <c r="V61" s="195"/>
      <c r="W61" s="195"/>
      <c r="X61" s="195"/>
      <c r="Y61" s="195"/>
    </row>
    <row r="62" spans="1:25" ht="12.75" x14ac:dyDescent="0.2">
      <c r="A62" s="195" t="s">
        <v>606</v>
      </c>
      <c r="B62" s="195" t="s">
        <v>605</v>
      </c>
      <c r="C62" s="195">
        <v>90</v>
      </c>
      <c r="D62" s="195" t="s">
        <v>630</v>
      </c>
      <c r="E62" s="288"/>
      <c r="F62" s="204">
        <v>2</v>
      </c>
      <c r="G62" s="204"/>
      <c r="H62" s="197"/>
      <c r="I62" s="210"/>
      <c r="J62" s="205">
        <v>0.79</v>
      </c>
      <c r="K62" s="287">
        <v>0.3</v>
      </c>
      <c r="L62" s="206">
        <v>10.72</v>
      </c>
      <c r="M62" s="286">
        <v>10.72</v>
      </c>
      <c r="N62" s="552">
        <v>41791</v>
      </c>
      <c r="O62" s="205">
        <f t="shared" si="5"/>
        <v>0</v>
      </c>
      <c r="P62" s="555">
        <f>(1+$R$1)*Table33[[#This Row],[Hours]]</f>
        <v>0</v>
      </c>
      <c r="Q62" s="207">
        <f t="shared" si="1"/>
        <v>0</v>
      </c>
      <c r="R62" s="208">
        <f t="shared" si="6"/>
        <v>0</v>
      </c>
      <c r="S62" s="208">
        <f t="shared" si="7"/>
        <v>0</v>
      </c>
      <c r="T62" s="208" t="str">
        <f t="shared" si="8"/>
        <v/>
      </c>
      <c r="U62" s="195">
        <f>Table33[[#This Row],[gal/100ft]]*Table33[[#This Row],[QTY]]/100</f>
        <v>0</v>
      </c>
      <c r="V62" s="195"/>
      <c r="W62" s="195"/>
      <c r="X62" s="195"/>
      <c r="Y62" s="195"/>
    </row>
    <row r="63" spans="1:25" ht="12.75" x14ac:dyDescent="0.2">
      <c r="A63" s="195" t="s">
        <v>606</v>
      </c>
      <c r="B63" s="195" t="s">
        <v>605</v>
      </c>
      <c r="C63" s="195">
        <v>90</v>
      </c>
      <c r="D63" s="195" t="s">
        <v>630</v>
      </c>
      <c r="E63" s="288"/>
      <c r="F63" s="204">
        <v>2.5</v>
      </c>
      <c r="G63" s="204"/>
      <c r="H63" s="197"/>
      <c r="I63" s="210"/>
      <c r="J63" s="205">
        <v>0.98</v>
      </c>
      <c r="K63" s="287">
        <v>0.33</v>
      </c>
      <c r="L63" s="206">
        <v>21.79</v>
      </c>
      <c r="M63" s="286">
        <v>21.79</v>
      </c>
      <c r="N63" s="552">
        <v>41791</v>
      </c>
      <c r="O63" s="205">
        <f t="shared" si="5"/>
        <v>0</v>
      </c>
      <c r="P63" s="555">
        <f>(1+$R$1)*Table33[[#This Row],[Hours]]</f>
        <v>0</v>
      </c>
      <c r="Q63" s="207">
        <f t="shared" si="1"/>
        <v>0</v>
      </c>
      <c r="R63" s="208">
        <f t="shared" si="6"/>
        <v>0</v>
      </c>
      <c r="S63" s="208">
        <f t="shared" si="7"/>
        <v>0</v>
      </c>
      <c r="T63" s="208" t="str">
        <f t="shared" si="8"/>
        <v/>
      </c>
      <c r="U63" s="195">
        <f>Table33[[#This Row],[gal/100ft]]*Table33[[#This Row],[QTY]]/100</f>
        <v>0</v>
      </c>
      <c r="V63" s="195"/>
      <c r="W63" s="195"/>
      <c r="X63" s="195"/>
      <c r="Y63" s="195"/>
    </row>
    <row r="64" spans="1:25" ht="12.75" x14ac:dyDescent="0.2">
      <c r="A64" s="195" t="s">
        <v>606</v>
      </c>
      <c r="B64" s="195" t="s">
        <v>605</v>
      </c>
      <c r="C64" s="195">
        <v>90</v>
      </c>
      <c r="D64" s="195" t="s">
        <v>630</v>
      </c>
      <c r="E64" s="288"/>
      <c r="F64" s="204">
        <v>3</v>
      </c>
      <c r="G64" s="204"/>
      <c r="H64" s="197"/>
      <c r="I64" s="210"/>
      <c r="J64" s="205">
        <v>1.17</v>
      </c>
      <c r="K64" s="287">
        <v>0.45</v>
      </c>
      <c r="L64" s="206">
        <v>36.21</v>
      </c>
      <c r="M64" s="286">
        <v>36.21</v>
      </c>
      <c r="N64" s="552">
        <v>41791</v>
      </c>
      <c r="O64" s="205">
        <f t="shared" si="5"/>
        <v>0</v>
      </c>
      <c r="P64" s="555">
        <f>(1+$R$1)*Table33[[#This Row],[Hours]]</f>
        <v>0</v>
      </c>
      <c r="Q64" s="207">
        <f t="shared" si="1"/>
        <v>0</v>
      </c>
      <c r="R64" s="208">
        <f t="shared" si="6"/>
        <v>0</v>
      </c>
      <c r="S64" s="208">
        <f t="shared" si="7"/>
        <v>0</v>
      </c>
      <c r="T64" s="208" t="str">
        <f t="shared" si="8"/>
        <v/>
      </c>
      <c r="U64" s="195">
        <f>Table33[[#This Row],[gal/100ft]]*Table33[[#This Row],[QTY]]/100</f>
        <v>0</v>
      </c>
      <c r="V64" s="195"/>
      <c r="W64" s="195"/>
      <c r="X64" s="195"/>
      <c r="Y64" s="195"/>
    </row>
    <row r="65" spans="1:25" ht="12.75" x14ac:dyDescent="0.2">
      <c r="A65" s="195" t="s">
        <v>606</v>
      </c>
      <c r="B65" s="195" t="s">
        <v>605</v>
      </c>
      <c r="C65" s="195">
        <v>90</v>
      </c>
      <c r="D65" s="195" t="s">
        <v>630</v>
      </c>
      <c r="E65" s="288"/>
      <c r="F65" s="204">
        <v>3.5</v>
      </c>
      <c r="G65" s="204"/>
      <c r="H65" s="197"/>
      <c r="I65" s="210"/>
      <c r="J65" s="205">
        <v>1.37</v>
      </c>
      <c r="K65" s="287">
        <v>0.45</v>
      </c>
      <c r="L65" s="206">
        <v>51.42</v>
      </c>
      <c r="M65" s="286">
        <v>51.42</v>
      </c>
      <c r="N65" s="552">
        <v>41791</v>
      </c>
      <c r="O65" s="205">
        <f t="shared" si="5"/>
        <v>0</v>
      </c>
      <c r="P65" s="555">
        <f>(1+$R$1)*Table33[[#This Row],[Hours]]</f>
        <v>0</v>
      </c>
      <c r="Q65" s="207">
        <f t="shared" si="1"/>
        <v>0</v>
      </c>
      <c r="R65" s="208">
        <f t="shared" si="6"/>
        <v>0</v>
      </c>
      <c r="S65" s="208">
        <f t="shared" si="7"/>
        <v>0</v>
      </c>
      <c r="T65" s="208" t="str">
        <f t="shared" si="8"/>
        <v/>
      </c>
      <c r="U65" s="195">
        <f>Table33[[#This Row],[gal/100ft]]*Table33[[#This Row],[QTY]]/100</f>
        <v>0</v>
      </c>
      <c r="V65" s="195"/>
      <c r="W65" s="195"/>
      <c r="X65" s="195"/>
      <c r="Y65" s="195"/>
    </row>
    <row r="66" spans="1:25" ht="12.75" x14ac:dyDescent="0.2">
      <c r="A66" s="195" t="s">
        <v>606</v>
      </c>
      <c r="B66" s="195" t="s">
        <v>605</v>
      </c>
      <c r="C66" s="195">
        <v>90</v>
      </c>
      <c r="D66" s="195" t="s">
        <v>630</v>
      </c>
      <c r="E66" s="288"/>
      <c r="F66" s="204">
        <v>4</v>
      </c>
      <c r="G66" s="204"/>
      <c r="H66" s="197"/>
      <c r="I66" s="210"/>
      <c r="J66" s="205">
        <v>1.58</v>
      </c>
      <c r="K66" s="287">
        <v>0.55000000000000004</v>
      </c>
      <c r="L66" s="206">
        <v>86.42</v>
      </c>
      <c r="M66" s="286">
        <v>86.42</v>
      </c>
      <c r="N66" s="552">
        <v>41791</v>
      </c>
      <c r="O66" s="205">
        <f t="shared" si="5"/>
        <v>0</v>
      </c>
      <c r="P66" s="555">
        <f>(1+$R$1)*Table33[[#This Row],[Hours]]</f>
        <v>0</v>
      </c>
      <c r="Q66" s="207">
        <f t="shared" si="1"/>
        <v>0</v>
      </c>
      <c r="R66" s="208">
        <f t="shared" si="6"/>
        <v>0</v>
      </c>
      <c r="S66" s="208">
        <f t="shared" si="7"/>
        <v>0</v>
      </c>
      <c r="T66" s="208" t="str">
        <f t="shared" si="8"/>
        <v/>
      </c>
      <c r="U66" s="195">
        <f>Table33[[#This Row],[gal/100ft]]*Table33[[#This Row],[QTY]]/100</f>
        <v>0</v>
      </c>
      <c r="V66" s="195"/>
      <c r="W66" s="195"/>
      <c r="X66" s="195"/>
      <c r="Y66" s="195"/>
    </row>
    <row r="67" spans="1:25" ht="12.75" x14ac:dyDescent="0.2">
      <c r="A67" s="195" t="s">
        <v>612</v>
      </c>
      <c r="B67" s="536" t="s">
        <v>874</v>
      </c>
      <c r="C67" s="195">
        <v>90</v>
      </c>
      <c r="D67" s="195" t="s">
        <v>616</v>
      </c>
      <c r="E67" s="288"/>
      <c r="F67" s="204">
        <v>2</v>
      </c>
      <c r="G67" s="204"/>
      <c r="H67" s="197"/>
      <c r="I67" s="198"/>
      <c r="J67" s="205">
        <v>0.91</v>
      </c>
      <c r="K67" s="287">
        <v>0.91</v>
      </c>
      <c r="L67" s="206">
        <v>19.75</v>
      </c>
      <c r="M67" s="286">
        <v>19.75</v>
      </c>
      <c r="N67" s="552">
        <v>41791</v>
      </c>
      <c r="O67" s="205">
        <f t="shared" si="5"/>
        <v>0</v>
      </c>
      <c r="P67" s="555">
        <f>(1+$R$1)*Table33[[#This Row],[Hours]]</f>
        <v>0</v>
      </c>
      <c r="Q67" s="207">
        <f t="shared" si="1"/>
        <v>0</v>
      </c>
      <c r="R67" s="208">
        <f t="shared" si="6"/>
        <v>0</v>
      </c>
      <c r="S67" s="208">
        <f t="shared" si="7"/>
        <v>0</v>
      </c>
      <c r="T67" s="208" t="str">
        <f t="shared" si="8"/>
        <v/>
      </c>
      <c r="U67" s="195">
        <f>Table33[[#This Row],[gal/100ft]]*Table33[[#This Row],[QTY]]/100</f>
        <v>0</v>
      </c>
      <c r="V67" s="195"/>
      <c r="W67" s="195"/>
      <c r="X67" s="195"/>
      <c r="Y67" s="195"/>
    </row>
    <row r="68" spans="1:25" ht="12.75" x14ac:dyDescent="0.2">
      <c r="A68" s="195" t="s">
        <v>612</v>
      </c>
      <c r="B68" s="536" t="s">
        <v>874</v>
      </c>
      <c r="C68" s="195">
        <v>90</v>
      </c>
      <c r="D68" s="195" t="s">
        <v>616</v>
      </c>
      <c r="E68" s="288"/>
      <c r="F68" s="204">
        <v>2.5</v>
      </c>
      <c r="G68" s="204"/>
      <c r="H68" s="197"/>
      <c r="I68" s="198"/>
      <c r="J68" s="205">
        <v>0.97</v>
      </c>
      <c r="K68" s="287">
        <v>0.97</v>
      </c>
      <c r="L68" s="206">
        <v>19.75</v>
      </c>
      <c r="M68" s="286">
        <v>19.75</v>
      </c>
      <c r="N68" s="552">
        <v>41791</v>
      </c>
      <c r="O68" s="205">
        <f t="shared" si="5"/>
        <v>0</v>
      </c>
      <c r="P68" s="555">
        <f>(1+$R$1)*Table33[[#This Row],[Hours]]</f>
        <v>0</v>
      </c>
      <c r="Q68" s="207">
        <f t="shared" si="1"/>
        <v>0</v>
      </c>
      <c r="R68" s="208">
        <f t="shared" si="6"/>
        <v>0</v>
      </c>
      <c r="S68" s="208">
        <f t="shared" si="7"/>
        <v>0</v>
      </c>
      <c r="T68" s="208" t="str">
        <f t="shared" si="8"/>
        <v/>
      </c>
      <c r="U68" s="195">
        <f>Table33[[#This Row],[gal/100ft]]*Table33[[#This Row],[QTY]]/100</f>
        <v>0</v>
      </c>
      <c r="V68" s="195"/>
      <c r="W68" s="195"/>
      <c r="X68" s="195"/>
      <c r="Y68" s="195"/>
    </row>
    <row r="69" spans="1:25" ht="12.75" x14ac:dyDescent="0.2">
      <c r="A69" s="195" t="s">
        <v>612</v>
      </c>
      <c r="B69" s="536" t="s">
        <v>874</v>
      </c>
      <c r="C69" s="195">
        <v>90</v>
      </c>
      <c r="D69" s="195" t="s">
        <v>616</v>
      </c>
      <c r="E69" s="288"/>
      <c r="F69" s="204">
        <v>3</v>
      </c>
      <c r="G69" s="204"/>
      <c r="H69" s="197"/>
      <c r="I69" s="198"/>
      <c r="J69" s="205">
        <v>1.1000000000000001</v>
      </c>
      <c r="K69" s="287">
        <v>1.1000000000000001</v>
      </c>
      <c r="L69" s="206">
        <v>32.6</v>
      </c>
      <c r="M69" s="286">
        <v>32.6</v>
      </c>
      <c r="N69" s="552">
        <v>41791</v>
      </c>
      <c r="O69" s="205">
        <f t="shared" si="5"/>
        <v>0</v>
      </c>
      <c r="P69" s="555">
        <f>(1+$R$1)*Table33[[#This Row],[Hours]]</f>
        <v>0</v>
      </c>
      <c r="Q69" s="207">
        <f t="shared" si="1"/>
        <v>0</v>
      </c>
      <c r="R69" s="208">
        <f t="shared" si="6"/>
        <v>0</v>
      </c>
      <c r="S69" s="208">
        <f t="shared" si="7"/>
        <v>0</v>
      </c>
      <c r="T69" s="208" t="str">
        <f t="shared" si="8"/>
        <v/>
      </c>
      <c r="U69" s="195">
        <f>Table33[[#This Row],[gal/100ft]]*Table33[[#This Row],[QTY]]/100</f>
        <v>0</v>
      </c>
      <c r="V69" s="195"/>
      <c r="W69" s="195"/>
      <c r="X69" s="195"/>
      <c r="Y69" s="195"/>
    </row>
    <row r="70" spans="1:25" ht="12.75" x14ac:dyDescent="0.2">
      <c r="A70" s="195" t="s">
        <v>612</v>
      </c>
      <c r="B70" s="536" t="s">
        <v>874</v>
      </c>
      <c r="C70" s="195">
        <v>90</v>
      </c>
      <c r="D70" s="195" t="s">
        <v>616</v>
      </c>
      <c r="E70" s="288"/>
      <c r="F70" s="204">
        <v>4</v>
      </c>
      <c r="G70" s="204"/>
      <c r="H70" s="197"/>
      <c r="I70" s="198"/>
      <c r="J70" s="205">
        <v>1.54</v>
      </c>
      <c r="K70" s="287">
        <v>1.54</v>
      </c>
      <c r="L70" s="206">
        <v>39.08</v>
      </c>
      <c r="M70" s="286">
        <v>39.08</v>
      </c>
      <c r="N70" s="552">
        <v>41791</v>
      </c>
      <c r="O70" s="205">
        <f t="shared" si="5"/>
        <v>0</v>
      </c>
      <c r="P70" s="555">
        <f>(1+$R$1)*Table33[[#This Row],[Hours]]</f>
        <v>0</v>
      </c>
      <c r="Q70" s="207">
        <f t="shared" si="1"/>
        <v>0</v>
      </c>
      <c r="R70" s="208">
        <f t="shared" si="6"/>
        <v>0</v>
      </c>
      <c r="S70" s="208">
        <f t="shared" si="7"/>
        <v>0</v>
      </c>
      <c r="T70" s="208" t="str">
        <f t="shared" si="8"/>
        <v/>
      </c>
      <c r="U70" s="195">
        <f>Table33[[#This Row],[gal/100ft]]*Table33[[#This Row],[QTY]]/100</f>
        <v>0</v>
      </c>
      <c r="V70" s="195"/>
      <c r="W70" s="195"/>
      <c r="X70" s="195"/>
      <c r="Y70" s="195"/>
    </row>
    <row r="71" spans="1:25" ht="12.75" x14ac:dyDescent="0.2">
      <c r="A71" s="195" t="s">
        <v>612</v>
      </c>
      <c r="B71" s="536" t="s">
        <v>874</v>
      </c>
      <c r="C71" s="195">
        <v>90</v>
      </c>
      <c r="D71" s="195" t="s">
        <v>616</v>
      </c>
      <c r="E71" s="288"/>
      <c r="F71" s="204">
        <v>6</v>
      </c>
      <c r="G71" s="204"/>
      <c r="H71" s="197"/>
      <c r="I71" s="198"/>
      <c r="J71" s="205">
        <v>2.84</v>
      </c>
      <c r="K71" s="287">
        <v>2.84</v>
      </c>
      <c r="L71" s="206">
        <v>93.66</v>
      </c>
      <c r="M71" s="286">
        <v>93.66</v>
      </c>
      <c r="N71" s="552">
        <v>41791</v>
      </c>
      <c r="O71" s="205">
        <f t="shared" si="5"/>
        <v>0</v>
      </c>
      <c r="P71" s="555">
        <f>(1+$R$1)*Table33[[#This Row],[Hours]]</f>
        <v>0</v>
      </c>
      <c r="Q71" s="207">
        <f t="shared" ref="Q71:Q134" si="9">P71*$O$1</f>
        <v>0</v>
      </c>
      <c r="R71" s="208">
        <f t="shared" si="6"/>
        <v>0</v>
      </c>
      <c r="S71" s="208">
        <f t="shared" si="7"/>
        <v>0</v>
      </c>
      <c r="T71" s="208" t="str">
        <f t="shared" si="8"/>
        <v/>
      </c>
      <c r="U71" s="195">
        <f>Table33[[#This Row],[gal/100ft]]*Table33[[#This Row],[QTY]]/100</f>
        <v>0</v>
      </c>
      <c r="V71" s="195"/>
      <c r="W71" s="195"/>
      <c r="X71" s="195"/>
      <c r="Y71" s="195"/>
    </row>
    <row r="72" spans="1:25" ht="12.75" x14ac:dyDescent="0.2">
      <c r="A72" s="195" t="s">
        <v>612</v>
      </c>
      <c r="B72" s="536" t="s">
        <v>874</v>
      </c>
      <c r="C72" s="195">
        <v>90</v>
      </c>
      <c r="D72" s="195" t="s">
        <v>616</v>
      </c>
      <c r="E72" s="288"/>
      <c r="F72" s="204">
        <v>8</v>
      </c>
      <c r="G72" s="204"/>
      <c r="H72" s="197"/>
      <c r="I72" s="198"/>
      <c r="J72" s="205">
        <v>4.22</v>
      </c>
      <c r="K72" s="287">
        <v>4.22</v>
      </c>
      <c r="L72" s="206">
        <v>220.18</v>
      </c>
      <c r="M72" s="286">
        <v>220.18</v>
      </c>
      <c r="N72" s="552">
        <v>41791</v>
      </c>
      <c r="O72" s="205">
        <f t="shared" si="5"/>
        <v>0</v>
      </c>
      <c r="P72" s="555">
        <f>(1+$R$1)*Table33[[#This Row],[Hours]]</f>
        <v>0</v>
      </c>
      <c r="Q72" s="207">
        <f t="shared" si="9"/>
        <v>0</v>
      </c>
      <c r="R72" s="208">
        <f t="shared" si="6"/>
        <v>0</v>
      </c>
      <c r="S72" s="208">
        <f t="shared" si="7"/>
        <v>0</v>
      </c>
      <c r="T72" s="208" t="str">
        <f t="shared" si="8"/>
        <v/>
      </c>
      <c r="U72" s="195">
        <f>Table33[[#This Row],[gal/100ft]]*Table33[[#This Row],[QTY]]/100</f>
        <v>0</v>
      </c>
      <c r="V72" s="195"/>
      <c r="W72" s="195"/>
      <c r="X72" s="195"/>
      <c r="Y72" s="195"/>
    </row>
    <row r="73" spans="1:25" ht="12.75" x14ac:dyDescent="0.2">
      <c r="A73" s="195" t="s">
        <v>612</v>
      </c>
      <c r="B73" s="536" t="s">
        <v>874</v>
      </c>
      <c r="C73" s="195">
        <v>90</v>
      </c>
      <c r="D73" s="195" t="s">
        <v>616</v>
      </c>
      <c r="E73" s="288"/>
      <c r="F73" s="204">
        <v>10</v>
      </c>
      <c r="G73" s="204"/>
      <c r="H73" s="197"/>
      <c r="I73" s="198"/>
      <c r="J73" s="205">
        <v>5.71</v>
      </c>
      <c r="K73" s="287">
        <v>5.71</v>
      </c>
      <c r="L73" s="206">
        <v>306.70999999999998</v>
      </c>
      <c r="M73" s="286">
        <v>306.70999999999998</v>
      </c>
      <c r="N73" s="552">
        <v>41791</v>
      </c>
      <c r="O73" s="205">
        <f t="shared" si="5"/>
        <v>0</v>
      </c>
      <c r="P73" s="555">
        <f>(1+$R$1)*Table33[[#This Row],[Hours]]</f>
        <v>0</v>
      </c>
      <c r="Q73" s="207">
        <f t="shared" si="9"/>
        <v>0</v>
      </c>
      <c r="R73" s="208">
        <f t="shared" si="6"/>
        <v>0</v>
      </c>
      <c r="S73" s="208">
        <f t="shared" si="7"/>
        <v>0</v>
      </c>
      <c r="T73" s="208" t="str">
        <f t="shared" si="8"/>
        <v/>
      </c>
      <c r="U73" s="195">
        <f>Table33[[#This Row],[gal/100ft]]*Table33[[#This Row],[QTY]]/100</f>
        <v>0</v>
      </c>
      <c r="V73" s="195"/>
      <c r="W73" s="195"/>
      <c r="X73" s="195"/>
      <c r="Y73" s="195"/>
    </row>
    <row r="74" spans="1:25" ht="12.75" x14ac:dyDescent="0.2">
      <c r="A74" s="195" t="s">
        <v>612</v>
      </c>
      <c r="B74" s="536" t="s">
        <v>874</v>
      </c>
      <c r="C74" s="195">
        <v>90</v>
      </c>
      <c r="D74" s="195" t="s">
        <v>616</v>
      </c>
      <c r="E74" s="288"/>
      <c r="F74" s="204">
        <v>12</v>
      </c>
      <c r="G74" s="204"/>
      <c r="H74" s="197"/>
      <c r="I74" s="198"/>
      <c r="J74" s="205">
        <v>6.54</v>
      </c>
      <c r="K74" s="287">
        <v>6.54</v>
      </c>
      <c r="L74" s="206">
        <v>572.76</v>
      </c>
      <c r="M74" s="286">
        <v>572.76</v>
      </c>
      <c r="N74" s="552">
        <v>41791</v>
      </c>
      <c r="O74" s="205">
        <f t="shared" si="5"/>
        <v>0</v>
      </c>
      <c r="P74" s="555">
        <f>(1+$R$1)*Table33[[#This Row],[Hours]]</f>
        <v>0</v>
      </c>
      <c r="Q74" s="207">
        <f t="shared" si="9"/>
        <v>0</v>
      </c>
      <c r="R74" s="208">
        <f t="shared" si="6"/>
        <v>0</v>
      </c>
      <c r="S74" s="208">
        <f t="shared" si="7"/>
        <v>0</v>
      </c>
      <c r="T74" s="208" t="str">
        <f t="shared" si="8"/>
        <v/>
      </c>
      <c r="U74" s="195">
        <f>Table33[[#This Row],[gal/100ft]]*Table33[[#This Row],[QTY]]/100</f>
        <v>0</v>
      </c>
      <c r="V74" s="195"/>
      <c r="W74" s="195"/>
      <c r="X74" s="195"/>
      <c r="Y74" s="195"/>
    </row>
    <row r="75" spans="1:25" ht="12.75" x14ac:dyDescent="0.2">
      <c r="A75" s="195" t="s">
        <v>612</v>
      </c>
      <c r="B75" s="536" t="s">
        <v>874</v>
      </c>
      <c r="C75" s="195">
        <v>90</v>
      </c>
      <c r="D75" s="195" t="s">
        <v>616</v>
      </c>
      <c r="E75" s="288"/>
      <c r="F75" s="204">
        <v>14</v>
      </c>
      <c r="G75" s="204"/>
      <c r="H75" s="197"/>
      <c r="I75" s="198"/>
      <c r="J75" s="205">
        <v>6.91</v>
      </c>
      <c r="K75" s="287">
        <v>6.91</v>
      </c>
      <c r="L75" s="206">
        <v>720.83</v>
      </c>
      <c r="M75" s="286">
        <v>720.83</v>
      </c>
      <c r="N75" s="552">
        <v>41791</v>
      </c>
      <c r="O75" s="205">
        <f t="shared" si="5"/>
        <v>0</v>
      </c>
      <c r="P75" s="555">
        <f>(1+$R$1)*Table33[[#This Row],[Hours]]</f>
        <v>0</v>
      </c>
      <c r="Q75" s="207">
        <f t="shared" si="9"/>
        <v>0</v>
      </c>
      <c r="R75" s="208">
        <f t="shared" si="6"/>
        <v>0</v>
      </c>
      <c r="S75" s="208">
        <f t="shared" si="7"/>
        <v>0</v>
      </c>
      <c r="T75" s="208" t="str">
        <f t="shared" si="8"/>
        <v/>
      </c>
      <c r="U75" s="195">
        <f>Table33[[#This Row],[gal/100ft]]*Table33[[#This Row],[QTY]]/100</f>
        <v>0</v>
      </c>
      <c r="V75" s="195"/>
      <c r="W75" s="195"/>
      <c r="X75" s="195"/>
      <c r="Y75" s="195"/>
    </row>
    <row r="76" spans="1:25" ht="12.75" x14ac:dyDescent="0.2">
      <c r="A76" s="195" t="s">
        <v>612</v>
      </c>
      <c r="B76" s="536" t="s">
        <v>874</v>
      </c>
      <c r="C76" s="195">
        <v>90</v>
      </c>
      <c r="D76" s="195" t="s">
        <v>616</v>
      </c>
      <c r="E76" s="288"/>
      <c r="F76" s="204">
        <v>16</v>
      </c>
      <c r="G76" s="204"/>
      <c r="H76" s="197"/>
      <c r="I76" s="198"/>
      <c r="J76" s="205">
        <v>7.8</v>
      </c>
      <c r="K76" s="287">
        <v>7.8</v>
      </c>
      <c r="L76" s="206">
        <v>786.87</v>
      </c>
      <c r="M76" s="286">
        <v>786.87</v>
      </c>
      <c r="N76" s="552">
        <v>41791</v>
      </c>
      <c r="O76" s="205">
        <f t="shared" si="5"/>
        <v>0</v>
      </c>
      <c r="P76" s="555">
        <f>(1+$R$1)*Table33[[#This Row],[Hours]]</f>
        <v>0</v>
      </c>
      <c r="Q76" s="207">
        <f t="shared" si="9"/>
        <v>0</v>
      </c>
      <c r="R76" s="208">
        <f t="shared" si="6"/>
        <v>0</v>
      </c>
      <c r="S76" s="208">
        <f t="shared" si="7"/>
        <v>0</v>
      </c>
      <c r="T76" s="208" t="str">
        <f t="shared" si="8"/>
        <v/>
      </c>
      <c r="U76" s="195">
        <f>Table33[[#This Row],[gal/100ft]]*Table33[[#This Row],[QTY]]/100</f>
        <v>0</v>
      </c>
      <c r="V76" s="195"/>
      <c r="W76" s="195"/>
      <c r="X76" s="195"/>
      <c r="Y76" s="195"/>
    </row>
    <row r="77" spans="1:25" ht="12.75" x14ac:dyDescent="0.2">
      <c r="A77" s="195" t="s">
        <v>612</v>
      </c>
      <c r="B77" s="536" t="s">
        <v>874</v>
      </c>
      <c r="C77" s="195">
        <v>90</v>
      </c>
      <c r="D77" s="195" t="s">
        <v>616</v>
      </c>
      <c r="E77" s="288"/>
      <c r="F77" s="204">
        <v>18</v>
      </c>
      <c r="G77" s="204"/>
      <c r="H77" s="197"/>
      <c r="I77" s="198"/>
      <c r="J77" s="205">
        <v>8.8000000000000007</v>
      </c>
      <c r="K77" s="287">
        <v>8.8000000000000007</v>
      </c>
      <c r="L77" s="206">
        <v>910.67</v>
      </c>
      <c r="M77" s="286">
        <v>910.67</v>
      </c>
      <c r="N77" s="552">
        <v>41791</v>
      </c>
      <c r="O77" s="205">
        <f t="shared" si="5"/>
        <v>0</v>
      </c>
      <c r="P77" s="555">
        <f>(1+$R$1)*Table33[[#This Row],[Hours]]</f>
        <v>0</v>
      </c>
      <c r="Q77" s="207">
        <f t="shared" si="9"/>
        <v>0</v>
      </c>
      <c r="R77" s="208">
        <f t="shared" si="6"/>
        <v>0</v>
      </c>
      <c r="S77" s="208">
        <f t="shared" si="7"/>
        <v>0</v>
      </c>
      <c r="T77" s="208" t="str">
        <f t="shared" si="8"/>
        <v/>
      </c>
      <c r="U77" s="195">
        <f>Table33[[#This Row],[gal/100ft]]*Table33[[#This Row],[QTY]]/100</f>
        <v>0</v>
      </c>
      <c r="V77" s="195"/>
      <c r="W77" s="195"/>
      <c r="X77" s="195"/>
      <c r="Y77" s="195"/>
    </row>
    <row r="78" spans="1:25" ht="12.75" x14ac:dyDescent="0.2">
      <c r="A78" s="195" t="s">
        <v>612</v>
      </c>
      <c r="B78" s="536" t="s">
        <v>874</v>
      </c>
      <c r="C78" s="195">
        <v>90</v>
      </c>
      <c r="D78" s="195" t="s">
        <v>616</v>
      </c>
      <c r="E78" s="288"/>
      <c r="F78" s="204">
        <v>20</v>
      </c>
      <c r="G78" s="204"/>
      <c r="H78" s="197"/>
      <c r="I78" s="198"/>
      <c r="J78" s="205">
        <v>9.85</v>
      </c>
      <c r="K78" s="287">
        <v>9.85</v>
      </c>
      <c r="L78" s="206">
        <v>1199.6300000000001</v>
      </c>
      <c r="M78" s="286">
        <v>1199.6300000000001</v>
      </c>
      <c r="N78" s="552">
        <v>41791</v>
      </c>
      <c r="O78" s="205">
        <f t="shared" si="5"/>
        <v>0</v>
      </c>
      <c r="P78" s="555">
        <f>(1+$R$1)*Table33[[#This Row],[Hours]]</f>
        <v>0</v>
      </c>
      <c r="Q78" s="207">
        <f t="shared" si="9"/>
        <v>0</v>
      </c>
      <c r="R78" s="208">
        <f t="shared" si="6"/>
        <v>0</v>
      </c>
      <c r="S78" s="208">
        <f t="shared" si="7"/>
        <v>0</v>
      </c>
      <c r="T78" s="208" t="str">
        <f t="shared" si="8"/>
        <v/>
      </c>
      <c r="U78" s="195">
        <f>Table33[[#This Row],[gal/100ft]]*Table33[[#This Row],[QTY]]/100</f>
        <v>0</v>
      </c>
      <c r="V78" s="195"/>
      <c r="W78" s="195"/>
      <c r="X78" s="195"/>
      <c r="Y78" s="195"/>
    </row>
    <row r="79" spans="1:25" ht="12.75" x14ac:dyDescent="0.2">
      <c r="A79" s="195" t="s">
        <v>612</v>
      </c>
      <c r="B79" s="536" t="s">
        <v>874</v>
      </c>
      <c r="C79" s="195">
        <v>90</v>
      </c>
      <c r="D79" s="195" t="s">
        <v>616</v>
      </c>
      <c r="E79" s="288"/>
      <c r="F79" s="204">
        <v>24</v>
      </c>
      <c r="G79" s="204"/>
      <c r="H79" s="197"/>
      <c r="I79" s="198"/>
      <c r="J79" s="205">
        <v>12.05</v>
      </c>
      <c r="K79" s="287">
        <v>12.05</v>
      </c>
      <c r="L79" s="206">
        <v>1826.27</v>
      </c>
      <c r="M79" s="286">
        <v>1826.27</v>
      </c>
      <c r="N79" s="552">
        <v>41791</v>
      </c>
      <c r="O79" s="205">
        <f t="shared" si="5"/>
        <v>0</v>
      </c>
      <c r="P79" s="555">
        <f>(1+$R$1)*Table33[[#This Row],[Hours]]</f>
        <v>0</v>
      </c>
      <c r="Q79" s="207">
        <f t="shared" si="9"/>
        <v>0</v>
      </c>
      <c r="R79" s="208">
        <f t="shared" si="6"/>
        <v>0</v>
      </c>
      <c r="S79" s="208">
        <f t="shared" si="7"/>
        <v>0</v>
      </c>
      <c r="T79" s="208" t="str">
        <f t="shared" si="8"/>
        <v/>
      </c>
      <c r="U79" s="195">
        <f>Table33[[#This Row],[gal/100ft]]*Table33[[#This Row],[QTY]]/100</f>
        <v>0</v>
      </c>
      <c r="V79" s="195"/>
      <c r="W79" s="195"/>
      <c r="X79" s="195"/>
      <c r="Y79" s="195"/>
    </row>
    <row r="80" spans="1:25" ht="12.75" x14ac:dyDescent="0.2">
      <c r="A80" s="195" t="s">
        <v>612</v>
      </c>
      <c r="B80" s="536" t="s">
        <v>875</v>
      </c>
      <c r="C80" s="195">
        <v>90</v>
      </c>
      <c r="D80" s="536" t="s">
        <v>869</v>
      </c>
      <c r="E80" s="288"/>
      <c r="F80" s="204">
        <v>0.5</v>
      </c>
      <c r="G80" s="204"/>
      <c r="H80" s="197"/>
      <c r="I80" s="198"/>
      <c r="J80" s="205"/>
      <c r="K80" s="287"/>
      <c r="L80" s="206"/>
      <c r="M80" s="286"/>
      <c r="N80" s="552">
        <v>41791</v>
      </c>
      <c r="O80" s="205">
        <f t="shared" si="5"/>
        <v>0</v>
      </c>
      <c r="P80" s="555">
        <f>(1+$R$1)*Table33[[#This Row],[Hours]]</f>
        <v>0</v>
      </c>
      <c r="Q80" s="207">
        <f t="shared" si="9"/>
        <v>0</v>
      </c>
      <c r="R80" s="208">
        <f t="shared" si="6"/>
        <v>0</v>
      </c>
      <c r="S80" s="208">
        <f t="shared" si="7"/>
        <v>0</v>
      </c>
      <c r="T80" s="208" t="str">
        <f t="shared" si="8"/>
        <v/>
      </c>
      <c r="U80" s="195">
        <f>Table33[[#This Row],[gal/100ft]]*Table33[[#This Row],[QTY]]/100</f>
        <v>0</v>
      </c>
      <c r="V80" s="195"/>
      <c r="W80" s="195"/>
      <c r="X80" s="195"/>
      <c r="Y80" s="195"/>
    </row>
    <row r="81" spans="1:25" ht="12.75" x14ac:dyDescent="0.2">
      <c r="A81" s="195" t="s">
        <v>612</v>
      </c>
      <c r="B81" s="536" t="s">
        <v>875</v>
      </c>
      <c r="C81" s="195">
        <v>90</v>
      </c>
      <c r="D81" s="536" t="s">
        <v>869</v>
      </c>
      <c r="E81" s="288"/>
      <c r="F81" s="204">
        <v>0.75</v>
      </c>
      <c r="G81" s="204"/>
      <c r="H81" s="197"/>
      <c r="I81" s="198"/>
      <c r="J81" s="205"/>
      <c r="K81" s="287"/>
      <c r="L81" s="206"/>
      <c r="M81" s="286"/>
      <c r="N81" s="552">
        <v>41791</v>
      </c>
      <c r="O81" s="205">
        <f t="shared" si="5"/>
        <v>0</v>
      </c>
      <c r="P81" s="555">
        <f>(1+$R$1)*Table33[[#This Row],[Hours]]</f>
        <v>0</v>
      </c>
      <c r="Q81" s="207">
        <f t="shared" si="9"/>
        <v>0</v>
      </c>
      <c r="R81" s="208">
        <f t="shared" si="6"/>
        <v>0</v>
      </c>
      <c r="S81" s="208">
        <f t="shared" si="7"/>
        <v>0</v>
      </c>
      <c r="T81" s="208" t="str">
        <f t="shared" si="8"/>
        <v/>
      </c>
      <c r="U81" s="195">
        <f>Table33[[#This Row],[gal/100ft]]*Table33[[#This Row],[QTY]]/100</f>
        <v>0</v>
      </c>
      <c r="V81" s="195"/>
      <c r="W81" s="195"/>
      <c r="X81" s="195"/>
      <c r="Y81" s="195"/>
    </row>
    <row r="82" spans="1:25" ht="12.75" x14ac:dyDescent="0.2">
      <c r="A82" s="195" t="s">
        <v>612</v>
      </c>
      <c r="B82" s="536" t="s">
        <v>875</v>
      </c>
      <c r="C82" s="195">
        <v>90</v>
      </c>
      <c r="D82" s="536" t="s">
        <v>869</v>
      </c>
      <c r="E82" s="288"/>
      <c r="F82" s="204">
        <v>1</v>
      </c>
      <c r="G82" s="204"/>
      <c r="H82" s="197"/>
      <c r="I82" s="198"/>
      <c r="J82" s="205"/>
      <c r="K82" s="287"/>
      <c r="L82" s="206">
        <v>76.5</v>
      </c>
      <c r="M82" s="286">
        <v>76.5</v>
      </c>
      <c r="N82" s="552">
        <v>41791</v>
      </c>
      <c r="O82" s="205">
        <f t="shared" si="5"/>
        <v>0</v>
      </c>
      <c r="P82" s="555">
        <f>(1+$R$1)*Table33[[#This Row],[Hours]]</f>
        <v>0</v>
      </c>
      <c r="Q82" s="207">
        <f t="shared" si="9"/>
        <v>0</v>
      </c>
      <c r="R82" s="208">
        <f t="shared" si="6"/>
        <v>0</v>
      </c>
      <c r="S82" s="208">
        <f t="shared" si="7"/>
        <v>0</v>
      </c>
      <c r="T82" s="208" t="str">
        <f t="shared" si="8"/>
        <v/>
      </c>
      <c r="U82" s="195">
        <f>Table33[[#This Row],[gal/100ft]]*Table33[[#This Row],[QTY]]/100</f>
        <v>0</v>
      </c>
      <c r="V82" s="195"/>
      <c r="W82" s="195"/>
      <c r="X82" s="195"/>
      <c r="Y82" s="195"/>
    </row>
    <row r="83" spans="1:25" ht="12.75" x14ac:dyDescent="0.2">
      <c r="A83" s="195" t="s">
        <v>612</v>
      </c>
      <c r="B83" s="536" t="s">
        <v>875</v>
      </c>
      <c r="C83" s="195">
        <v>90</v>
      </c>
      <c r="D83" s="536" t="s">
        <v>869</v>
      </c>
      <c r="E83" s="288"/>
      <c r="F83" s="204">
        <v>1.25</v>
      </c>
      <c r="G83" s="204"/>
      <c r="H83" s="197"/>
      <c r="I83" s="198"/>
      <c r="J83" s="205">
        <v>0.7</v>
      </c>
      <c r="K83" s="287">
        <v>0.7</v>
      </c>
      <c r="L83" s="206">
        <v>77</v>
      </c>
      <c r="M83" s="286">
        <v>77</v>
      </c>
      <c r="N83" s="552">
        <v>41791</v>
      </c>
      <c r="O83" s="205">
        <f t="shared" si="5"/>
        <v>0</v>
      </c>
      <c r="P83" s="555">
        <f>(1+$R$1)*Table33[[#This Row],[Hours]]</f>
        <v>0</v>
      </c>
      <c r="Q83" s="207">
        <f t="shared" si="9"/>
        <v>0</v>
      </c>
      <c r="R83" s="208">
        <f t="shared" si="6"/>
        <v>0</v>
      </c>
      <c r="S83" s="208">
        <f t="shared" si="7"/>
        <v>0</v>
      </c>
      <c r="T83" s="208" t="str">
        <f t="shared" si="8"/>
        <v/>
      </c>
      <c r="U83" s="195">
        <f>Table33[[#This Row],[gal/100ft]]*Table33[[#This Row],[QTY]]/100</f>
        <v>0</v>
      </c>
      <c r="V83" s="195"/>
      <c r="W83" s="195"/>
      <c r="X83" s="195"/>
      <c r="Y83" s="195"/>
    </row>
    <row r="84" spans="1:25" ht="12.75" x14ac:dyDescent="0.2">
      <c r="A84" s="195" t="s">
        <v>612</v>
      </c>
      <c r="B84" s="536" t="s">
        <v>875</v>
      </c>
      <c r="C84" s="195">
        <v>90</v>
      </c>
      <c r="D84" s="536" t="s">
        <v>869</v>
      </c>
      <c r="E84" s="288"/>
      <c r="F84" s="204">
        <v>1.5</v>
      </c>
      <c r="G84" s="204"/>
      <c r="H84" s="197"/>
      <c r="I84" s="198"/>
      <c r="J84" s="205">
        <v>0.74</v>
      </c>
      <c r="K84" s="287">
        <v>0.74</v>
      </c>
      <c r="L84" s="206">
        <v>77</v>
      </c>
      <c r="M84" s="286">
        <v>77</v>
      </c>
      <c r="N84" s="552">
        <v>41791</v>
      </c>
      <c r="O84" s="205">
        <f t="shared" si="5"/>
        <v>0</v>
      </c>
      <c r="P84" s="555">
        <f>(1+$R$1)*Table33[[#This Row],[Hours]]</f>
        <v>0</v>
      </c>
      <c r="Q84" s="207">
        <f t="shared" si="9"/>
        <v>0</v>
      </c>
      <c r="R84" s="208">
        <f t="shared" si="6"/>
        <v>0</v>
      </c>
      <c r="S84" s="208">
        <f t="shared" si="7"/>
        <v>0</v>
      </c>
      <c r="T84" s="208" t="str">
        <f t="shared" si="8"/>
        <v/>
      </c>
      <c r="U84" s="195">
        <f>Table33[[#This Row],[gal/100ft]]*Table33[[#This Row],[QTY]]/100</f>
        <v>0</v>
      </c>
      <c r="V84" s="195"/>
      <c r="W84" s="195"/>
      <c r="X84" s="195"/>
      <c r="Y84" s="195"/>
    </row>
    <row r="85" spans="1:25" ht="12.75" x14ac:dyDescent="0.2">
      <c r="A85" s="195" t="s">
        <v>612</v>
      </c>
      <c r="B85" s="536" t="s">
        <v>875</v>
      </c>
      <c r="C85" s="195">
        <v>90</v>
      </c>
      <c r="D85" s="536" t="s">
        <v>869</v>
      </c>
      <c r="E85" s="288"/>
      <c r="F85" s="204">
        <v>2</v>
      </c>
      <c r="G85" s="204"/>
      <c r="H85" s="197"/>
      <c r="I85" s="198"/>
      <c r="J85" s="205">
        <v>0.95</v>
      </c>
      <c r="K85" s="287">
        <v>0.95</v>
      </c>
      <c r="L85" s="206">
        <v>87</v>
      </c>
      <c r="M85" s="286">
        <v>87</v>
      </c>
      <c r="N85" s="552">
        <v>41791</v>
      </c>
      <c r="O85" s="205">
        <f t="shared" si="5"/>
        <v>0</v>
      </c>
      <c r="P85" s="555">
        <f>(1+$R$1)*Table33[[#This Row],[Hours]]</f>
        <v>0</v>
      </c>
      <c r="Q85" s="207">
        <f t="shared" si="9"/>
        <v>0</v>
      </c>
      <c r="R85" s="208">
        <f t="shared" si="6"/>
        <v>0</v>
      </c>
      <c r="S85" s="208">
        <f t="shared" si="7"/>
        <v>0</v>
      </c>
      <c r="T85" s="208" t="str">
        <f t="shared" si="8"/>
        <v/>
      </c>
      <c r="U85" s="195">
        <f>Table33[[#This Row],[gal/100ft]]*Table33[[#This Row],[QTY]]/100</f>
        <v>0</v>
      </c>
      <c r="V85" s="195"/>
      <c r="W85" s="195"/>
      <c r="X85" s="195"/>
      <c r="Y85" s="195"/>
    </row>
    <row r="86" spans="1:25" ht="12.75" x14ac:dyDescent="0.2">
      <c r="A86" s="195" t="s">
        <v>612</v>
      </c>
      <c r="B86" s="536" t="s">
        <v>875</v>
      </c>
      <c r="C86" s="195">
        <v>90</v>
      </c>
      <c r="D86" s="536" t="s">
        <v>869</v>
      </c>
      <c r="E86" s="288"/>
      <c r="F86" s="204">
        <v>2.5</v>
      </c>
      <c r="G86" s="204"/>
      <c r="H86" s="197"/>
      <c r="I86" s="198"/>
      <c r="J86" s="205">
        <v>0.96</v>
      </c>
      <c r="K86" s="287">
        <v>0.96</v>
      </c>
      <c r="L86" s="206">
        <v>118</v>
      </c>
      <c r="M86" s="286">
        <v>118</v>
      </c>
      <c r="N86" s="552">
        <v>41791</v>
      </c>
      <c r="O86" s="205">
        <f t="shared" si="5"/>
        <v>0</v>
      </c>
      <c r="P86" s="555">
        <f>(1+$R$1)*Table33[[#This Row],[Hours]]</f>
        <v>0</v>
      </c>
      <c r="Q86" s="207">
        <f t="shared" si="9"/>
        <v>0</v>
      </c>
      <c r="R86" s="208">
        <f t="shared" si="6"/>
        <v>0</v>
      </c>
      <c r="S86" s="208">
        <f t="shared" si="7"/>
        <v>0</v>
      </c>
      <c r="T86" s="208" t="str">
        <f t="shared" si="8"/>
        <v/>
      </c>
      <c r="U86" s="195">
        <f>Table33[[#This Row],[gal/100ft]]*Table33[[#This Row],[QTY]]/100</f>
        <v>0</v>
      </c>
      <c r="V86" s="195"/>
      <c r="W86" s="195"/>
      <c r="X86" s="195"/>
      <c r="Y86" s="195"/>
    </row>
    <row r="87" spans="1:25" ht="12.75" x14ac:dyDescent="0.2">
      <c r="A87" s="195" t="s">
        <v>612</v>
      </c>
      <c r="B87" s="536" t="s">
        <v>875</v>
      </c>
      <c r="C87" s="195">
        <v>90</v>
      </c>
      <c r="D87" s="536" t="s">
        <v>869</v>
      </c>
      <c r="E87" s="288"/>
      <c r="F87" s="204">
        <v>3</v>
      </c>
      <c r="G87" s="204"/>
      <c r="H87" s="197"/>
      <c r="I87" s="198"/>
      <c r="J87" s="205">
        <v>1.07</v>
      </c>
      <c r="K87" s="287">
        <v>1.07</v>
      </c>
      <c r="L87" s="206">
        <v>149.5</v>
      </c>
      <c r="M87" s="286">
        <v>149.5</v>
      </c>
      <c r="N87" s="552">
        <v>41791</v>
      </c>
      <c r="O87" s="205">
        <f t="shared" ref="O87:O150" si="10">K87*E87</f>
        <v>0</v>
      </c>
      <c r="P87" s="555">
        <f>(1+$R$1)*Table33[[#This Row],[Hours]]</f>
        <v>0</v>
      </c>
      <c r="Q87" s="207">
        <f t="shared" si="9"/>
        <v>0</v>
      </c>
      <c r="R87" s="208">
        <f t="shared" ref="R87:R150" si="11">M87*E87</f>
        <v>0</v>
      </c>
      <c r="S87" s="208">
        <f t="shared" ref="S87:S150" si="12">R87+Q87</f>
        <v>0</v>
      </c>
      <c r="T87" s="208" t="str">
        <f t="shared" ref="T87:T150" si="13">IF(E87="","",S87/E87)</f>
        <v/>
      </c>
      <c r="U87" s="195">
        <f>Table33[[#This Row],[gal/100ft]]*Table33[[#This Row],[QTY]]/100</f>
        <v>0</v>
      </c>
      <c r="V87" s="195"/>
      <c r="W87" s="195"/>
      <c r="X87" s="195"/>
      <c r="Y87" s="195"/>
    </row>
    <row r="88" spans="1:25" ht="12.75" x14ac:dyDescent="0.2">
      <c r="A88" s="195" t="s">
        <v>612</v>
      </c>
      <c r="B88" s="536" t="s">
        <v>875</v>
      </c>
      <c r="C88" s="195">
        <v>90</v>
      </c>
      <c r="D88" s="536" t="s">
        <v>869</v>
      </c>
      <c r="E88" s="288"/>
      <c r="F88" s="204">
        <v>4</v>
      </c>
      <c r="G88" s="204"/>
      <c r="H88" s="197"/>
      <c r="I88" s="198"/>
      <c r="J88" s="205">
        <v>1.44</v>
      </c>
      <c r="K88" s="287">
        <v>1.44</v>
      </c>
      <c r="L88" s="206">
        <v>89.92</v>
      </c>
      <c r="M88" s="286">
        <v>89.92</v>
      </c>
      <c r="N88" s="552">
        <v>41791</v>
      </c>
      <c r="O88" s="205">
        <f t="shared" si="10"/>
        <v>0</v>
      </c>
      <c r="P88" s="555">
        <f>(1+$R$1)*Table33[[#This Row],[Hours]]</f>
        <v>0</v>
      </c>
      <c r="Q88" s="207">
        <f t="shared" si="9"/>
        <v>0</v>
      </c>
      <c r="R88" s="208">
        <f t="shared" si="11"/>
        <v>0</v>
      </c>
      <c r="S88" s="208">
        <f t="shared" si="12"/>
        <v>0</v>
      </c>
      <c r="T88" s="208" t="str">
        <f t="shared" si="13"/>
        <v/>
      </c>
      <c r="U88" s="195">
        <f>Table33[[#This Row],[gal/100ft]]*Table33[[#This Row],[QTY]]/100</f>
        <v>0</v>
      </c>
      <c r="V88" s="195"/>
      <c r="W88" s="195"/>
      <c r="X88" s="195"/>
      <c r="Y88" s="195"/>
    </row>
    <row r="89" spans="1:25" ht="12.75" x14ac:dyDescent="0.2">
      <c r="A89" s="195" t="s">
        <v>612</v>
      </c>
      <c r="B89" s="536" t="s">
        <v>875</v>
      </c>
      <c r="C89" s="195">
        <v>90</v>
      </c>
      <c r="D89" s="536" t="s">
        <v>869</v>
      </c>
      <c r="E89" s="290"/>
      <c r="F89" s="540">
        <v>6</v>
      </c>
      <c r="G89" s="204"/>
      <c r="H89" s="197"/>
      <c r="I89" s="198"/>
      <c r="J89" s="205">
        <v>2.5499999999999998</v>
      </c>
      <c r="K89" s="287">
        <v>2.5499999999999998</v>
      </c>
      <c r="L89" s="206">
        <v>236.96</v>
      </c>
      <c r="M89" s="286">
        <v>236.96</v>
      </c>
      <c r="N89" s="552">
        <v>41791</v>
      </c>
      <c r="O89" s="205">
        <f t="shared" si="10"/>
        <v>0</v>
      </c>
      <c r="P89" s="555">
        <f>(1+$R$1)*Table33[[#This Row],[Hours]]</f>
        <v>0</v>
      </c>
      <c r="Q89" s="207">
        <f t="shared" si="9"/>
        <v>0</v>
      </c>
      <c r="R89" s="208">
        <f t="shared" si="11"/>
        <v>0</v>
      </c>
      <c r="S89" s="208">
        <f t="shared" si="12"/>
        <v>0</v>
      </c>
      <c r="T89" s="208" t="str">
        <f t="shared" si="13"/>
        <v/>
      </c>
      <c r="U89" s="195">
        <f>Table33[[#This Row],[gal/100ft]]*Table33[[#This Row],[QTY]]/100</f>
        <v>0</v>
      </c>
      <c r="V89" s="195"/>
      <c r="W89" s="195"/>
      <c r="X89" s="195"/>
      <c r="Y89" s="195"/>
    </row>
    <row r="90" spans="1:25" ht="12.75" x14ac:dyDescent="0.2">
      <c r="A90" s="195" t="s">
        <v>612</v>
      </c>
      <c r="B90" s="536" t="s">
        <v>875</v>
      </c>
      <c r="C90" s="195">
        <v>90</v>
      </c>
      <c r="D90" s="536" t="s">
        <v>869</v>
      </c>
      <c r="E90" s="290"/>
      <c r="F90" s="540">
        <v>8</v>
      </c>
      <c r="G90" s="204"/>
      <c r="H90" s="197"/>
      <c r="I90" s="198"/>
      <c r="J90" s="205">
        <v>3.67</v>
      </c>
      <c r="K90" s="287">
        <v>3.67</v>
      </c>
      <c r="L90" s="206">
        <v>411.84</v>
      </c>
      <c r="M90" s="286">
        <v>411.84</v>
      </c>
      <c r="N90" s="552">
        <v>41791</v>
      </c>
      <c r="O90" s="205">
        <f t="shared" si="10"/>
        <v>0</v>
      </c>
      <c r="P90" s="555">
        <f>(1+$R$1)*Table33[[#This Row],[Hours]]</f>
        <v>0</v>
      </c>
      <c r="Q90" s="207">
        <f t="shared" si="9"/>
        <v>0</v>
      </c>
      <c r="R90" s="208">
        <f t="shared" si="11"/>
        <v>0</v>
      </c>
      <c r="S90" s="208">
        <f t="shared" si="12"/>
        <v>0</v>
      </c>
      <c r="T90" s="208" t="str">
        <f t="shared" si="13"/>
        <v/>
      </c>
      <c r="U90" s="195">
        <f>Table33[[#This Row],[gal/100ft]]*Table33[[#This Row],[QTY]]/100</f>
        <v>0</v>
      </c>
      <c r="V90" s="195"/>
      <c r="W90" s="195"/>
      <c r="X90" s="195"/>
      <c r="Y90" s="195"/>
    </row>
    <row r="91" spans="1:25" ht="12.75" x14ac:dyDescent="0.2">
      <c r="A91" s="195" t="s">
        <v>612</v>
      </c>
      <c r="B91" s="536" t="s">
        <v>875</v>
      </c>
      <c r="C91" s="195">
        <v>90</v>
      </c>
      <c r="D91" s="536" t="s">
        <v>869</v>
      </c>
      <c r="E91" s="290"/>
      <c r="F91" s="540">
        <v>10</v>
      </c>
      <c r="G91" s="204"/>
      <c r="H91" s="197"/>
      <c r="I91" s="198"/>
      <c r="J91" s="205">
        <v>4.78</v>
      </c>
      <c r="K91" s="287">
        <v>4.78</v>
      </c>
      <c r="L91" s="206">
        <v>812.8</v>
      </c>
      <c r="M91" s="286">
        <v>812.8</v>
      </c>
      <c r="N91" s="552">
        <v>41791</v>
      </c>
      <c r="O91" s="205">
        <f t="shared" si="10"/>
        <v>0</v>
      </c>
      <c r="P91" s="555">
        <f>(1+$R$1)*Table33[[#This Row],[Hours]]</f>
        <v>0</v>
      </c>
      <c r="Q91" s="207">
        <f t="shared" si="9"/>
        <v>0</v>
      </c>
      <c r="R91" s="208">
        <f t="shared" si="11"/>
        <v>0</v>
      </c>
      <c r="S91" s="208">
        <f t="shared" si="12"/>
        <v>0</v>
      </c>
      <c r="T91" s="208" t="str">
        <f t="shared" si="13"/>
        <v/>
      </c>
      <c r="U91" s="195">
        <f>Table33[[#This Row],[gal/100ft]]*Table33[[#This Row],[QTY]]/100</f>
        <v>0</v>
      </c>
      <c r="V91" s="195"/>
      <c r="W91" s="195"/>
      <c r="X91" s="195"/>
      <c r="Y91" s="195"/>
    </row>
    <row r="92" spans="1:25" ht="12.75" x14ac:dyDescent="0.2">
      <c r="A92" s="195" t="s">
        <v>612</v>
      </c>
      <c r="B92" s="536" t="s">
        <v>875</v>
      </c>
      <c r="C92" s="195">
        <v>90</v>
      </c>
      <c r="D92" s="536" t="s">
        <v>869</v>
      </c>
      <c r="E92" s="288"/>
      <c r="F92" s="204">
        <v>12</v>
      </c>
      <c r="G92" s="204"/>
      <c r="H92" s="197"/>
      <c r="I92" s="198"/>
      <c r="J92" s="205">
        <v>5.12</v>
      </c>
      <c r="K92" s="287">
        <v>5.12</v>
      </c>
      <c r="L92" s="206">
        <v>3038</v>
      </c>
      <c r="M92" s="286">
        <v>3038</v>
      </c>
      <c r="N92" s="552">
        <v>41791</v>
      </c>
      <c r="O92" s="205">
        <f t="shared" si="10"/>
        <v>0</v>
      </c>
      <c r="P92" s="555">
        <f>(1+$R$1)*Table33[[#This Row],[Hours]]</f>
        <v>0</v>
      </c>
      <c r="Q92" s="207">
        <f t="shared" si="9"/>
        <v>0</v>
      </c>
      <c r="R92" s="208">
        <f t="shared" si="11"/>
        <v>0</v>
      </c>
      <c r="S92" s="208">
        <f t="shared" si="12"/>
        <v>0</v>
      </c>
      <c r="T92" s="208" t="str">
        <f t="shared" si="13"/>
        <v/>
      </c>
      <c r="U92" s="195">
        <f>Table33[[#This Row],[gal/100ft]]*Table33[[#This Row],[QTY]]/100</f>
        <v>0</v>
      </c>
      <c r="V92" s="195"/>
      <c r="W92" s="195"/>
      <c r="X92" s="195"/>
      <c r="Y92" s="195"/>
    </row>
    <row r="93" spans="1:25" ht="12.75" x14ac:dyDescent="0.2">
      <c r="A93" s="311" t="s">
        <v>711</v>
      </c>
      <c r="B93" s="311" t="s">
        <v>711</v>
      </c>
      <c r="C93" s="311">
        <v>90</v>
      </c>
      <c r="D93" s="311" t="s">
        <v>712</v>
      </c>
      <c r="E93" s="288"/>
      <c r="F93" s="297">
        <v>0.5</v>
      </c>
      <c r="G93" s="297"/>
      <c r="H93" s="298"/>
      <c r="I93" s="299"/>
      <c r="J93" s="205">
        <v>0.12</v>
      </c>
      <c r="K93" s="287">
        <v>0.12</v>
      </c>
      <c r="L93" s="206">
        <v>1.51</v>
      </c>
      <c r="M93" s="286">
        <v>1.51</v>
      </c>
      <c r="N93" s="552">
        <v>41791</v>
      </c>
      <c r="O93" s="205">
        <f t="shared" si="10"/>
        <v>0</v>
      </c>
      <c r="P93" s="555">
        <f>(1+$R$1)*Table33[[#This Row],[Hours]]</f>
        <v>0</v>
      </c>
      <c r="Q93" s="207">
        <f t="shared" si="9"/>
        <v>0</v>
      </c>
      <c r="R93" s="208">
        <f t="shared" si="11"/>
        <v>0</v>
      </c>
      <c r="S93" s="208">
        <f t="shared" si="12"/>
        <v>0</v>
      </c>
      <c r="T93" s="208" t="str">
        <f t="shared" si="13"/>
        <v/>
      </c>
      <c r="U93" s="195">
        <f>Table33[[#This Row],[gal/100ft]]*Table33[[#This Row],[QTY]]/100</f>
        <v>0</v>
      </c>
      <c r="V93" s="195"/>
      <c r="W93" s="195"/>
      <c r="X93" s="195"/>
      <c r="Y93" s="195"/>
    </row>
    <row r="94" spans="1:25" ht="12.75" x14ac:dyDescent="0.2">
      <c r="A94" s="311" t="s">
        <v>711</v>
      </c>
      <c r="B94" s="311" t="s">
        <v>711</v>
      </c>
      <c r="C94" s="296">
        <v>90</v>
      </c>
      <c r="D94" s="311" t="s">
        <v>712</v>
      </c>
      <c r="E94" s="288"/>
      <c r="F94" s="297">
        <v>0.75</v>
      </c>
      <c r="G94" s="297"/>
      <c r="H94" s="298"/>
      <c r="I94" s="299"/>
      <c r="J94" s="205">
        <v>0.16</v>
      </c>
      <c r="K94" s="287">
        <v>0.16</v>
      </c>
      <c r="L94" s="206">
        <v>2.5499999999999998</v>
      </c>
      <c r="M94" s="286">
        <v>2.5499999999999998</v>
      </c>
      <c r="N94" s="552">
        <v>41791</v>
      </c>
      <c r="O94" s="205">
        <f t="shared" si="10"/>
        <v>0</v>
      </c>
      <c r="P94" s="555">
        <f>(1+$R$1)*Table33[[#This Row],[Hours]]</f>
        <v>0</v>
      </c>
      <c r="Q94" s="207">
        <f t="shared" si="9"/>
        <v>0</v>
      </c>
      <c r="R94" s="208">
        <f t="shared" si="11"/>
        <v>0</v>
      </c>
      <c r="S94" s="208">
        <f t="shared" si="12"/>
        <v>0</v>
      </c>
      <c r="T94" s="208" t="str">
        <f t="shared" si="13"/>
        <v/>
      </c>
      <c r="U94" s="195">
        <f>Table33[[#This Row],[gal/100ft]]*Table33[[#This Row],[QTY]]/100</f>
        <v>0</v>
      </c>
      <c r="V94" s="195"/>
      <c r="W94" s="195"/>
      <c r="X94" s="195"/>
      <c r="Y94" s="195"/>
    </row>
    <row r="95" spans="1:25" ht="12.75" x14ac:dyDescent="0.2">
      <c r="A95" s="311" t="s">
        <v>711</v>
      </c>
      <c r="B95" s="311" t="s">
        <v>711</v>
      </c>
      <c r="C95" s="296">
        <v>90</v>
      </c>
      <c r="D95" s="311" t="s">
        <v>712</v>
      </c>
      <c r="E95" s="288"/>
      <c r="F95" s="297">
        <v>1</v>
      </c>
      <c r="G95" s="297"/>
      <c r="H95" s="298"/>
      <c r="I95" s="299"/>
      <c r="J95" s="205">
        <v>0.17</v>
      </c>
      <c r="K95" s="287">
        <v>0.17</v>
      </c>
      <c r="L95" s="206">
        <v>5.1100000000000003</v>
      </c>
      <c r="M95" s="286">
        <v>5.1100000000000003</v>
      </c>
      <c r="N95" s="552">
        <v>41791</v>
      </c>
      <c r="O95" s="205">
        <f t="shared" si="10"/>
        <v>0</v>
      </c>
      <c r="P95" s="555">
        <f>(1+$R$1)*Table33[[#This Row],[Hours]]</f>
        <v>0</v>
      </c>
      <c r="Q95" s="207">
        <f t="shared" si="9"/>
        <v>0</v>
      </c>
      <c r="R95" s="208">
        <f t="shared" si="11"/>
        <v>0</v>
      </c>
      <c r="S95" s="208">
        <f t="shared" si="12"/>
        <v>0</v>
      </c>
      <c r="T95" s="208" t="str">
        <f t="shared" si="13"/>
        <v/>
      </c>
      <c r="U95" s="195">
        <f>Table33[[#This Row],[gal/100ft]]*Table33[[#This Row],[QTY]]/100</f>
        <v>0</v>
      </c>
      <c r="V95" s="195"/>
      <c r="W95" s="195"/>
      <c r="X95" s="195"/>
      <c r="Y95" s="195"/>
    </row>
    <row r="96" spans="1:25" ht="12.75" x14ac:dyDescent="0.2">
      <c r="A96" s="311" t="s">
        <v>711</v>
      </c>
      <c r="B96" s="311" t="s">
        <v>711</v>
      </c>
      <c r="C96" s="296">
        <v>90</v>
      </c>
      <c r="D96" s="311" t="s">
        <v>712</v>
      </c>
      <c r="E96" s="288"/>
      <c r="F96" s="204">
        <v>1.25</v>
      </c>
      <c r="G96" s="204"/>
      <c r="H96" s="197"/>
      <c r="I96" s="198"/>
      <c r="J96" s="205">
        <v>0.21</v>
      </c>
      <c r="K96" s="287">
        <v>0.21</v>
      </c>
      <c r="L96" s="206">
        <v>10.31</v>
      </c>
      <c r="M96" s="286">
        <v>10.31</v>
      </c>
      <c r="N96" s="552">
        <v>41791</v>
      </c>
      <c r="O96" s="205">
        <f t="shared" si="10"/>
        <v>0</v>
      </c>
      <c r="P96" s="555">
        <f>(1+$R$1)*Table33[[#This Row],[Hours]]</f>
        <v>0</v>
      </c>
      <c r="Q96" s="207">
        <f t="shared" si="9"/>
        <v>0</v>
      </c>
      <c r="R96" s="208">
        <f t="shared" si="11"/>
        <v>0</v>
      </c>
      <c r="S96" s="208">
        <f t="shared" si="12"/>
        <v>0</v>
      </c>
      <c r="T96" s="208" t="str">
        <f t="shared" si="13"/>
        <v/>
      </c>
      <c r="U96" s="195">
        <f>Table33[[#This Row],[gal/100ft]]*Table33[[#This Row],[QTY]]/100</f>
        <v>0</v>
      </c>
      <c r="V96" s="195"/>
      <c r="W96" s="195"/>
      <c r="X96" s="195"/>
      <c r="Y96" s="195"/>
    </row>
    <row r="97" spans="1:25" ht="12.75" x14ac:dyDescent="0.2">
      <c r="A97" s="311" t="s">
        <v>711</v>
      </c>
      <c r="B97" s="311" t="s">
        <v>711</v>
      </c>
      <c r="C97" s="296">
        <v>90</v>
      </c>
      <c r="D97" s="311" t="s">
        <v>712</v>
      </c>
      <c r="E97" s="288"/>
      <c r="F97" s="204">
        <v>1.5</v>
      </c>
      <c r="G97" s="204"/>
      <c r="H97" s="197"/>
      <c r="I97" s="198"/>
      <c r="J97" s="205">
        <v>0.24</v>
      </c>
      <c r="K97" s="287">
        <v>0.24</v>
      </c>
      <c r="L97" s="206">
        <v>19.5</v>
      </c>
      <c r="M97" s="286">
        <v>19.5</v>
      </c>
      <c r="N97" s="552">
        <v>41791</v>
      </c>
      <c r="O97" s="205">
        <f t="shared" si="10"/>
        <v>0</v>
      </c>
      <c r="P97" s="555">
        <f>(1+$R$1)*Table33[[#This Row],[Hours]]</f>
        <v>0</v>
      </c>
      <c r="Q97" s="207">
        <f t="shared" si="9"/>
        <v>0</v>
      </c>
      <c r="R97" s="208">
        <f t="shared" si="11"/>
        <v>0</v>
      </c>
      <c r="S97" s="208">
        <f t="shared" si="12"/>
        <v>0</v>
      </c>
      <c r="T97" s="208" t="str">
        <f t="shared" si="13"/>
        <v/>
      </c>
      <c r="U97" s="195">
        <f>Table33[[#This Row],[gal/100ft]]*Table33[[#This Row],[QTY]]/100</f>
        <v>0</v>
      </c>
      <c r="V97" s="195"/>
      <c r="W97" s="195"/>
      <c r="X97" s="195"/>
      <c r="Y97" s="195"/>
    </row>
    <row r="98" spans="1:25" ht="12.75" x14ac:dyDescent="0.2">
      <c r="A98" s="311" t="s">
        <v>711</v>
      </c>
      <c r="B98" s="311" t="s">
        <v>711</v>
      </c>
      <c r="C98" s="296">
        <v>90</v>
      </c>
      <c r="D98" s="311" t="s">
        <v>712</v>
      </c>
      <c r="E98" s="288"/>
      <c r="F98" s="204">
        <v>2</v>
      </c>
      <c r="G98" s="204"/>
      <c r="H98" s="197"/>
      <c r="I98" s="198"/>
      <c r="J98" s="205">
        <v>0.28000000000000003</v>
      </c>
      <c r="K98" s="287">
        <v>0.28000000000000003</v>
      </c>
      <c r="L98" s="206">
        <v>27.1</v>
      </c>
      <c r="M98" s="286">
        <v>27.1</v>
      </c>
      <c r="N98" s="552">
        <v>41791</v>
      </c>
      <c r="O98" s="205">
        <f t="shared" si="10"/>
        <v>0</v>
      </c>
      <c r="P98" s="555">
        <f>(1+$R$1)*Table33[[#This Row],[Hours]]</f>
        <v>0</v>
      </c>
      <c r="Q98" s="207">
        <f t="shared" si="9"/>
        <v>0</v>
      </c>
      <c r="R98" s="208">
        <f t="shared" si="11"/>
        <v>0</v>
      </c>
      <c r="S98" s="208">
        <f t="shared" si="12"/>
        <v>0</v>
      </c>
      <c r="T98" s="208" t="str">
        <f t="shared" si="13"/>
        <v/>
      </c>
      <c r="U98" s="195">
        <f>Table33[[#This Row],[gal/100ft]]*Table33[[#This Row],[QTY]]/100</f>
        <v>0</v>
      </c>
      <c r="V98" s="195"/>
      <c r="W98" s="195"/>
      <c r="X98" s="195"/>
      <c r="Y98" s="195"/>
    </row>
    <row r="99" spans="1:25" ht="12.75" x14ac:dyDescent="0.2">
      <c r="A99" s="311" t="s">
        <v>711</v>
      </c>
      <c r="B99" s="311" t="s">
        <v>711</v>
      </c>
      <c r="C99" s="296">
        <v>90</v>
      </c>
      <c r="D99" s="311" t="s">
        <v>712</v>
      </c>
      <c r="E99" s="288"/>
      <c r="F99" s="204">
        <v>2.5</v>
      </c>
      <c r="G99" s="204"/>
      <c r="H99" s="197"/>
      <c r="I99" s="198"/>
      <c r="J99" s="205">
        <v>0.34</v>
      </c>
      <c r="K99" s="287">
        <v>0.34</v>
      </c>
      <c r="L99" s="206">
        <v>189.57</v>
      </c>
      <c r="M99" s="286">
        <v>189.57</v>
      </c>
      <c r="N99" s="552">
        <v>41791</v>
      </c>
      <c r="O99" s="205">
        <f t="shared" si="10"/>
        <v>0</v>
      </c>
      <c r="P99" s="555">
        <f>(1+$R$1)*Table33[[#This Row],[Hours]]</f>
        <v>0</v>
      </c>
      <c r="Q99" s="207">
        <f t="shared" si="9"/>
        <v>0</v>
      </c>
      <c r="R99" s="208">
        <f t="shared" si="11"/>
        <v>0</v>
      </c>
      <c r="S99" s="208">
        <f t="shared" si="12"/>
        <v>0</v>
      </c>
      <c r="T99" s="208" t="str">
        <f t="shared" si="13"/>
        <v/>
      </c>
      <c r="U99" s="195">
        <f>Table33[[#This Row],[gal/100ft]]*Table33[[#This Row],[QTY]]/100</f>
        <v>0</v>
      </c>
      <c r="V99" s="195"/>
      <c r="W99" s="195"/>
      <c r="X99" s="195"/>
      <c r="Y99" s="195"/>
    </row>
    <row r="100" spans="1:25" ht="12.75" x14ac:dyDescent="0.2">
      <c r="A100" s="311" t="s">
        <v>711</v>
      </c>
      <c r="B100" s="311" t="s">
        <v>711</v>
      </c>
      <c r="C100" s="296">
        <v>90</v>
      </c>
      <c r="D100" s="311" t="s">
        <v>712</v>
      </c>
      <c r="E100" s="288"/>
      <c r="F100" s="204">
        <v>3</v>
      </c>
      <c r="G100" s="204"/>
      <c r="H100" s="197"/>
      <c r="I100" s="198"/>
      <c r="J100" s="205">
        <v>0.4</v>
      </c>
      <c r="K100" s="287">
        <v>0.4</v>
      </c>
      <c r="L100" s="206">
        <v>212.03</v>
      </c>
      <c r="M100" s="286">
        <v>212.03</v>
      </c>
      <c r="N100" s="552">
        <v>41791</v>
      </c>
      <c r="O100" s="205">
        <f t="shared" si="10"/>
        <v>0</v>
      </c>
      <c r="P100" s="555">
        <f>(1+$R$1)*Table33[[#This Row],[Hours]]</f>
        <v>0</v>
      </c>
      <c r="Q100" s="207">
        <f t="shared" si="9"/>
        <v>0</v>
      </c>
      <c r="R100" s="208">
        <f t="shared" si="11"/>
        <v>0</v>
      </c>
      <c r="S100" s="208">
        <f t="shared" si="12"/>
        <v>0</v>
      </c>
      <c r="T100" s="208" t="str">
        <f t="shared" si="13"/>
        <v/>
      </c>
      <c r="U100" s="195">
        <f>Table33[[#This Row],[gal/100ft]]*Table33[[#This Row],[QTY]]/100</f>
        <v>0</v>
      </c>
      <c r="V100" s="195"/>
      <c r="W100" s="195"/>
      <c r="X100" s="195"/>
      <c r="Y100" s="195"/>
    </row>
    <row r="101" spans="1:25" ht="12.75" x14ac:dyDescent="0.2">
      <c r="A101" s="311" t="s">
        <v>711</v>
      </c>
      <c r="B101" s="311" t="s">
        <v>711</v>
      </c>
      <c r="C101" s="296">
        <v>90</v>
      </c>
      <c r="D101" s="311" t="s">
        <v>712</v>
      </c>
      <c r="E101" s="288"/>
      <c r="F101" s="204">
        <v>4</v>
      </c>
      <c r="G101" s="204"/>
      <c r="H101" s="197"/>
      <c r="I101" s="198"/>
      <c r="J101" s="205">
        <v>0.54</v>
      </c>
      <c r="K101" s="287">
        <v>0.54</v>
      </c>
      <c r="L101" s="206">
        <v>262.13</v>
      </c>
      <c r="M101" s="286">
        <v>262.13</v>
      </c>
      <c r="N101" s="552">
        <v>41791</v>
      </c>
      <c r="O101" s="205">
        <f t="shared" si="10"/>
        <v>0</v>
      </c>
      <c r="P101" s="555">
        <f>(1+$R$1)*Table33[[#This Row],[Hours]]</f>
        <v>0</v>
      </c>
      <c r="Q101" s="207">
        <f t="shared" si="9"/>
        <v>0</v>
      </c>
      <c r="R101" s="208">
        <f t="shared" si="11"/>
        <v>0</v>
      </c>
      <c r="S101" s="208">
        <f t="shared" si="12"/>
        <v>0</v>
      </c>
      <c r="T101" s="208" t="str">
        <f t="shared" si="13"/>
        <v/>
      </c>
      <c r="U101" s="195">
        <f>Table33[[#This Row],[gal/100ft]]*Table33[[#This Row],[QTY]]/100</f>
        <v>0</v>
      </c>
      <c r="V101" s="195"/>
      <c r="W101" s="195"/>
      <c r="X101" s="195"/>
      <c r="Y101" s="195"/>
    </row>
    <row r="102" spans="1:25" ht="12.75" x14ac:dyDescent="0.2">
      <c r="A102" s="275" t="s">
        <v>617</v>
      </c>
      <c r="B102" s="275" t="s">
        <v>693</v>
      </c>
      <c r="C102" s="275">
        <v>90</v>
      </c>
      <c r="D102" s="311" t="s">
        <v>722</v>
      </c>
      <c r="E102" s="288"/>
      <c r="F102" s="204">
        <v>0.5</v>
      </c>
      <c r="G102" s="272"/>
      <c r="H102" s="273"/>
      <c r="I102" s="274"/>
      <c r="J102" s="205">
        <v>0.4</v>
      </c>
      <c r="K102" s="287">
        <v>0.4</v>
      </c>
      <c r="L102" s="206">
        <v>0.46</v>
      </c>
      <c r="M102" s="286">
        <v>0.46</v>
      </c>
      <c r="N102" s="552">
        <v>41791</v>
      </c>
      <c r="O102" s="205">
        <f t="shared" si="10"/>
        <v>0</v>
      </c>
      <c r="P102" s="555">
        <f>(1+$R$1)*Table33[[#This Row],[Hours]]</f>
        <v>0</v>
      </c>
      <c r="Q102" s="207">
        <f t="shared" si="9"/>
        <v>0</v>
      </c>
      <c r="R102" s="208">
        <f t="shared" si="11"/>
        <v>0</v>
      </c>
      <c r="S102" s="208">
        <f t="shared" si="12"/>
        <v>0</v>
      </c>
      <c r="T102" s="208" t="str">
        <f t="shared" si="13"/>
        <v/>
      </c>
      <c r="U102" s="195">
        <f>Table33[[#This Row],[gal/100ft]]*Table33[[#This Row],[QTY]]/100</f>
        <v>0</v>
      </c>
      <c r="V102" s="195"/>
      <c r="W102" s="195"/>
      <c r="X102" s="195"/>
      <c r="Y102" s="195"/>
    </row>
    <row r="103" spans="1:25" ht="12.75" x14ac:dyDescent="0.2">
      <c r="A103" s="275" t="s">
        <v>617</v>
      </c>
      <c r="B103" s="275" t="s">
        <v>693</v>
      </c>
      <c r="C103" s="275">
        <v>90</v>
      </c>
      <c r="D103" s="311" t="s">
        <v>722</v>
      </c>
      <c r="E103" s="289"/>
      <c r="F103" s="272">
        <v>0.75</v>
      </c>
      <c r="G103" s="272"/>
      <c r="H103" s="273"/>
      <c r="I103" s="274"/>
      <c r="J103" s="205">
        <v>0.53</v>
      </c>
      <c r="K103" s="287">
        <v>0.53</v>
      </c>
      <c r="L103" s="206">
        <v>1.03</v>
      </c>
      <c r="M103" s="286">
        <v>1.03</v>
      </c>
      <c r="N103" s="552">
        <v>41791</v>
      </c>
      <c r="O103" s="205">
        <f t="shared" si="10"/>
        <v>0</v>
      </c>
      <c r="P103" s="555">
        <f>(1+$R$1)*Table33[[#This Row],[Hours]]</f>
        <v>0</v>
      </c>
      <c r="Q103" s="207">
        <f t="shared" si="9"/>
        <v>0</v>
      </c>
      <c r="R103" s="208">
        <f t="shared" si="11"/>
        <v>0</v>
      </c>
      <c r="S103" s="208">
        <f t="shared" si="12"/>
        <v>0</v>
      </c>
      <c r="T103" s="208" t="str">
        <f t="shared" si="13"/>
        <v/>
      </c>
      <c r="U103" s="195">
        <f>Table33[[#This Row],[gal/100ft]]*Table33[[#This Row],[QTY]]/100</f>
        <v>0</v>
      </c>
      <c r="V103" s="195"/>
      <c r="W103" s="195"/>
      <c r="X103" s="195"/>
      <c r="Y103" s="195"/>
    </row>
    <row r="104" spans="1:25" ht="12.75" x14ac:dyDescent="0.2">
      <c r="A104" s="275" t="s">
        <v>617</v>
      </c>
      <c r="B104" s="275" t="s">
        <v>693</v>
      </c>
      <c r="C104" s="275">
        <v>90</v>
      </c>
      <c r="D104" s="311" t="s">
        <v>722</v>
      </c>
      <c r="E104" s="289"/>
      <c r="F104" s="272">
        <v>1</v>
      </c>
      <c r="G104" s="272"/>
      <c r="H104" s="273"/>
      <c r="I104" s="274"/>
      <c r="J104" s="205">
        <v>0.63</v>
      </c>
      <c r="K104" s="287">
        <v>0.63</v>
      </c>
      <c r="L104" s="206">
        <v>2.54</v>
      </c>
      <c r="M104" s="286">
        <v>2.54</v>
      </c>
      <c r="N104" s="552">
        <v>41791</v>
      </c>
      <c r="O104" s="205">
        <f t="shared" si="10"/>
        <v>0</v>
      </c>
      <c r="P104" s="555">
        <f>(1+$R$1)*Table33[[#This Row],[Hours]]</f>
        <v>0</v>
      </c>
      <c r="Q104" s="207">
        <f t="shared" si="9"/>
        <v>0</v>
      </c>
      <c r="R104" s="208">
        <f t="shared" si="11"/>
        <v>0</v>
      </c>
      <c r="S104" s="208">
        <f t="shared" si="12"/>
        <v>0</v>
      </c>
      <c r="T104" s="208" t="str">
        <f t="shared" si="13"/>
        <v/>
      </c>
      <c r="U104" s="195">
        <f>Table33[[#This Row],[gal/100ft]]*Table33[[#This Row],[QTY]]/100</f>
        <v>0</v>
      </c>
      <c r="V104" s="195"/>
      <c r="W104" s="195"/>
      <c r="X104" s="195"/>
      <c r="Y104" s="195"/>
    </row>
    <row r="105" spans="1:25" ht="12.75" x14ac:dyDescent="0.2">
      <c r="A105" s="275" t="s">
        <v>617</v>
      </c>
      <c r="B105" s="275" t="s">
        <v>693</v>
      </c>
      <c r="C105" s="275">
        <v>90</v>
      </c>
      <c r="D105" s="311" t="s">
        <v>722</v>
      </c>
      <c r="E105" s="289"/>
      <c r="F105" s="272">
        <v>1.25</v>
      </c>
      <c r="G105" s="272"/>
      <c r="H105" s="273"/>
      <c r="I105" s="274"/>
      <c r="J105" s="205">
        <v>0.7</v>
      </c>
      <c r="K105" s="287">
        <v>0.7</v>
      </c>
      <c r="L105" s="206">
        <v>3.8</v>
      </c>
      <c r="M105" s="286">
        <v>3.8</v>
      </c>
      <c r="N105" s="552">
        <v>41791</v>
      </c>
      <c r="O105" s="205">
        <f t="shared" si="10"/>
        <v>0</v>
      </c>
      <c r="P105" s="555">
        <f>(1+$R$1)*Table33[[#This Row],[Hours]]</f>
        <v>0</v>
      </c>
      <c r="Q105" s="207">
        <f t="shared" si="9"/>
        <v>0</v>
      </c>
      <c r="R105" s="208">
        <f t="shared" si="11"/>
        <v>0</v>
      </c>
      <c r="S105" s="208">
        <f t="shared" si="12"/>
        <v>0</v>
      </c>
      <c r="T105" s="208" t="str">
        <f t="shared" si="13"/>
        <v/>
      </c>
      <c r="U105" s="195">
        <f>Table33[[#This Row],[gal/100ft]]*Table33[[#This Row],[QTY]]/100</f>
        <v>0</v>
      </c>
      <c r="V105" s="195"/>
      <c r="W105" s="195"/>
      <c r="X105" s="195"/>
      <c r="Y105" s="195"/>
    </row>
    <row r="106" spans="1:25" ht="12.75" x14ac:dyDescent="0.2">
      <c r="A106" s="275" t="s">
        <v>617</v>
      </c>
      <c r="B106" s="275" t="s">
        <v>693</v>
      </c>
      <c r="C106" s="275">
        <v>90</v>
      </c>
      <c r="D106" s="311" t="s">
        <v>722</v>
      </c>
      <c r="E106" s="289"/>
      <c r="F106" s="272">
        <v>1.5</v>
      </c>
      <c r="G106" s="272"/>
      <c r="H106" s="273"/>
      <c r="I106" s="274"/>
      <c r="J106" s="205">
        <v>0.74</v>
      </c>
      <c r="K106" s="287">
        <v>0.74</v>
      </c>
      <c r="L106" s="206">
        <v>5.93</v>
      </c>
      <c r="M106" s="286">
        <v>5.93</v>
      </c>
      <c r="N106" s="552">
        <v>41791</v>
      </c>
      <c r="O106" s="205">
        <f t="shared" si="10"/>
        <v>0</v>
      </c>
      <c r="P106" s="555">
        <f>(1+$R$1)*Table33[[#This Row],[Hours]]</f>
        <v>0</v>
      </c>
      <c r="Q106" s="207">
        <f t="shared" si="9"/>
        <v>0</v>
      </c>
      <c r="R106" s="208">
        <f t="shared" si="11"/>
        <v>0</v>
      </c>
      <c r="S106" s="208">
        <f t="shared" si="12"/>
        <v>0</v>
      </c>
      <c r="T106" s="208" t="str">
        <f t="shared" si="13"/>
        <v/>
      </c>
      <c r="U106" s="195">
        <f>Table33[[#This Row],[gal/100ft]]*Table33[[#This Row],[QTY]]/100</f>
        <v>0</v>
      </c>
      <c r="V106" s="195"/>
      <c r="W106" s="195"/>
      <c r="X106" s="195"/>
      <c r="Y106" s="195"/>
    </row>
    <row r="107" spans="1:25" ht="12.75" x14ac:dyDescent="0.2">
      <c r="A107" s="275" t="s">
        <v>617</v>
      </c>
      <c r="B107" s="275" t="s">
        <v>693</v>
      </c>
      <c r="C107" s="275">
        <v>90</v>
      </c>
      <c r="D107" s="311" t="s">
        <v>722</v>
      </c>
      <c r="E107" s="289"/>
      <c r="F107" s="272">
        <v>2</v>
      </c>
      <c r="G107" s="272"/>
      <c r="H107" s="273"/>
      <c r="I107" s="274"/>
      <c r="J107" s="205">
        <v>0.85</v>
      </c>
      <c r="K107" s="287">
        <v>0.85</v>
      </c>
      <c r="L107" s="206">
        <v>10.8</v>
      </c>
      <c r="M107" s="286">
        <v>10.8</v>
      </c>
      <c r="N107" s="552">
        <v>41791</v>
      </c>
      <c r="O107" s="205">
        <f t="shared" si="10"/>
        <v>0</v>
      </c>
      <c r="P107" s="555">
        <f>(1+$R$1)*Table33[[#This Row],[Hours]]</f>
        <v>0</v>
      </c>
      <c r="Q107" s="207">
        <f t="shared" si="9"/>
        <v>0</v>
      </c>
      <c r="R107" s="208">
        <f t="shared" si="11"/>
        <v>0</v>
      </c>
      <c r="S107" s="208">
        <f t="shared" si="12"/>
        <v>0</v>
      </c>
      <c r="T107" s="208" t="str">
        <f t="shared" si="13"/>
        <v/>
      </c>
      <c r="U107" s="195">
        <f>Table33[[#This Row],[gal/100ft]]*Table33[[#This Row],[QTY]]/100</f>
        <v>0</v>
      </c>
      <c r="V107" s="195"/>
      <c r="W107" s="195"/>
      <c r="X107" s="195"/>
      <c r="Y107" s="195"/>
    </row>
    <row r="108" spans="1:25" ht="12.75" x14ac:dyDescent="0.2">
      <c r="A108" s="195" t="s">
        <v>593</v>
      </c>
      <c r="B108" s="536" t="s">
        <v>874</v>
      </c>
      <c r="C108" s="195">
        <v>90</v>
      </c>
      <c r="D108" s="195" t="s">
        <v>634</v>
      </c>
      <c r="E108" s="288"/>
      <c r="F108" s="204">
        <v>0.75</v>
      </c>
      <c r="G108" s="204"/>
      <c r="H108" s="197"/>
      <c r="I108" s="198"/>
      <c r="J108" s="205">
        <v>0.69</v>
      </c>
      <c r="K108" s="287">
        <v>0.69</v>
      </c>
      <c r="L108" s="206">
        <v>1.04</v>
      </c>
      <c r="M108" s="286">
        <v>1.04</v>
      </c>
      <c r="N108" s="552">
        <v>41791</v>
      </c>
      <c r="O108" s="205">
        <f t="shared" si="10"/>
        <v>0</v>
      </c>
      <c r="P108" s="555">
        <f>(1+$R$1)*Table33[[#This Row],[Hours]]</f>
        <v>0</v>
      </c>
      <c r="Q108" s="207">
        <f t="shared" si="9"/>
        <v>0</v>
      </c>
      <c r="R108" s="208">
        <f t="shared" si="11"/>
        <v>0</v>
      </c>
      <c r="S108" s="208">
        <f t="shared" si="12"/>
        <v>0</v>
      </c>
      <c r="T108" s="208" t="str">
        <f t="shared" si="13"/>
        <v/>
      </c>
      <c r="U108" s="195">
        <f>Table33[[#This Row],[gal/100ft]]*Table33[[#This Row],[QTY]]/100</f>
        <v>0</v>
      </c>
      <c r="V108" s="195"/>
      <c r="W108" s="195"/>
      <c r="X108" s="195"/>
      <c r="Y108" s="195"/>
    </row>
    <row r="109" spans="1:25" ht="12.75" x14ac:dyDescent="0.2">
      <c r="A109" s="195" t="s">
        <v>593</v>
      </c>
      <c r="B109" s="536" t="s">
        <v>874</v>
      </c>
      <c r="C109" s="195">
        <v>90</v>
      </c>
      <c r="D109" s="195" t="s">
        <v>634</v>
      </c>
      <c r="E109" s="288"/>
      <c r="F109" s="204">
        <v>1.25</v>
      </c>
      <c r="G109" s="204"/>
      <c r="H109" s="197"/>
      <c r="I109" s="198"/>
      <c r="J109" s="205">
        <v>0.98</v>
      </c>
      <c r="K109" s="287">
        <v>0.98</v>
      </c>
      <c r="L109" s="206">
        <v>2.96</v>
      </c>
      <c r="M109" s="286">
        <v>2.96</v>
      </c>
      <c r="N109" s="552">
        <v>41791</v>
      </c>
      <c r="O109" s="205">
        <f t="shared" si="10"/>
        <v>0</v>
      </c>
      <c r="P109" s="555">
        <f>(1+$R$1)*Table33[[#This Row],[Hours]]</f>
        <v>0</v>
      </c>
      <c r="Q109" s="207">
        <f t="shared" si="9"/>
        <v>0</v>
      </c>
      <c r="R109" s="208">
        <f t="shared" si="11"/>
        <v>0</v>
      </c>
      <c r="S109" s="208">
        <f t="shared" si="12"/>
        <v>0</v>
      </c>
      <c r="T109" s="208" t="str">
        <f t="shared" si="13"/>
        <v/>
      </c>
      <c r="U109" s="195">
        <f>Table33[[#This Row],[gal/100ft]]*Table33[[#This Row],[QTY]]/100</f>
        <v>0</v>
      </c>
      <c r="V109" s="195"/>
      <c r="W109" s="195"/>
      <c r="X109" s="195"/>
      <c r="Y109" s="195"/>
    </row>
    <row r="110" spans="1:25" ht="12.75" x14ac:dyDescent="0.2">
      <c r="A110" s="195" t="s">
        <v>593</v>
      </c>
      <c r="B110" s="536" t="s">
        <v>874</v>
      </c>
      <c r="C110" s="195">
        <v>90</v>
      </c>
      <c r="D110" s="195" t="s">
        <v>634</v>
      </c>
      <c r="E110" s="288"/>
      <c r="F110" s="204">
        <v>2</v>
      </c>
      <c r="G110" s="204"/>
      <c r="H110" s="197"/>
      <c r="I110" s="198"/>
      <c r="J110" s="205">
        <v>1.3</v>
      </c>
      <c r="K110" s="287">
        <v>1.3</v>
      </c>
      <c r="L110" s="206">
        <v>6.68</v>
      </c>
      <c r="M110" s="286">
        <v>6.68</v>
      </c>
      <c r="N110" s="552">
        <v>41791</v>
      </c>
      <c r="O110" s="205">
        <f t="shared" si="10"/>
        <v>0</v>
      </c>
      <c r="P110" s="555">
        <f>(1+$R$1)*Table33[[#This Row],[Hours]]</f>
        <v>0</v>
      </c>
      <c r="Q110" s="207">
        <f t="shared" si="9"/>
        <v>0</v>
      </c>
      <c r="R110" s="208">
        <f t="shared" si="11"/>
        <v>0</v>
      </c>
      <c r="S110" s="208">
        <f t="shared" si="12"/>
        <v>0</v>
      </c>
      <c r="T110" s="208" t="str">
        <f t="shared" si="13"/>
        <v/>
      </c>
      <c r="U110" s="195">
        <f>Table33[[#This Row],[gal/100ft]]*Table33[[#This Row],[QTY]]/100</f>
        <v>0</v>
      </c>
      <c r="V110" s="195"/>
      <c r="W110" s="195"/>
      <c r="X110" s="195"/>
      <c r="Y110" s="195"/>
    </row>
    <row r="111" spans="1:25" ht="12.75" x14ac:dyDescent="0.2">
      <c r="A111" s="195" t="s">
        <v>593</v>
      </c>
      <c r="B111" s="536" t="s">
        <v>874</v>
      </c>
      <c r="C111" s="195">
        <v>90</v>
      </c>
      <c r="D111" s="195" t="s">
        <v>634</v>
      </c>
      <c r="E111" s="288"/>
      <c r="F111" s="204">
        <v>2.5</v>
      </c>
      <c r="G111" s="204"/>
      <c r="H111" s="197"/>
      <c r="I111" s="198"/>
      <c r="J111" s="205">
        <v>2.09</v>
      </c>
      <c r="K111" s="287">
        <v>2.09</v>
      </c>
      <c r="L111" s="206">
        <v>32.06</v>
      </c>
      <c r="M111" s="286">
        <v>32.06</v>
      </c>
      <c r="N111" s="552">
        <v>41791</v>
      </c>
      <c r="O111" s="205">
        <f t="shared" si="10"/>
        <v>0</v>
      </c>
      <c r="P111" s="555">
        <f>(1+$R$1)*Table33[[#This Row],[Hours]]</f>
        <v>0</v>
      </c>
      <c r="Q111" s="207">
        <f t="shared" si="9"/>
        <v>0</v>
      </c>
      <c r="R111" s="208">
        <f t="shared" si="11"/>
        <v>0</v>
      </c>
      <c r="S111" s="208">
        <f t="shared" si="12"/>
        <v>0</v>
      </c>
      <c r="T111" s="208" t="str">
        <f t="shared" si="13"/>
        <v/>
      </c>
      <c r="U111" s="195">
        <f>Table33[[#This Row],[gal/100ft]]*Table33[[#This Row],[QTY]]/100</f>
        <v>0</v>
      </c>
      <c r="V111" s="195"/>
      <c r="W111" s="195"/>
      <c r="X111" s="195"/>
      <c r="Y111" s="195"/>
    </row>
    <row r="112" spans="1:25" ht="12.75" x14ac:dyDescent="0.2">
      <c r="A112" s="195" t="s">
        <v>593</v>
      </c>
      <c r="B112" s="536" t="s">
        <v>874</v>
      </c>
      <c r="C112" s="195">
        <v>90</v>
      </c>
      <c r="D112" s="195" t="s">
        <v>634</v>
      </c>
      <c r="E112" s="288"/>
      <c r="F112" s="204">
        <v>1.5</v>
      </c>
      <c r="G112" s="204"/>
      <c r="H112" s="197"/>
      <c r="I112" s="198"/>
      <c r="J112" s="205">
        <v>1.08</v>
      </c>
      <c r="K112" s="287">
        <v>1.08</v>
      </c>
      <c r="L112" s="206">
        <v>3.9</v>
      </c>
      <c r="M112" s="286">
        <v>3.9</v>
      </c>
      <c r="N112" s="552">
        <v>41791</v>
      </c>
      <c r="O112" s="205">
        <f t="shared" si="10"/>
        <v>0</v>
      </c>
      <c r="P112" s="555">
        <f>(1+$R$1)*Table33[[#This Row],[Hours]]</f>
        <v>0</v>
      </c>
      <c r="Q112" s="207">
        <f t="shared" si="9"/>
        <v>0</v>
      </c>
      <c r="R112" s="208">
        <f t="shared" si="11"/>
        <v>0</v>
      </c>
      <c r="S112" s="208">
        <f t="shared" si="12"/>
        <v>0</v>
      </c>
      <c r="T112" s="208" t="str">
        <f t="shared" si="13"/>
        <v/>
      </c>
      <c r="U112" s="195">
        <f>Table33[[#This Row],[gal/100ft]]*Table33[[#This Row],[QTY]]/100</f>
        <v>0</v>
      </c>
      <c r="V112" s="195"/>
      <c r="W112" s="195"/>
      <c r="X112" s="195"/>
      <c r="Y112" s="195"/>
    </row>
    <row r="113" spans="1:25" ht="12.75" x14ac:dyDescent="0.2">
      <c r="A113" s="195" t="s">
        <v>593</v>
      </c>
      <c r="B113" s="536" t="s">
        <v>874</v>
      </c>
      <c r="C113" s="195">
        <v>90</v>
      </c>
      <c r="D113" s="195" t="s">
        <v>634</v>
      </c>
      <c r="E113" s="288"/>
      <c r="F113" s="204">
        <v>0.5</v>
      </c>
      <c r="G113" s="204"/>
      <c r="H113" s="197"/>
      <c r="I113" s="198"/>
      <c r="J113" s="205">
        <v>0.51</v>
      </c>
      <c r="K113" s="287">
        <v>0.51</v>
      </c>
      <c r="L113" s="206">
        <v>0.86</v>
      </c>
      <c r="M113" s="286">
        <v>0.86</v>
      </c>
      <c r="N113" s="552">
        <v>41791</v>
      </c>
      <c r="O113" s="205">
        <f t="shared" si="10"/>
        <v>0</v>
      </c>
      <c r="P113" s="555">
        <f>(1+$R$1)*Table33[[#This Row],[Hours]]</f>
        <v>0</v>
      </c>
      <c r="Q113" s="207">
        <f t="shared" si="9"/>
        <v>0</v>
      </c>
      <c r="R113" s="208">
        <f t="shared" si="11"/>
        <v>0</v>
      </c>
      <c r="S113" s="208">
        <f t="shared" si="12"/>
        <v>0</v>
      </c>
      <c r="T113" s="208" t="str">
        <f t="shared" si="13"/>
        <v/>
      </c>
      <c r="U113" s="195">
        <f>Table33[[#This Row],[gal/100ft]]*Table33[[#This Row],[QTY]]/100</f>
        <v>0</v>
      </c>
      <c r="V113" s="195"/>
      <c r="W113" s="195"/>
      <c r="X113" s="195"/>
      <c r="Y113" s="195"/>
    </row>
    <row r="114" spans="1:25" ht="12.75" x14ac:dyDescent="0.2">
      <c r="A114" s="195" t="s">
        <v>593</v>
      </c>
      <c r="B114" s="536" t="s">
        <v>874</v>
      </c>
      <c r="C114" s="195">
        <v>90</v>
      </c>
      <c r="D114" s="195" t="s">
        <v>634</v>
      </c>
      <c r="E114" s="288"/>
      <c r="F114" s="204">
        <v>1</v>
      </c>
      <c r="G114" s="204"/>
      <c r="H114" s="197"/>
      <c r="I114" s="198"/>
      <c r="J114" s="205">
        <v>0.85</v>
      </c>
      <c r="K114" s="287">
        <v>0.85</v>
      </c>
      <c r="L114" s="206">
        <v>1.82</v>
      </c>
      <c r="M114" s="286">
        <v>1.82</v>
      </c>
      <c r="N114" s="552">
        <v>41791</v>
      </c>
      <c r="O114" s="205">
        <f t="shared" si="10"/>
        <v>0</v>
      </c>
      <c r="P114" s="555">
        <f>(1+$R$1)*Table33[[#This Row],[Hours]]</f>
        <v>0</v>
      </c>
      <c r="Q114" s="207">
        <f t="shared" si="9"/>
        <v>0</v>
      </c>
      <c r="R114" s="208">
        <f t="shared" si="11"/>
        <v>0</v>
      </c>
      <c r="S114" s="208">
        <f t="shared" si="12"/>
        <v>0</v>
      </c>
      <c r="T114" s="208" t="str">
        <f t="shared" si="13"/>
        <v/>
      </c>
      <c r="U114" s="195">
        <f>Table33[[#This Row],[gal/100ft]]*Table33[[#This Row],[QTY]]/100</f>
        <v>0</v>
      </c>
      <c r="V114" s="195"/>
      <c r="W114" s="195"/>
      <c r="X114" s="195"/>
      <c r="Y114" s="195"/>
    </row>
    <row r="115" spans="1:25" ht="12.75" x14ac:dyDescent="0.2">
      <c r="A115" s="195" t="s">
        <v>593</v>
      </c>
      <c r="B115" s="195" t="s">
        <v>613</v>
      </c>
      <c r="C115" s="195">
        <v>90</v>
      </c>
      <c r="D115" s="195" t="s">
        <v>659</v>
      </c>
      <c r="E115" s="288"/>
      <c r="F115" s="204">
        <v>0.75</v>
      </c>
      <c r="G115" s="204"/>
      <c r="H115" s="197"/>
      <c r="I115" s="198"/>
      <c r="J115" s="205">
        <v>0.7</v>
      </c>
      <c r="K115" s="287">
        <v>0.7</v>
      </c>
      <c r="L115" s="206">
        <v>7.52</v>
      </c>
      <c r="M115" s="286">
        <v>7.52</v>
      </c>
      <c r="N115" s="552">
        <v>41791</v>
      </c>
      <c r="O115" s="205">
        <f t="shared" si="10"/>
        <v>0</v>
      </c>
      <c r="P115" s="555">
        <f>(1+$R$1)*Table33[[#This Row],[Hours]]</f>
        <v>0</v>
      </c>
      <c r="Q115" s="207">
        <f t="shared" si="9"/>
        <v>0</v>
      </c>
      <c r="R115" s="208">
        <f t="shared" si="11"/>
        <v>0</v>
      </c>
      <c r="S115" s="208">
        <f t="shared" si="12"/>
        <v>0</v>
      </c>
      <c r="T115" s="208" t="str">
        <f t="shared" si="13"/>
        <v/>
      </c>
      <c r="U115" s="195">
        <f>Table33[[#This Row],[gal/100ft]]*Table33[[#This Row],[QTY]]/100</f>
        <v>0</v>
      </c>
      <c r="V115" s="195"/>
      <c r="W115" s="195"/>
      <c r="X115" s="195"/>
      <c r="Y115" s="195"/>
    </row>
    <row r="116" spans="1:25" ht="12.75" x14ac:dyDescent="0.2">
      <c r="A116" s="195" t="s">
        <v>593</v>
      </c>
      <c r="B116" s="195" t="s">
        <v>613</v>
      </c>
      <c r="C116" s="195">
        <v>90</v>
      </c>
      <c r="D116" s="195" t="s">
        <v>658</v>
      </c>
      <c r="E116" s="288"/>
      <c r="F116" s="204">
        <v>0.75</v>
      </c>
      <c r="G116" s="204"/>
      <c r="H116" s="197"/>
      <c r="I116" s="198"/>
      <c r="J116" s="205">
        <v>0.62</v>
      </c>
      <c r="K116" s="287">
        <v>0.62</v>
      </c>
      <c r="L116" s="206">
        <v>31.26</v>
      </c>
      <c r="M116" s="286">
        <v>31.26</v>
      </c>
      <c r="N116" s="552">
        <v>41791</v>
      </c>
      <c r="O116" s="205">
        <f t="shared" si="10"/>
        <v>0</v>
      </c>
      <c r="P116" s="555">
        <f>(1+$R$1)*Table33[[#This Row],[Hours]]</f>
        <v>0</v>
      </c>
      <c r="Q116" s="207">
        <f t="shared" si="9"/>
        <v>0</v>
      </c>
      <c r="R116" s="208">
        <f t="shared" si="11"/>
        <v>0</v>
      </c>
      <c r="S116" s="208">
        <f t="shared" si="12"/>
        <v>0</v>
      </c>
      <c r="T116" s="208" t="str">
        <f t="shared" si="13"/>
        <v/>
      </c>
      <c r="U116" s="195">
        <f>Table33[[#This Row],[gal/100ft]]*Table33[[#This Row],[QTY]]/100</f>
        <v>0</v>
      </c>
      <c r="V116" s="195"/>
      <c r="W116" s="195"/>
      <c r="X116" s="195"/>
      <c r="Y116" s="195"/>
    </row>
    <row r="117" spans="1:25" ht="12.75" x14ac:dyDescent="0.2">
      <c r="A117" s="195" t="s">
        <v>593</v>
      </c>
      <c r="B117" s="195" t="s">
        <v>613</v>
      </c>
      <c r="C117" s="195">
        <v>90</v>
      </c>
      <c r="D117" s="195" t="s">
        <v>659</v>
      </c>
      <c r="E117" s="288"/>
      <c r="F117" s="204">
        <v>0.5</v>
      </c>
      <c r="G117" s="204"/>
      <c r="H117" s="197"/>
      <c r="I117" s="198"/>
      <c r="J117" s="205">
        <v>0.51</v>
      </c>
      <c r="K117" s="287">
        <v>0.51</v>
      </c>
      <c r="L117" s="206">
        <v>6.64</v>
      </c>
      <c r="M117" s="286">
        <v>6.64</v>
      </c>
      <c r="N117" s="552">
        <v>41791</v>
      </c>
      <c r="O117" s="205">
        <f t="shared" si="10"/>
        <v>0</v>
      </c>
      <c r="P117" s="555">
        <f>(1+$R$1)*Table33[[#This Row],[Hours]]</f>
        <v>0</v>
      </c>
      <c r="Q117" s="207">
        <f t="shared" si="9"/>
        <v>0</v>
      </c>
      <c r="R117" s="208">
        <f t="shared" si="11"/>
        <v>0</v>
      </c>
      <c r="S117" s="208">
        <f t="shared" si="12"/>
        <v>0</v>
      </c>
      <c r="T117" s="208" t="str">
        <f t="shared" si="13"/>
        <v/>
      </c>
      <c r="U117" s="195">
        <f>Table33[[#This Row],[gal/100ft]]*Table33[[#This Row],[QTY]]/100</f>
        <v>0</v>
      </c>
      <c r="V117" s="195"/>
      <c r="W117" s="195"/>
      <c r="X117" s="195"/>
      <c r="Y117" s="195"/>
    </row>
    <row r="118" spans="1:25" ht="12.75" x14ac:dyDescent="0.2">
      <c r="A118" s="195" t="s">
        <v>593</v>
      </c>
      <c r="B118" s="195" t="s">
        <v>613</v>
      </c>
      <c r="C118" s="195">
        <v>90</v>
      </c>
      <c r="D118" s="195" t="s">
        <v>659</v>
      </c>
      <c r="E118" s="288"/>
      <c r="F118" s="204">
        <v>1</v>
      </c>
      <c r="G118" s="204"/>
      <c r="H118" s="197"/>
      <c r="I118" s="198"/>
      <c r="J118" s="205">
        <v>0.86</v>
      </c>
      <c r="K118" s="287">
        <v>0.86</v>
      </c>
      <c r="L118" s="206">
        <v>9.6</v>
      </c>
      <c r="M118" s="286">
        <v>9.6</v>
      </c>
      <c r="N118" s="552">
        <v>41791</v>
      </c>
      <c r="O118" s="205">
        <f t="shared" si="10"/>
        <v>0</v>
      </c>
      <c r="P118" s="555">
        <f>(1+$R$1)*Table33[[#This Row],[Hours]]</f>
        <v>0</v>
      </c>
      <c r="Q118" s="207">
        <f t="shared" si="9"/>
        <v>0</v>
      </c>
      <c r="R118" s="208">
        <f t="shared" si="11"/>
        <v>0</v>
      </c>
      <c r="S118" s="208">
        <f t="shared" si="12"/>
        <v>0</v>
      </c>
      <c r="T118" s="208" t="str">
        <f t="shared" si="13"/>
        <v/>
      </c>
      <c r="U118" s="195">
        <f>Table33[[#This Row],[gal/100ft]]*Table33[[#This Row],[QTY]]/100</f>
        <v>0</v>
      </c>
      <c r="V118" s="195"/>
      <c r="W118" s="195"/>
      <c r="X118" s="195"/>
      <c r="Y118" s="195"/>
    </row>
    <row r="119" spans="1:25" ht="12.75" x14ac:dyDescent="0.2">
      <c r="A119" s="195" t="s">
        <v>593</v>
      </c>
      <c r="B119" s="195" t="s">
        <v>613</v>
      </c>
      <c r="C119" s="195">
        <v>90</v>
      </c>
      <c r="D119" s="195" t="s">
        <v>659</v>
      </c>
      <c r="E119" s="288"/>
      <c r="F119" s="204">
        <v>1.25</v>
      </c>
      <c r="G119" s="204"/>
      <c r="H119" s="197"/>
      <c r="I119" s="198"/>
      <c r="J119" s="205">
        <v>0.99</v>
      </c>
      <c r="K119" s="287">
        <v>0.99</v>
      </c>
      <c r="L119" s="206">
        <v>14.01</v>
      </c>
      <c r="M119" s="286">
        <v>14.01</v>
      </c>
      <c r="N119" s="552">
        <v>41791</v>
      </c>
      <c r="O119" s="205">
        <f t="shared" si="10"/>
        <v>0</v>
      </c>
      <c r="P119" s="555">
        <f>(1+$R$1)*Table33[[#This Row],[Hours]]</f>
        <v>0</v>
      </c>
      <c r="Q119" s="207">
        <f t="shared" si="9"/>
        <v>0</v>
      </c>
      <c r="R119" s="208">
        <f t="shared" si="11"/>
        <v>0</v>
      </c>
      <c r="S119" s="208">
        <f t="shared" si="12"/>
        <v>0</v>
      </c>
      <c r="T119" s="208" t="str">
        <f t="shared" si="13"/>
        <v/>
      </c>
      <c r="U119" s="195">
        <f>Table33[[#This Row],[gal/100ft]]*Table33[[#This Row],[QTY]]/100</f>
        <v>0</v>
      </c>
      <c r="V119" s="195"/>
      <c r="W119" s="195"/>
      <c r="X119" s="195"/>
      <c r="Y119" s="195"/>
    </row>
    <row r="120" spans="1:25" ht="12.75" x14ac:dyDescent="0.2">
      <c r="A120" s="195" t="s">
        <v>593</v>
      </c>
      <c r="B120" s="195" t="s">
        <v>613</v>
      </c>
      <c r="C120" s="195">
        <v>90</v>
      </c>
      <c r="D120" s="195" t="s">
        <v>659</v>
      </c>
      <c r="E120" s="288"/>
      <c r="F120" s="204">
        <v>1.5</v>
      </c>
      <c r="G120" s="204"/>
      <c r="H120" s="197"/>
      <c r="I120" s="198"/>
      <c r="J120" s="205">
        <v>1.0900000000000001</v>
      </c>
      <c r="K120" s="287">
        <v>1.0900000000000001</v>
      </c>
      <c r="L120" s="206">
        <v>16.52</v>
      </c>
      <c r="M120" s="286">
        <v>16.52</v>
      </c>
      <c r="N120" s="552">
        <v>41791</v>
      </c>
      <c r="O120" s="205">
        <f t="shared" si="10"/>
        <v>0</v>
      </c>
      <c r="P120" s="555">
        <f>(1+$R$1)*Table33[[#This Row],[Hours]]</f>
        <v>0</v>
      </c>
      <c r="Q120" s="207">
        <f t="shared" si="9"/>
        <v>0</v>
      </c>
      <c r="R120" s="208">
        <f t="shared" si="11"/>
        <v>0</v>
      </c>
      <c r="S120" s="208">
        <f t="shared" si="12"/>
        <v>0</v>
      </c>
      <c r="T120" s="208" t="str">
        <f t="shared" si="13"/>
        <v/>
      </c>
      <c r="U120" s="195">
        <f>Table33[[#This Row],[gal/100ft]]*Table33[[#This Row],[QTY]]/100</f>
        <v>0</v>
      </c>
      <c r="V120" s="195"/>
      <c r="W120" s="195"/>
      <c r="X120" s="195"/>
      <c r="Y120" s="195"/>
    </row>
    <row r="121" spans="1:25" ht="12.75" x14ac:dyDescent="0.2">
      <c r="A121" s="195" t="s">
        <v>593</v>
      </c>
      <c r="B121" s="195" t="s">
        <v>613</v>
      </c>
      <c r="C121" s="195">
        <v>90</v>
      </c>
      <c r="D121" s="195" t="s">
        <v>659</v>
      </c>
      <c r="E121" s="288"/>
      <c r="F121" s="204">
        <v>2</v>
      </c>
      <c r="G121" s="204"/>
      <c r="H121" s="197"/>
      <c r="I121" s="198"/>
      <c r="J121" s="205">
        <v>1.33</v>
      </c>
      <c r="K121" s="287">
        <v>1.33</v>
      </c>
      <c r="L121" s="206">
        <v>23.76</v>
      </c>
      <c r="M121" s="286">
        <v>23.76</v>
      </c>
      <c r="N121" s="552">
        <v>41791</v>
      </c>
      <c r="O121" s="205">
        <f t="shared" si="10"/>
        <v>0</v>
      </c>
      <c r="P121" s="555">
        <f>(1+$R$1)*Table33[[#This Row],[Hours]]</f>
        <v>0</v>
      </c>
      <c r="Q121" s="207">
        <f t="shared" si="9"/>
        <v>0</v>
      </c>
      <c r="R121" s="208">
        <f t="shared" si="11"/>
        <v>0</v>
      </c>
      <c r="S121" s="208">
        <f t="shared" si="12"/>
        <v>0</v>
      </c>
      <c r="T121" s="208" t="str">
        <f t="shared" si="13"/>
        <v/>
      </c>
      <c r="U121" s="195">
        <f>Table33[[#This Row],[gal/100ft]]*Table33[[#This Row],[QTY]]/100</f>
        <v>0</v>
      </c>
      <c r="V121" s="195"/>
      <c r="W121" s="195"/>
      <c r="X121" s="195"/>
      <c r="Y121" s="195"/>
    </row>
    <row r="122" spans="1:25" ht="12.75" x14ac:dyDescent="0.2">
      <c r="A122" s="195" t="s">
        <v>593</v>
      </c>
      <c r="B122" s="195" t="s">
        <v>613</v>
      </c>
      <c r="C122" s="195">
        <v>90</v>
      </c>
      <c r="D122" s="195" t="s">
        <v>658</v>
      </c>
      <c r="E122" s="288"/>
      <c r="F122" s="204">
        <v>0.5</v>
      </c>
      <c r="G122" s="204"/>
      <c r="H122" s="197"/>
      <c r="I122" s="198"/>
      <c r="J122" s="205">
        <v>0.45</v>
      </c>
      <c r="K122" s="287">
        <v>0.45</v>
      </c>
      <c r="L122" s="206">
        <v>17.309999999999999</v>
      </c>
      <c r="M122" s="286">
        <v>17.309999999999999</v>
      </c>
      <c r="N122" s="552">
        <v>41791</v>
      </c>
      <c r="O122" s="205">
        <f t="shared" si="10"/>
        <v>0</v>
      </c>
      <c r="P122" s="555">
        <f>(1+$R$1)*Table33[[#This Row],[Hours]]</f>
        <v>0</v>
      </c>
      <c r="Q122" s="207">
        <f t="shared" si="9"/>
        <v>0</v>
      </c>
      <c r="R122" s="208">
        <f t="shared" si="11"/>
        <v>0</v>
      </c>
      <c r="S122" s="208">
        <f t="shared" si="12"/>
        <v>0</v>
      </c>
      <c r="T122" s="208" t="str">
        <f t="shared" si="13"/>
        <v/>
      </c>
      <c r="U122" s="195">
        <f>Table33[[#This Row],[gal/100ft]]*Table33[[#This Row],[QTY]]/100</f>
        <v>0</v>
      </c>
      <c r="V122" s="195"/>
      <c r="W122" s="195"/>
      <c r="X122" s="195"/>
      <c r="Y122" s="195"/>
    </row>
    <row r="123" spans="1:25" ht="12.75" x14ac:dyDescent="0.2">
      <c r="A123" s="195" t="s">
        <v>593</v>
      </c>
      <c r="B123" s="195" t="s">
        <v>613</v>
      </c>
      <c r="C123" s="195">
        <v>90</v>
      </c>
      <c r="D123" s="195" t="s">
        <v>658</v>
      </c>
      <c r="E123" s="288"/>
      <c r="F123" s="204">
        <v>1</v>
      </c>
      <c r="G123" s="204"/>
      <c r="H123" s="197"/>
      <c r="I123" s="198"/>
      <c r="J123" s="205">
        <v>0.76</v>
      </c>
      <c r="K123" s="287">
        <v>0.76</v>
      </c>
      <c r="L123" s="206">
        <v>38.520000000000003</v>
      </c>
      <c r="M123" s="286">
        <v>38.520000000000003</v>
      </c>
      <c r="N123" s="552">
        <v>41791</v>
      </c>
      <c r="O123" s="205">
        <f t="shared" si="10"/>
        <v>0</v>
      </c>
      <c r="P123" s="555">
        <f>(1+$R$1)*Table33[[#This Row],[Hours]]</f>
        <v>0</v>
      </c>
      <c r="Q123" s="207">
        <f t="shared" si="9"/>
        <v>0</v>
      </c>
      <c r="R123" s="208">
        <f t="shared" si="11"/>
        <v>0</v>
      </c>
      <c r="S123" s="208">
        <f t="shared" si="12"/>
        <v>0</v>
      </c>
      <c r="T123" s="208" t="str">
        <f t="shared" si="13"/>
        <v/>
      </c>
      <c r="U123" s="195">
        <f>Table33[[#This Row],[gal/100ft]]*Table33[[#This Row],[QTY]]/100</f>
        <v>0</v>
      </c>
      <c r="V123" s="195"/>
      <c r="W123" s="195"/>
      <c r="X123" s="195"/>
      <c r="Y123" s="195"/>
    </row>
    <row r="124" spans="1:25" ht="12.75" x14ac:dyDescent="0.2">
      <c r="A124" s="195" t="s">
        <v>593</v>
      </c>
      <c r="B124" s="195" t="s">
        <v>613</v>
      </c>
      <c r="C124" s="195">
        <v>90</v>
      </c>
      <c r="D124" s="195" t="s">
        <v>658</v>
      </c>
      <c r="E124" s="288"/>
      <c r="F124" s="204">
        <v>1.5</v>
      </c>
      <c r="G124" s="204"/>
      <c r="H124" s="197"/>
      <c r="I124" s="198"/>
      <c r="J124" s="205">
        <v>0.97</v>
      </c>
      <c r="K124" s="287">
        <v>0.97</v>
      </c>
      <c r="L124" s="206">
        <v>69.7</v>
      </c>
      <c r="M124" s="286">
        <v>69.7</v>
      </c>
      <c r="N124" s="552">
        <v>41791</v>
      </c>
      <c r="O124" s="205">
        <f t="shared" si="10"/>
        <v>0</v>
      </c>
      <c r="P124" s="555">
        <f>(1+$R$1)*Table33[[#This Row],[Hours]]</f>
        <v>0</v>
      </c>
      <c r="Q124" s="207">
        <f t="shared" si="9"/>
        <v>0</v>
      </c>
      <c r="R124" s="208">
        <f t="shared" si="11"/>
        <v>0</v>
      </c>
      <c r="S124" s="208">
        <f t="shared" si="12"/>
        <v>0</v>
      </c>
      <c r="T124" s="208" t="str">
        <f t="shared" si="13"/>
        <v/>
      </c>
      <c r="U124" s="195">
        <f>Table33[[#This Row],[gal/100ft]]*Table33[[#This Row],[QTY]]/100</f>
        <v>0</v>
      </c>
      <c r="V124" s="195"/>
      <c r="W124" s="195"/>
      <c r="X124" s="195"/>
      <c r="Y124" s="195"/>
    </row>
    <row r="125" spans="1:25" ht="12.75" x14ac:dyDescent="0.2">
      <c r="A125" s="195" t="s">
        <v>593</v>
      </c>
      <c r="B125" s="195" t="s">
        <v>613</v>
      </c>
      <c r="C125" s="195">
        <v>90</v>
      </c>
      <c r="D125" s="195" t="s">
        <v>658</v>
      </c>
      <c r="E125" s="288"/>
      <c r="F125" s="204">
        <v>2</v>
      </c>
      <c r="G125" s="204"/>
      <c r="H125" s="197"/>
      <c r="I125" s="198"/>
      <c r="J125" s="205">
        <v>1.1399999999999999</v>
      </c>
      <c r="K125" s="287">
        <v>1.1399999999999999</v>
      </c>
      <c r="L125" s="206">
        <v>81.459999999999994</v>
      </c>
      <c r="M125" s="286">
        <v>81.459999999999994</v>
      </c>
      <c r="N125" s="552">
        <v>41791</v>
      </c>
      <c r="O125" s="205">
        <f t="shared" si="10"/>
        <v>0</v>
      </c>
      <c r="P125" s="555">
        <f>(1+$R$1)*Table33[[#This Row],[Hours]]</f>
        <v>0</v>
      </c>
      <c r="Q125" s="207">
        <f t="shared" si="9"/>
        <v>0</v>
      </c>
      <c r="R125" s="208">
        <f t="shared" si="11"/>
        <v>0</v>
      </c>
      <c r="S125" s="208">
        <f t="shared" si="12"/>
        <v>0</v>
      </c>
      <c r="T125" s="208" t="str">
        <f t="shared" si="13"/>
        <v/>
      </c>
      <c r="U125" s="195">
        <f>Table33[[#This Row],[gal/100ft]]*Table33[[#This Row],[QTY]]/100</f>
        <v>0</v>
      </c>
      <c r="V125" s="195"/>
      <c r="W125" s="195"/>
      <c r="X125" s="195"/>
      <c r="Y125" s="195"/>
    </row>
    <row r="126" spans="1:25" ht="12.75" x14ac:dyDescent="0.2">
      <c r="A126" s="195" t="s">
        <v>593</v>
      </c>
      <c r="B126" s="195" t="s">
        <v>613</v>
      </c>
      <c r="C126" s="195">
        <v>90</v>
      </c>
      <c r="D126" s="195" t="s">
        <v>658</v>
      </c>
      <c r="E126" s="288"/>
      <c r="F126" s="204">
        <v>1.25</v>
      </c>
      <c r="G126" s="204"/>
      <c r="H126" s="197"/>
      <c r="I126" s="198"/>
      <c r="J126" s="205">
        <v>0.88</v>
      </c>
      <c r="K126" s="287">
        <v>0.88</v>
      </c>
      <c r="L126" s="206">
        <v>62.81</v>
      </c>
      <c r="M126" s="286">
        <v>62.81</v>
      </c>
      <c r="N126" s="552">
        <v>41791</v>
      </c>
      <c r="O126" s="205">
        <f t="shared" si="10"/>
        <v>0</v>
      </c>
      <c r="P126" s="555">
        <f>(1+$R$1)*Table33[[#This Row],[Hours]]</f>
        <v>0</v>
      </c>
      <c r="Q126" s="207">
        <f t="shared" si="9"/>
        <v>0</v>
      </c>
      <c r="R126" s="208">
        <f t="shared" si="11"/>
        <v>0</v>
      </c>
      <c r="S126" s="208">
        <f t="shared" si="12"/>
        <v>0</v>
      </c>
      <c r="T126" s="208" t="str">
        <f t="shared" si="13"/>
        <v/>
      </c>
      <c r="U126" s="195">
        <f>Table33[[#This Row],[gal/100ft]]*Table33[[#This Row],[QTY]]/100</f>
        <v>0</v>
      </c>
      <c r="V126" s="195"/>
      <c r="W126" s="195"/>
      <c r="X126" s="195"/>
      <c r="Y126" s="195"/>
    </row>
    <row r="127" spans="1:25" ht="12.75" x14ac:dyDescent="0.2">
      <c r="A127" s="195" t="s">
        <v>602</v>
      </c>
      <c r="B127" s="536" t="s">
        <v>874</v>
      </c>
      <c r="C127" s="195">
        <v>90</v>
      </c>
      <c r="D127" s="195" t="s">
        <v>603</v>
      </c>
      <c r="E127" s="288"/>
      <c r="F127" s="204">
        <v>3</v>
      </c>
      <c r="G127" s="204"/>
      <c r="H127" s="197"/>
      <c r="I127" s="198"/>
      <c r="J127" s="205">
        <v>3.88</v>
      </c>
      <c r="K127" s="287">
        <v>3.88</v>
      </c>
      <c r="L127" s="206">
        <v>6.85</v>
      </c>
      <c r="M127" s="286">
        <v>6.85</v>
      </c>
      <c r="N127" s="552">
        <v>41791</v>
      </c>
      <c r="O127" s="205">
        <f t="shared" si="10"/>
        <v>0</v>
      </c>
      <c r="P127" s="555">
        <f>(1+$R$1)*Table33[[#This Row],[Hours]]</f>
        <v>0</v>
      </c>
      <c r="Q127" s="207">
        <f t="shared" si="9"/>
        <v>0</v>
      </c>
      <c r="R127" s="208">
        <f t="shared" si="11"/>
        <v>0</v>
      </c>
      <c r="S127" s="208">
        <f t="shared" si="12"/>
        <v>0</v>
      </c>
      <c r="T127" s="208" t="str">
        <f t="shared" si="13"/>
        <v/>
      </c>
      <c r="U127" s="195">
        <f>Table33[[#This Row],[gal/100ft]]*Table33[[#This Row],[QTY]]/100</f>
        <v>0</v>
      </c>
      <c r="V127" s="195"/>
      <c r="W127" s="195"/>
      <c r="X127" s="195"/>
      <c r="Y127" s="195"/>
    </row>
    <row r="128" spans="1:25" ht="12.75" x14ac:dyDescent="0.2">
      <c r="A128" s="195" t="s">
        <v>602</v>
      </c>
      <c r="B128" s="536" t="s">
        <v>874</v>
      </c>
      <c r="C128" s="195">
        <v>90</v>
      </c>
      <c r="D128" s="195" t="s">
        <v>603</v>
      </c>
      <c r="E128" s="288"/>
      <c r="F128" s="204">
        <v>2.5</v>
      </c>
      <c r="G128" s="204"/>
      <c r="H128" s="197"/>
      <c r="I128" s="198"/>
      <c r="J128" s="205">
        <v>3.69</v>
      </c>
      <c r="K128" s="287">
        <v>3.69</v>
      </c>
      <c r="L128" s="206">
        <v>4.63</v>
      </c>
      <c r="M128" s="286">
        <v>4.63</v>
      </c>
      <c r="N128" s="552">
        <v>41791</v>
      </c>
      <c r="O128" s="205">
        <f t="shared" si="10"/>
        <v>0</v>
      </c>
      <c r="P128" s="555">
        <f>(1+$R$1)*Table33[[#This Row],[Hours]]</f>
        <v>0</v>
      </c>
      <c r="Q128" s="207">
        <f t="shared" si="9"/>
        <v>0</v>
      </c>
      <c r="R128" s="208">
        <f t="shared" si="11"/>
        <v>0</v>
      </c>
      <c r="S128" s="208">
        <f t="shared" si="12"/>
        <v>0</v>
      </c>
      <c r="T128" s="208" t="str">
        <f t="shared" si="13"/>
        <v/>
      </c>
      <c r="U128" s="195">
        <f>Table33[[#This Row],[gal/100ft]]*Table33[[#This Row],[QTY]]/100</f>
        <v>0</v>
      </c>
      <c r="V128" s="195"/>
      <c r="W128" s="195"/>
      <c r="X128" s="195"/>
      <c r="Y128" s="195"/>
    </row>
    <row r="129" spans="1:25" ht="12.75" x14ac:dyDescent="0.2">
      <c r="A129" s="195" t="s">
        <v>602</v>
      </c>
      <c r="B129" s="536" t="s">
        <v>874</v>
      </c>
      <c r="C129" s="195">
        <v>90</v>
      </c>
      <c r="D129" s="195" t="s">
        <v>603</v>
      </c>
      <c r="E129" s="288"/>
      <c r="F129" s="204">
        <v>3.5</v>
      </c>
      <c r="G129" s="204"/>
      <c r="H129" s="197"/>
      <c r="I129" s="198"/>
      <c r="J129" s="205">
        <v>4.43</v>
      </c>
      <c r="K129" s="287">
        <v>4.43</v>
      </c>
      <c r="L129" s="206">
        <v>11.28</v>
      </c>
      <c r="M129" s="286">
        <v>11.28</v>
      </c>
      <c r="N129" s="552">
        <v>41791</v>
      </c>
      <c r="O129" s="205">
        <f t="shared" si="10"/>
        <v>0</v>
      </c>
      <c r="P129" s="555">
        <f>(1+$R$1)*Table33[[#This Row],[Hours]]</f>
        <v>0</v>
      </c>
      <c r="Q129" s="207">
        <f t="shared" si="9"/>
        <v>0</v>
      </c>
      <c r="R129" s="208">
        <f t="shared" si="11"/>
        <v>0</v>
      </c>
      <c r="S129" s="208">
        <f t="shared" si="12"/>
        <v>0</v>
      </c>
      <c r="T129" s="208" t="str">
        <f t="shared" si="13"/>
        <v/>
      </c>
      <c r="U129" s="195">
        <f>Table33[[#This Row],[gal/100ft]]*Table33[[#This Row],[QTY]]/100</f>
        <v>0</v>
      </c>
      <c r="V129" s="195"/>
      <c r="W129" s="195"/>
      <c r="X129" s="195"/>
      <c r="Y129" s="195"/>
    </row>
    <row r="130" spans="1:25" ht="12.75" x14ac:dyDescent="0.2">
      <c r="A130" s="195" t="s">
        <v>602</v>
      </c>
      <c r="B130" s="536" t="s">
        <v>874</v>
      </c>
      <c r="C130" s="195">
        <v>90</v>
      </c>
      <c r="D130" s="195" t="s">
        <v>603</v>
      </c>
      <c r="E130" s="288"/>
      <c r="F130" s="204">
        <v>4</v>
      </c>
      <c r="G130" s="204"/>
      <c r="H130" s="197"/>
      <c r="I130" s="198"/>
      <c r="J130" s="205">
        <v>4.84</v>
      </c>
      <c r="K130" s="287">
        <v>4.84</v>
      </c>
      <c r="L130" s="206">
        <v>11.28</v>
      </c>
      <c r="M130" s="286">
        <v>11.28</v>
      </c>
      <c r="N130" s="552">
        <v>41791</v>
      </c>
      <c r="O130" s="205">
        <f t="shared" si="10"/>
        <v>0</v>
      </c>
      <c r="P130" s="555">
        <f>(1+$R$1)*Table33[[#This Row],[Hours]]</f>
        <v>0</v>
      </c>
      <c r="Q130" s="207">
        <f t="shared" si="9"/>
        <v>0</v>
      </c>
      <c r="R130" s="208">
        <f t="shared" si="11"/>
        <v>0</v>
      </c>
      <c r="S130" s="208">
        <f t="shared" si="12"/>
        <v>0</v>
      </c>
      <c r="T130" s="208" t="str">
        <f t="shared" si="13"/>
        <v/>
      </c>
      <c r="U130" s="195">
        <f>Table33[[#This Row],[gal/100ft]]*Table33[[#This Row],[QTY]]/100</f>
        <v>0</v>
      </c>
      <c r="V130" s="195"/>
      <c r="W130" s="195"/>
      <c r="X130" s="195"/>
      <c r="Y130" s="195"/>
    </row>
    <row r="131" spans="1:25" ht="12.75" x14ac:dyDescent="0.2">
      <c r="A131" s="195" t="s">
        <v>602</v>
      </c>
      <c r="B131" s="536" t="s">
        <v>874</v>
      </c>
      <c r="C131" s="195">
        <v>90</v>
      </c>
      <c r="D131" s="195" t="s">
        <v>603</v>
      </c>
      <c r="E131" s="288"/>
      <c r="F131" s="204">
        <v>5</v>
      </c>
      <c r="G131" s="204"/>
      <c r="H131" s="197"/>
      <c r="I131" s="198"/>
      <c r="J131" s="205">
        <v>5.63</v>
      </c>
      <c r="K131" s="287">
        <v>5.63</v>
      </c>
      <c r="L131" s="206">
        <v>24.33</v>
      </c>
      <c r="M131" s="286">
        <v>24.33</v>
      </c>
      <c r="N131" s="552">
        <v>41791</v>
      </c>
      <c r="O131" s="205">
        <f t="shared" si="10"/>
        <v>0</v>
      </c>
      <c r="P131" s="555">
        <f>(1+$R$1)*Table33[[#This Row],[Hours]]</f>
        <v>0</v>
      </c>
      <c r="Q131" s="207">
        <f t="shared" si="9"/>
        <v>0</v>
      </c>
      <c r="R131" s="208">
        <f t="shared" si="11"/>
        <v>0</v>
      </c>
      <c r="S131" s="208">
        <f t="shared" si="12"/>
        <v>0</v>
      </c>
      <c r="T131" s="208" t="str">
        <f t="shared" si="13"/>
        <v/>
      </c>
      <c r="U131" s="195">
        <f>Table33[[#This Row],[gal/100ft]]*Table33[[#This Row],[QTY]]/100</f>
        <v>0</v>
      </c>
      <c r="V131" s="195"/>
      <c r="W131" s="195"/>
      <c r="X131" s="195"/>
      <c r="Y131" s="195"/>
    </row>
    <row r="132" spans="1:25" ht="12.75" x14ac:dyDescent="0.2">
      <c r="A132" s="195" t="s">
        <v>602</v>
      </c>
      <c r="B132" s="536" t="s">
        <v>874</v>
      </c>
      <c r="C132" s="195">
        <v>90</v>
      </c>
      <c r="D132" s="195" t="s">
        <v>603</v>
      </c>
      <c r="E132" s="288"/>
      <c r="F132" s="204">
        <v>6</v>
      </c>
      <c r="G132" s="204"/>
      <c r="H132" s="197"/>
      <c r="I132" s="198"/>
      <c r="J132" s="205">
        <v>6.29</v>
      </c>
      <c r="K132" s="287">
        <v>6.29</v>
      </c>
      <c r="L132" s="206">
        <v>24.88</v>
      </c>
      <c r="M132" s="286">
        <v>24.88</v>
      </c>
      <c r="N132" s="552">
        <v>41791</v>
      </c>
      <c r="O132" s="205">
        <f t="shared" si="10"/>
        <v>0</v>
      </c>
      <c r="P132" s="555">
        <f>(1+$R$1)*Table33[[#This Row],[Hours]]</f>
        <v>0</v>
      </c>
      <c r="Q132" s="207">
        <f t="shared" si="9"/>
        <v>0</v>
      </c>
      <c r="R132" s="208">
        <f t="shared" si="11"/>
        <v>0</v>
      </c>
      <c r="S132" s="208">
        <f t="shared" si="12"/>
        <v>0</v>
      </c>
      <c r="T132" s="208" t="str">
        <f t="shared" si="13"/>
        <v/>
      </c>
      <c r="U132" s="195">
        <f>Table33[[#This Row],[gal/100ft]]*Table33[[#This Row],[QTY]]/100</f>
        <v>0</v>
      </c>
      <c r="V132" s="195"/>
      <c r="W132" s="195"/>
      <c r="X132" s="195"/>
      <c r="Y132" s="195"/>
    </row>
    <row r="133" spans="1:25" ht="12.75" x14ac:dyDescent="0.2">
      <c r="A133" s="195" t="s">
        <v>602</v>
      </c>
      <c r="B133" s="536" t="s">
        <v>874</v>
      </c>
      <c r="C133" s="195">
        <v>90</v>
      </c>
      <c r="D133" s="195" t="s">
        <v>603</v>
      </c>
      <c r="E133" s="288"/>
      <c r="F133" s="204">
        <v>8</v>
      </c>
      <c r="G133" s="204"/>
      <c r="H133" s="197"/>
      <c r="I133" s="198"/>
      <c r="J133" s="205">
        <v>8.1199999999999992</v>
      </c>
      <c r="K133" s="287">
        <v>8.1199999999999992</v>
      </c>
      <c r="L133" s="206">
        <v>46.99</v>
      </c>
      <c r="M133" s="286">
        <v>46.99</v>
      </c>
      <c r="N133" s="552">
        <v>41791</v>
      </c>
      <c r="O133" s="205">
        <f t="shared" si="10"/>
        <v>0</v>
      </c>
      <c r="P133" s="555">
        <f>(1+$R$1)*Table33[[#This Row],[Hours]]</f>
        <v>0</v>
      </c>
      <c r="Q133" s="207">
        <f t="shared" si="9"/>
        <v>0</v>
      </c>
      <c r="R133" s="208">
        <f t="shared" si="11"/>
        <v>0</v>
      </c>
      <c r="S133" s="208">
        <f t="shared" si="12"/>
        <v>0</v>
      </c>
      <c r="T133" s="208" t="str">
        <f t="shared" si="13"/>
        <v/>
      </c>
      <c r="U133" s="195">
        <f>Table33[[#This Row],[gal/100ft]]*Table33[[#This Row],[QTY]]/100</f>
        <v>0</v>
      </c>
      <c r="V133" s="195"/>
      <c r="W133" s="195"/>
      <c r="X133" s="195"/>
      <c r="Y133" s="195"/>
    </row>
    <row r="134" spans="1:25" ht="12.75" x14ac:dyDescent="0.2">
      <c r="A134" s="195" t="s">
        <v>602</v>
      </c>
      <c r="B134" s="536" t="s">
        <v>874</v>
      </c>
      <c r="C134" s="195">
        <v>90</v>
      </c>
      <c r="D134" s="195" t="s">
        <v>603</v>
      </c>
      <c r="E134" s="288"/>
      <c r="F134" s="204">
        <v>10</v>
      </c>
      <c r="G134" s="204"/>
      <c r="H134" s="197"/>
      <c r="I134" s="198"/>
      <c r="J134" s="205">
        <v>10.53</v>
      </c>
      <c r="K134" s="287">
        <v>10.53</v>
      </c>
      <c r="L134" s="206">
        <v>93.53</v>
      </c>
      <c r="M134" s="286">
        <v>93.53</v>
      </c>
      <c r="N134" s="552">
        <v>41791</v>
      </c>
      <c r="O134" s="205">
        <f t="shared" si="10"/>
        <v>0</v>
      </c>
      <c r="P134" s="555">
        <f>(1+$R$1)*Table33[[#This Row],[Hours]]</f>
        <v>0</v>
      </c>
      <c r="Q134" s="207">
        <f t="shared" si="9"/>
        <v>0</v>
      </c>
      <c r="R134" s="208">
        <f t="shared" si="11"/>
        <v>0</v>
      </c>
      <c r="S134" s="208">
        <f t="shared" si="12"/>
        <v>0</v>
      </c>
      <c r="T134" s="208" t="str">
        <f t="shared" si="13"/>
        <v/>
      </c>
      <c r="U134" s="195">
        <f>Table33[[#This Row],[gal/100ft]]*Table33[[#This Row],[QTY]]/100</f>
        <v>0</v>
      </c>
      <c r="V134" s="195"/>
      <c r="W134" s="195"/>
      <c r="X134" s="195"/>
      <c r="Y134" s="195"/>
    </row>
    <row r="135" spans="1:25" ht="12.75" x14ac:dyDescent="0.2">
      <c r="A135" s="195" t="s">
        <v>602</v>
      </c>
      <c r="B135" s="536" t="s">
        <v>874</v>
      </c>
      <c r="C135" s="195">
        <v>90</v>
      </c>
      <c r="D135" s="195" t="s">
        <v>603</v>
      </c>
      <c r="E135" s="288"/>
      <c r="F135" s="204">
        <v>10</v>
      </c>
      <c r="G135" s="204"/>
      <c r="H135" s="197"/>
      <c r="I135" s="198"/>
      <c r="J135" s="205">
        <v>10.53</v>
      </c>
      <c r="K135" s="287">
        <v>10.53</v>
      </c>
      <c r="L135" s="206">
        <v>93.53</v>
      </c>
      <c r="M135" s="286">
        <v>93.53</v>
      </c>
      <c r="N135" s="552">
        <v>41791</v>
      </c>
      <c r="O135" s="205">
        <f t="shared" si="10"/>
        <v>0</v>
      </c>
      <c r="P135" s="555">
        <f>(1+$R$1)*Table33[[#This Row],[Hours]]</f>
        <v>0</v>
      </c>
      <c r="Q135" s="207">
        <f t="shared" ref="Q135:Q198" si="14">P135*$O$1</f>
        <v>0</v>
      </c>
      <c r="R135" s="208">
        <f t="shared" si="11"/>
        <v>0</v>
      </c>
      <c r="S135" s="208">
        <f t="shared" si="12"/>
        <v>0</v>
      </c>
      <c r="T135" s="208" t="str">
        <f t="shared" si="13"/>
        <v/>
      </c>
      <c r="U135" s="195">
        <f>Table33[[#This Row],[gal/100ft]]*Table33[[#This Row],[QTY]]/100</f>
        <v>0</v>
      </c>
      <c r="V135" s="195"/>
      <c r="W135" s="195"/>
      <c r="X135" s="195"/>
      <c r="Y135" s="195"/>
    </row>
    <row r="136" spans="1:25" ht="12.75" x14ac:dyDescent="0.2">
      <c r="A136" s="195" t="s">
        <v>602</v>
      </c>
      <c r="B136" s="536" t="s">
        <v>874</v>
      </c>
      <c r="C136" s="195">
        <v>90</v>
      </c>
      <c r="D136" s="195" t="s">
        <v>603</v>
      </c>
      <c r="E136" s="288"/>
      <c r="F136" s="204">
        <v>12</v>
      </c>
      <c r="G136" s="204"/>
      <c r="H136" s="197"/>
      <c r="I136" s="198"/>
      <c r="J136" s="205">
        <v>12.97</v>
      </c>
      <c r="K136" s="287">
        <v>12.97</v>
      </c>
      <c r="L136" s="206">
        <v>138.53</v>
      </c>
      <c r="M136" s="286">
        <v>138.53</v>
      </c>
      <c r="N136" s="552">
        <v>41791</v>
      </c>
      <c r="O136" s="205">
        <f t="shared" si="10"/>
        <v>0</v>
      </c>
      <c r="P136" s="555">
        <f>(1+$R$1)*Table33[[#This Row],[Hours]]</f>
        <v>0</v>
      </c>
      <c r="Q136" s="207">
        <f t="shared" si="14"/>
        <v>0</v>
      </c>
      <c r="R136" s="208">
        <f t="shared" si="11"/>
        <v>0</v>
      </c>
      <c r="S136" s="208">
        <f t="shared" si="12"/>
        <v>0</v>
      </c>
      <c r="T136" s="208" t="str">
        <f t="shared" si="13"/>
        <v/>
      </c>
      <c r="U136" s="195">
        <f>Table33[[#This Row],[gal/100ft]]*Table33[[#This Row],[QTY]]/100</f>
        <v>0</v>
      </c>
      <c r="V136" s="195"/>
      <c r="W136" s="195"/>
      <c r="X136" s="195"/>
      <c r="Y136" s="195"/>
    </row>
    <row r="137" spans="1:25" ht="12.75" x14ac:dyDescent="0.2">
      <c r="A137" s="195" t="s">
        <v>602</v>
      </c>
      <c r="B137" s="536" t="s">
        <v>874</v>
      </c>
      <c r="C137" s="195">
        <v>90</v>
      </c>
      <c r="D137" s="195" t="s">
        <v>603</v>
      </c>
      <c r="E137" s="288"/>
      <c r="F137" s="204">
        <v>12</v>
      </c>
      <c r="G137" s="204"/>
      <c r="H137" s="197"/>
      <c r="I137" s="198"/>
      <c r="J137" s="205">
        <v>12.97</v>
      </c>
      <c r="K137" s="287">
        <v>12.97</v>
      </c>
      <c r="L137" s="206">
        <v>138.53</v>
      </c>
      <c r="M137" s="286">
        <v>138.53</v>
      </c>
      <c r="N137" s="552">
        <v>41791</v>
      </c>
      <c r="O137" s="205">
        <f t="shared" si="10"/>
        <v>0</v>
      </c>
      <c r="P137" s="555">
        <f>(1+$R$1)*Table33[[#This Row],[Hours]]</f>
        <v>0</v>
      </c>
      <c r="Q137" s="207">
        <f t="shared" si="14"/>
        <v>0</v>
      </c>
      <c r="R137" s="208">
        <f t="shared" si="11"/>
        <v>0</v>
      </c>
      <c r="S137" s="208">
        <f t="shared" si="12"/>
        <v>0</v>
      </c>
      <c r="T137" s="208" t="str">
        <f t="shared" si="13"/>
        <v/>
      </c>
      <c r="U137" s="195">
        <f>Table33[[#This Row],[gal/100ft]]*Table33[[#This Row],[QTY]]/100</f>
        <v>0</v>
      </c>
      <c r="V137" s="195"/>
      <c r="W137" s="195"/>
      <c r="X137" s="195"/>
      <c r="Y137" s="195"/>
    </row>
    <row r="138" spans="1:25" ht="12.75" x14ac:dyDescent="0.2">
      <c r="A138" s="195" t="s">
        <v>602</v>
      </c>
      <c r="B138" s="536" t="s">
        <v>874</v>
      </c>
      <c r="C138" s="195">
        <v>90</v>
      </c>
      <c r="D138" s="195" t="s">
        <v>603</v>
      </c>
      <c r="E138" s="288"/>
      <c r="F138" s="204">
        <v>14</v>
      </c>
      <c r="G138" s="204"/>
      <c r="H138" s="197"/>
      <c r="I138" s="198"/>
      <c r="J138" s="205">
        <v>15.38</v>
      </c>
      <c r="K138" s="287">
        <v>15.38</v>
      </c>
      <c r="L138" s="206">
        <v>164.9</v>
      </c>
      <c r="M138" s="286">
        <v>164.9</v>
      </c>
      <c r="N138" s="552">
        <v>41791</v>
      </c>
      <c r="O138" s="205">
        <f t="shared" si="10"/>
        <v>0</v>
      </c>
      <c r="P138" s="555">
        <f>(1+$R$1)*Table33[[#This Row],[Hours]]</f>
        <v>0</v>
      </c>
      <c r="Q138" s="207">
        <f t="shared" si="14"/>
        <v>0</v>
      </c>
      <c r="R138" s="208">
        <f t="shared" si="11"/>
        <v>0</v>
      </c>
      <c r="S138" s="208">
        <f t="shared" si="12"/>
        <v>0</v>
      </c>
      <c r="T138" s="208" t="str">
        <f t="shared" si="13"/>
        <v/>
      </c>
      <c r="U138" s="195">
        <f>Table33[[#This Row],[gal/100ft]]*Table33[[#This Row],[QTY]]/100</f>
        <v>0</v>
      </c>
      <c r="V138" s="195"/>
      <c r="W138" s="195"/>
      <c r="X138" s="195"/>
      <c r="Y138" s="195"/>
    </row>
    <row r="139" spans="1:25" ht="12.75" x14ac:dyDescent="0.2">
      <c r="A139" s="195" t="s">
        <v>602</v>
      </c>
      <c r="B139" s="536" t="s">
        <v>874</v>
      </c>
      <c r="C139" s="195">
        <v>90</v>
      </c>
      <c r="D139" s="195" t="s">
        <v>603</v>
      </c>
      <c r="E139" s="288"/>
      <c r="F139" s="204">
        <v>14</v>
      </c>
      <c r="G139" s="204"/>
      <c r="H139" s="197"/>
      <c r="I139" s="198"/>
      <c r="J139" s="205">
        <v>15.38</v>
      </c>
      <c r="K139" s="287">
        <v>15.38</v>
      </c>
      <c r="L139" s="206">
        <v>164.9</v>
      </c>
      <c r="M139" s="286">
        <v>164.9</v>
      </c>
      <c r="N139" s="552">
        <v>41791</v>
      </c>
      <c r="O139" s="205">
        <f t="shared" si="10"/>
        <v>0</v>
      </c>
      <c r="P139" s="555">
        <f>(1+$R$1)*Table33[[#This Row],[Hours]]</f>
        <v>0</v>
      </c>
      <c r="Q139" s="207">
        <f t="shared" si="14"/>
        <v>0</v>
      </c>
      <c r="R139" s="208">
        <f t="shared" si="11"/>
        <v>0</v>
      </c>
      <c r="S139" s="208">
        <f t="shared" si="12"/>
        <v>0</v>
      </c>
      <c r="T139" s="208" t="str">
        <f t="shared" si="13"/>
        <v/>
      </c>
      <c r="U139" s="195">
        <f>Table33[[#This Row],[gal/100ft]]*Table33[[#This Row],[QTY]]/100</f>
        <v>0</v>
      </c>
      <c r="V139" s="195"/>
      <c r="W139" s="195"/>
      <c r="X139" s="195"/>
      <c r="Y139" s="195"/>
    </row>
    <row r="140" spans="1:25" ht="12.75" x14ac:dyDescent="0.2">
      <c r="A140" s="195" t="s">
        <v>602</v>
      </c>
      <c r="B140" s="536" t="s">
        <v>874</v>
      </c>
      <c r="C140" s="195">
        <v>90</v>
      </c>
      <c r="D140" s="195" t="s">
        <v>603</v>
      </c>
      <c r="E140" s="288"/>
      <c r="F140" s="204">
        <v>16</v>
      </c>
      <c r="G140" s="204"/>
      <c r="H140" s="197"/>
      <c r="I140" s="198"/>
      <c r="J140" s="205">
        <v>18.02</v>
      </c>
      <c r="K140" s="287">
        <v>18.02</v>
      </c>
      <c r="L140" s="206">
        <v>224.87</v>
      </c>
      <c r="M140" s="286">
        <v>224.87</v>
      </c>
      <c r="N140" s="552">
        <v>41791</v>
      </c>
      <c r="O140" s="205">
        <f t="shared" si="10"/>
        <v>0</v>
      </c>
      <c r="P140" s="555">
        <f>(1+$R$1)*Table33[[#This Row],[Hours]]</f>
        <v>0</v>
      </c>
      <c r="Q140" s="207">
        <f t="shared" si="14"/>
        <v>0</v>
      </c>
      <c r="R140" s="208">
        <f t="shared" si="11"/>
        <v>0</v>
      </c>
      <c r="S140" s="208">
        <f t="shared" si="12"/>
        <v>0</v>
      </c>
      <c r="T140" s="208" t="str">
        <f t="shared" si="13"/>
        <v/>
      </c>
      <c r="U140" s="195">
        <f>Table33[[#This Row],[gal/100ft]]*Table33[[#This Row],[QTY]]/100</f>
        <v>0</v>
      </c>
      <c r="V140" s="195"/>
      <c r="W140" s="195"/>
      <c r="X140" s="195"/>
      <c r="Y140" s="195"/>
    </row>
    <row r="141" spans="1:25" ht="12.75" x14ac:dyDescent="0.2">
      <c r="A141" s="195" t="s">
        <v>602</v>
      </c>
      <c r="B141" s="536" t="s">
        <v>874</v>
      </c>
      <c r="C141" s="195">
        <v>90</v>
      </c>
      <c r="D141" s="195" t="s">
        <v>603</v>
      </c>
      <c r="E141" s="288"/>
      <c r="F141" s="204">
        <v>16</v>
      </c>
      <c r="G141" s="204"/>
      <c r="H141" s="197"/>
      <c r="I141" s="198"/>
      <c r="J141" s="205">
        <v>18.02</v>
      </c>
      <c r="K141" s="287">
        <v>18.02</v>
      </c>
      <c r="L141" s="206">
        <v>224.87</v>
      </c>
      <c r="M141" s="286">
        <v>224.87</v>
      </c>
      <c r="N141" s="552">
        <v>41791</v>
      </c>
      <c r="O141" s="205">
        <f t="shared" si="10"/>
        <v>0</v>
      </c>
      <c r="P141" s="555">
        <f>(1+$R$1)*Table33[[#This Row],[Hours]]</f>
        <v>0</v>
      </c>
      <c r="Q141" s="207">
        <f t="shared" si="14"/>
        <v>0</v>
      </c>
      <c r="R141" s="208">
        <f t="shared" si="11"/>
        <v>0</v>
      </c>
      <c r="S141" s="208">
        <f t="shared" si="12"/>
        <v>0</v>
      </c>
      <c r="T141" s="208" t="str">
        <f t="shared" si="13"/>
        <v/>
      </c>
      <c r="U141" s="195">
        <f>Table33[[#This Row],[gal/100ft]]*Table33[[#This Row],[QTY]]/100</f>
        <v>0</v>
      </c>
      <c r="V141" s="195"/>
      <c r="W141" s="195"/>
      <c r="X141" s="195"/>
      <c r="Y141" s="195"/>
    </row>
    <row r="142" spans="1:25" ht="12.75" x14ac:dyDescent="0.2">
      <c r="A142" s="195" t="s">
        <v>602</v>
      </c>
      <c r="B142" s="536" t="s">
        <v>874</v>
      </c>
      <c r="C142" s="195">
        <v>90</v>
      </c>
      <c r="D142" s="195" t="s">
        <v>603</v>
      </c>
      <c r="E142" s="288"/>
      <c r="F142" s="204">
        <v>18</v>
      </c>
      <c r="G142" s="204"/>
      <c r="H142" s="197"/>
      <c r="I142" s="198"/>
      <c r="J142" s="205">
        <v>20.53</v>
      </c>
      <c r="K142" s="287">
        <v>20.53</v>
      </c>
      <c r="L142" s="206">
        <v>297.62</v>
      </c>
      <c r="M142" s="286">
        <v>297.62</v>
      </c>
      <c r="N142" s="552">
        <v>41791</v>
      </c>
      <c r="O142" s="205">
        <f t="shared" si="10"/>
        <v>0</v>
      </c>
      <c r="P142" s="555">
        <f>(1+$R$1)*Table33[[#This Row],[Hours]]</f>
        <v>0</v>
      </c>
      <c r="Q142" s="207">
        <f t="shared" si="14"/>
        <v>0</v>
      </c>
      <c r="R142" s="208">
        <f t="shared" si="11"/>
        <v>0</v>
      </c>
      <c r="S142" s="208">
        <f t="shared" si="12"/>
        <v>0</v>
      </c>
      <c r="T142" s="208" t="str">
        <f t="shared" si="13"/>
        <v/>
      </c>
      <c r="U142" s="195">
        <f>Table33[[#This Row],[gal/100ft]]*Table33[[#This Row],[QTY]]/100</f>
        <v>0</v>
      </c>
      <c r="V142" s="195"/>
      <c r="W142" s="195"/>
      <c r="X142" s="195"/>
      <c r="Y142" s="195"/>
    </row>
    <row r="143" spans="1:25" ht="12.75" x14ac:dyDescent="0.2">
      <c r="A143" s="195" t="s">
        <v>602</v>
      </c>
      <c r="B143" s="536" t="s">
        <v>874</v>
      </c>
      <c r="C143" s="195">
        <v>90</v>
      </c>
      <c r="D143" s="195" t="s">
        <v>603</v>
      </c>
      <c r="E143" s="288"/>
      <c r="F143" s="204">
        <v>18</v>
      </c>
      <c r="G143" s="204"/>
      <c r="H143" s="197"/>
      <c r="I143" s="198"/>
      <c r="J143" s="205">
        <v>20.53</v>
      </c>
      <c r="K143" s="287">
        <v>20.53</v>
      </c>
      <c r="L143" s="206">
        <v>297.62</v>
      </c>
      <c r="M143" s="286">
        <v>297.62</v>
      </c>
      <c r="N143" s="552">
        <v>41791</v>
      </c>
      <c r="O143" s="205">
        <f t="shared" si="10"/>
        <v>0</v>
      </c>
      <c r="P143" s="555">
        <f>(1+$R$1)*Table33[[#This Row],[Hours]]</f>
        <v>0</v>
      </c>
      <c r="Q143" s="207">
        <f t="shared" si="14"/>
        <v>0</v>
      </c>
      <c r="R143" s="208">
        <f t="shared" si="11"/>
        <v>0</v>
      </c>
      <c r="S143" s="208">
        <f t="shared" si="12"/>
        <v>0</v>
      </c>
      <c r="T143" s="208" t="str">
        <f t="shared" si="13"/>
        <v/>
      </c>
      <c r="U143" s="195">
        <f>Table33[[#This Row],[gal/100ft]]*Table33[[#This Row],[QTY]]/100</f>
        <v>0</v>
      </c>
      <c r="V143" s="195"/>
      <c r="W143" s="195"/>
      <c r="X143" s="195"/>
      <c r="Y143" s="195"/>
    </row>
    <row r="144" spans="1:25" ht="12.75" x14ac:dyDescent="0.2">
      <c r="A144" s="195" t="s">
        <v>602</v>
      </c>
      <c r="B144" s="536" t="s">
        <v>874</v>
      </c>
      <c r="C144" s="195">
        <v>90</v>
      </c>
      <c r="D144" s="195" t="s">
        <v>603</v>
      </c>
      <c r="E144" s="288"/>
      <c r="F144" s="204">
        <v>20</v>
      </c>
      <c r="G144" s="204"/>
      <c r="H144" s="197"/>
      <c r="I144" s="198"/>
      <c r="J144" s="205">
        <v>22.77</v>
      </c>
      <c r="K144" s="287">
        <v>22.77</v>
      </c>
      <c r="L144" s="206">
        <v>411.7</v>
      </c>
      <c r="M144" s="286">
        <v>411.7</v>
      </c>
      <c r="N144" s="552">
        <v>41791</v>
      </c>
      <c r="O144" s="205">
        <f t="shared" si="10"/>
        <v>0</v>
      </c>
      <c r="P144" s="555">
        <f>(1+$R$1)*Table33[[#This Row],[Hours]]</f>
        <v>0</v>
      </c>
      <c r="Q144" s="207">
        <f t="shared" si="14"/>
        <v>0</v>
      </c>
      <c r="R144" s="208">
        <f t="shared" si="11"/>
        <v>0</v>
      </c>
      <c r="S144" s="208">
        <f t="shared" si="12"/>
        <v>0</v>
      </c>
      <c r="T144" s="208" t="str">
        <f t="shared" si="13"/>
        <v/>
      </c>
      <c r="U144" s="195">
        <f>Table33[[#This Row],[gal/100ft]]*Table33[[#This Row],[QTY]]/100</f>
        <v>0</v>
      </c>
      <c r="V144" s="195"/>
      <c r="W144" s="195"/>
      <c r="X144" s="195"/>
      <c r="Y144" s="195"/>
    </row>
    <row r="145" spans="1:25" ht="12.75" x14ac:dyDescent="0.2">
      <c r="A145" s="195" t="s">
        <v>602</v>
      </c>
      <c r="B145" s="536" t="s">
        <v>874</v>
      </c>
      <c r="C145" s="195">
        <v>90</v>
      </c>
      <c r="D145" s="195" t="s">
        <v>603</v>
      </c>
      <c r="E145" s="288"/>
      <c r="F145" s="204">
        <v>20</v>
      </c>
      <c r="G145" s="204"/>
      <c r="H145" s="197"/>
      <c r="I145" s="198"/>
      <c r="J145" s="205">
        <v>22.77</v>
      </c>
      <c r="K145" s="287">
        <v>22.77</v>
      </c>
      <c r="L145" s="206">
        <v>411.7</v>
      </c>
      <c r="M145" s="286">
        <v>411.7</v>
      </c>
      <c r="N145" s="552">
        <v>41791</v>
      </c>
      <c r="O145" s="205">
        <f t="shared" si="10"/>
        <v>0</v>
      </c>
      <c r="P145" s="555">
        <f>(1+$R$1)*Table33[[#This Row],[Hours]]</f>
        <v>0</v>
      </c>
      <c r="Q145" s="207">
        <f t="shared" si="14"/>
        <v>0</v>
      </c>
      <c r="R145" s="208">
        <f t="shared" si="11"/>
        <v>0</v>
      </c>
      <c r="S145" s="208">
        <f t="shared" si="12"/>
        <v>0</v>
      </c>
      <c r="T145" s="208" t="str">
        <f t="shared" si="13"/>
        <v/>
      </c>
      <c r="U145" s="195">
        <f>Table33[[#This Row],[gal/100ft]]*Table33[[#This Row],[QTY]]/100</f>
        <v>0</v>
      </c>
      <c r="V145" s="195"/>
      <c r="W145" s="195"/>
      <c r="X145" s="195"/>
      <c r="Y145" s="195"/>
    </row>
    <row r="146" spans="1:25" ht="12.75" x14ac:dyDescent="0.2">
      <c r="A146" s="195" t="s">
        <v>602</v>
      </c>
      <c r="B146" s="536" t="s">
        <v>874</v>
      </c>
      <c r="C146" s="195">
        <v>90</v>
      </c>
      <c r="D146" s="195" t="s">
        <v>603</v>
      </c>
      <c r="E146" s="288"/>
      <c r="F146" s="204">
        <v>24</v>
      </c>
      <c r="G146" s="204"/>
      <c r="H146" s="197"/>
      <c r="I146" s="198"/>
      <c r="J146" s="205">
        <v>27.45</v>
      </c>
      <c r="K146" s="287">
        <v>27.45</v>
      </c>
      <c r="L146" s="206">
        <v>582.22</v>
      </c>
      <c r="M146" s="286">
        <v>582.22</v>
      </c>
      <c r="N146" s="552">
        <v>41791</v>
      </c>
      <c r="O146" s="205">
        <f t="shared" si="10"/>
        <v>0</v>
      </c>
      <c r="P146" s="555">
        <f>(1+$R$1)*Table33[[#This Row],[Hours]]</f>
        <v>0</v>
      </c>
      <c r="Q146" s="207">
        <f t="shared" si="14"/>
        <v>0</v>
      </c>
      <c r="R146" s="208">
        <f t="shared" si="11"/>
        <v>0</v>
      </c>
      <c r="S146" s="208">
        <f t="shared" si="12"/>
        <v>0</v>
      </c>
      <c r="T146" s="208" t="str">
        <f t="shared" si="13"/>
        <v/>
      </c>
      <c r="U146" s="195">
        <f>Table33[[#This Row],[gal/100ft]]*Table33[[#This Row],[QTY]]/100</f>
        <v>0</v>
      </c>
      <c r="V146" s="195"/>
      <c r="W146" s="195"/>
      <c r="X146" s="195"/>
      <c r="Y146" s="195"/>
    </row>
    <row r="147" spans="1:25" ht="12.75" x14ac:dyDescent="0.2">
      <c r="A147" s="195" t="s">
        <v>602</v>
      </c>
      <c r="B147" s="536" t="s">
        <v>874</v>
      </c>
      <c r="C147" s="195">
        <v>90</v>
      </c>
      <c r="D147" s="195" t="s">
        <v>603</v>
      </c>
      <c r="E147" s="288"/>
      <c r="F147" s="204">
        <v>24</v>
      </c>
      <c r="G147" s="204"/>
      <c r="H147" s="197"/>
      <c r="I147" s="198"/>
      <c r="J147" s="205">
        <v>27.45</v>
      </c>
      <c r="K147" s="287">
        <v>27.45</v>
      </c>
      <c r="L147" s="206">
        <v>582.22</v>
      </c>
      <c r="M147" s="286">
        <v>582.22</v>
      </c>
      <c r="N147" s="552">
        <v>41791</v>
      </c>
      <c r="O147" s="205">
        <f t="shared" si="10"/>
        <v>0</v>
      </c>
      <c r="P147" s="555">
        <f>(1+$R$1)*Table33[[#This Row],[Hours]]</f>
        <v>0</v>
      </c>
      <c r="Q147" s="207">
        <f t="shared" si="14"/>
        <v>0</v>
      </c>
      <c r="R147" s="208">
        <f t="shared" si="11"/>
        <v>0</v>
      </c>
      <c r="S147" s="208">
        <f t="shared" si="12"/>
        <v>0</v>
      </c>
      <c r="T147" s="208" t="str">
        <f t="shared" si="13"/>
        <v/>
      </c>
      <c r="U147" s="195">
        <f>Table33[[#This Row],[gal/100ft]]*Table33[[#This Row],[QTY]]/100</f>
        <v>0</v>
      </c>
      <c r="V147" s="195"/>
      <c r="W147" s="195"/>
      <c r="X147" s="195"/>
      <c r="Y147" s="195"/>
    </row>
    <row r="148" spans="1:25" ht="12.75" x14ac:dyDescent="0.2">
      <c r="A148" s="195" t="s">
        <v>602</v>
      </c>
      <c r="B148" s="536" t="s">
        <v>875</v>
      </c>
      <c r="C148" s="195">
        <v>90</v>
      </c>
      <c r="D148" s="195" t="s">
        <v>609</v>
      </c>
      <c r="E148" s="288"/>
      <c r="F148" s="204">
        <v>3</v>
      </c>
      <c r="G148" s="204"/>
      <c r="H148" s="197"/>
      <c r="I148" s="198"/>
      <c r="J148" s="205">
        <v>6.32</v>
      </c>
      <c r="K148" s="287">
        <v>6.32</v>
      </c>
      <c r="L148" s="206">
        <v>56</v>
      </c>
      <c r="M148" s="286">
        <v>56</v>
      </c>
      <c r="N148" s="552">
        <v>41791</v>
      </c>
      <c r="O148" s="205">
        <f t="shared" si="10"/>
        <v>0</v>
      </c>
      <c r="P148" s="555">
        <f>(1+$R$1)*Table33[[#This Row],[Hours]]</f>
        <v>0</v>
      </c>
      <c r="Q148" s="207">
        <f t="shared" si="14"/>
        <v>0</v>
      </c>
      <c r="R148" s="208">
        <f t="shared" si="11"/>
        <v>0</v>
      </c>
      <c r="S148" s="208">
        <f t="shared" si="12"/>
        <v>0</v>
      </c>
      <c r="T148" s="208" t="str">
        <f t="shared" si="13"/>
        <v/>
      </c>
      <c r="U148" s="195">
        <f>Table33[[#This Row],[gal/100ft]]*Table33[[#This Row],[QTY]]/100</f>
        <v>0</v>
      </c>
      <c r="V148" s="195"/>
      <c r="W148" s="195"/>
      <c r="X148" s="195"/>
      <c r="Y148" s="195"/>
    </row>
    <row r="149" spans="1:25" ht="12.75" x14ac:dyDescent="0.2">
      <c r="A149" s="195" t="s">
        <v>602</v>
      </c>
      <c r="B149" s="536" t="s">
        <v>875</v>
      </c>
      <c r="C149" s="195">
        <v>90</v>
      </c>
      <c r="D149" s="195" t="s">
        <v>609</v>
      </c>
      <c r="E149" s="288"/>
      <c r="F149" s="204">
        <v>0.5</v>
      </c>
      <c r="G149" s="204"/>
      <c r="H149" s="197"/>
      <c r="I149" s="198"/>
      <c r="J149" s="205">
        <v>1.27</v>
      </c>
      <c r="K149" s="287">
        <v>1.27</v>
      </c>
      <c r="L149" s="206">
        <v>18</v>
      </c>
      <c r="M149" s="286">
        <v>18</v>
      </c>
      <c r="N149" s="552">
        <v>41791</v>
      </c>
      <c r="O149" s="205">
        <f t="shared" si="10"/>
        <v>0</v>
      </c>
      <c r="P149" s="555">
        <f>(1+$R$1)*Table33[[#This Row],[Hours]]</f>
        <v>0</v>
      </c>
      <c r="Q149" s="207">
        <f t="shared" si="14"/>
        <v>0</v>
      </c>
      <c r="R149" s="208">
        <f t="shared" si="11"/>
        <v>0</v>
      </c>
      <c r="S149" s="208">
        <f t="shared" si="12"/>
        <v>0</v>
      </c>
      <c r="T149" s="208" t="str">
        <f t="shared" si="13"/>
        <v/>
      </c>
      <c r="U149" s="195">
        <f>Table33[[#This Row],[gal/100ft]]*Table33[[#This Row],[QTY]]/100</f>
        <v>0</v>
      </c>
      <c r="V149" s="195"/>
      <c r="W149" s="195"/>
      <c r="X149" s="195"/>
      <c r="Y149" s="195"/>
    </row>
    <row r="150" spans="1:25" ht="12.75" x14ac:dyDescent="0.2">
      <c r="A150" s="195" t="s">
        <v>602</v>
      </c>
      <c r="B150" s="536" t="s">
        <v>875</v>
      </c>
      <c r="C150" s="195">
        <v>90</v>
      </c>
      <c r="D150" s="195" t="s">
        <v>609</v>
      </c>
      <c r="E150" s="288"/>
      <c r="F150" s="204">
        <v>0.75</v>
      </c>
      <c r="G150" s="204"/>
      <c r="H150" s="197"/>
      <c r="I150" s="198"/>
      <c r="J150" s="205">
        <v>1.88</v>
      </c>
      <c r="K150" s="287">
        <v>1.88</v>
      </c>
      <c r="L150" s="206">
        <v>18</v>
      </c>
      <c r="M150" s="286">
        <v>18</v>
      </c>
      <c r="N150" s="552">
        <v>41791</v>
      </c>
      <c r="O150" s="205">
        <f t="shared" si="10"/>
        <v>0</v>
      </c>
      <c r="P150" s="555">
        <f>(1+$R$1)*Table33[[#This Row],[Hours]]</f>
        <v>0</v>
      </c>
      <c r="Q150" s="207">
        <f t="shared" si="14"/>
        <v>0</v>
      </c>
      <c r="R150" s="208">
        <f t="shared" si="11"/>
        <v>0</v>
      </c>
      <c r="S150" s="208">
        <f t="shared" si="12"/>
        <v>0</v>
      </c>
      <c r="T150" s="208" t="str">
        <f t="shared" si="13"/>
        <v/>
      </c>
      <c r="U150" s="195">
        <f>Table33[[#This Row],[gal/100ft]]*Table33[[#This Row],[QTY]]/100</f>
        <v>0</v>
      </c>
      <c r="V150" s="195"/>
      <c r="W150" s="195"/>
      <c r="X150" s="195"/>
      <c r="Y150" s="195"/>
    </row>
    <row r="151" spans="1:25" ht="12.75" x14ac:dyDescent="0.2">
      <c r="A151" s="195" t="s">
        <v>602</v>
      </c>
      <c r="B151" s="536" t="s">
        <v>875</v>
      </c>
      <c r="C151" s="195">
        <v>90</v>
      </c>
      <c r="D151" s="195" t="s">
        <v>609</v>
      </c>
      <c r="E151" s="288"/>
      <c r="F151" s="204">
        <v>1</v>
      </c>
      <c r="G151" s="204"/>
      <c r="H151" s="197"/>
      <c r="I151" s="198"/>
      <c r="J151" s="205">
        <v>2.5</v>
      </c>
      <c r="K151" s="287">
        <v>2.5</v>
      </c>
      <c r="L151" s="206">
        <v>19</v>
      </c>
      <c r="M151" s="286">
        <v>19</v>
      </c>
      <c r="N151" s="552">
        <v>41791</v>
      </c>
      <c r="O151" s="205">
        <f t="shared" ref="O151:O214" si="15">K151*E151</f>
        <v>0</v>
      </c>
      <c r="P151" s="555">
        <f>(1+$R$1)*Table33[[#This Row],[Hours]]</f>
        <v>0</v>
      </c>
      <c r="Q151" s="207">
        <f t="shared" si="14"/>
        <v>0</v>
      </c>
      <c r="R151" s="208">
        <f t="shared" ref="R151:R214" si="16">M151*E151</f>
        <v>0</v>
      </c>
      <c r="S151" s="208">
        <f t="shared" ref="S151:S214" si="17">R151+Q151</f>
        <v>0</v>
      </c>
      <c r="T151" s="208" t="str">
        <f t="shared" ref="T151:T214" si="18">IF(E151="","",S151/E151)</f>
        <v/>
      </c>
      <c r="U151" s="195">
        <f>Table33[[#This Row],[gal/100ft]]*Table33[[#This Row],[QTY]]/100</f>
        <v>0</v>
      </c>
      <c r="V151" s="195"/>
      <c r="W151" s="195"/>
      <c r="X151" s="195"/>
      <c r="Y151" s="195"/>
    </row>
    <row r="152" spans="1:25" ht="12.75" x14ac:dyDescent="0.2">
      <c r="A152" s="195" t="s">
        <v>602</v>
      </c>
      <c r="B152" s="536" t="s">
        <v>875</v>
      </c>
      <c r="C152" s="195">
        <v>90</v>
      </c>
      <c r="D152" s="195" t="s">
        <v>609</v>
      </c>
      <c r="E152" s="288"/>
      <c r="F152" s="204">
        <v>1.25</v>
      </c>
      <c r="G152" s="204"/>
      <c r="H152" s="197"/>
      <c r="I152" s="198"/>
      <c r="J152" s="205">
        <v>3.11</v>
      </c>
      <c r="K152" s="287">
        <v>3.11</v>
      </c>
      <c r="L152" s="206">
        <v>26</v>
      </c>
      <c r="M152" s="286">
        <v>26</v>
      </c>
      <c r="N152" s="552">
        <v>41791</v>
      </c>
      <c r="O152" s="205">
        <f t="shared" si="15"/>
        <v>0</v>
      </c>
      <c r="P152" s="555">
        <f>(1+$R$1)*Table33[[#This Row],[Hours]]</f>
        <v>0</v>
      </c>
      <c r="Q152" s="207">
        <f t="shared" si="14"/>
        <v>0</v>
      </c>
      <c r="R152" s="208">
        <f t="shared" si="16"/>
        <v>0</v>
      </c>
      <c r="S152" s="208">
        <f t="shared" si="17"/>
        <v>0</v>
      </c>
      <c r="T152" s="208" t="str">
        <f t="shared" si="18"/>
        <v/>
      </c>
      <c r="U152" s="195">
        <f>Table33[[#This Row],[gal/100ft]]*Table33[[#This Row],[QTY]]/100</f>
        <v>0</v>
      </c>
      <c r="V152" s="195"/>
      <c r="W152" s="195"/>
      <c r="X152" s="195"/>
      <c r="Y152" s="195"/>
    </row>
    <row r="153" spans="1:25" ht="12.75" x14ac:dyDescent="0.2">
      <c r="A153" s="195" t="s">
        <v>602</v>
      </c>
      <c r="B153" s="536" t="s">
        <v>875</v>
      </c>
      <c r="C153" s="195">
        <v>90</v>
      </c>
      <c r="D153" s="195" t="s">
        <v>609</v>
      </c>
      <c r="E153" s="288"/>
      <c r="F153" s="204">
        <v>1.5</v>
      </c>
      <c r="G153" s="204"/>
      <c r="H153" s="197"/>
      <c r="I153" s="198"/>
      <c r="J153" s="205">
        <v>3.72</v>
      </c>
      <c r="K153" s="287">
        <v>3.72</v>
      </c>
      <c r="L153" s="206">
        <v>22</v>
      </c>
      <c r="M153" s="286">
        <v>22</v>
      </c>
      <c r="N153" s="552">
        <v>41791</v>
      </c>
      <c r="O153" s="205">
        <f t="shared" si="15"/>
        <v>0</v>
      </c>
      <c r="P153" s="555">
        <f>(1+$R$1)*Table33[[#This Row],[Hours]]</f>
        <v>0</v>
      </c>
      <c r="Q153" s="207">
        <f t="shared" si="14"/>
        <v>0</v>
      </c>
      <c r="R153" s="208">
        <f t="shared" si="16"/>
        <v>0</v>
      </c>
      <c r="S153" s="208">
        <f t="shared" si="17"/>
        <v>0</v>
      </c>
      <c r="T153" s="208" t="str">
        <f t="shared" si="18"/>
        <v/>
      </c>
      <c r="U153" s="195">
        <f>Table33[[#This Row],[gal/100ft]]*Table33[[#This Row],[QTY]]/100</f>
        <v>0</v>
      </c>
      <c r="V153" s="195"/>
      <c r="W153" s="195"/>
      <c r="X153" s="195"/>
      <c r="Y153" s="195"/>
    </row>
    <row r="154" spans="1:25" ht="12.75" x14ac:dyDescent="0.2">
      <c r="A154" s="195" t="s">
        <v>602</v>
      </c>
      <c r="B154" s="536" t="s">
        <v>875</v>
      </c>
      <c r="C154" s="195">
        <v>90</v>
      </c>
      <c r="D154" s="195" t="s">
        <v>609</v>
      </c>
      <c r="E154" s="288"/>
      <c r="F154" s="204">
        <v>2</v>
      </c>
      <c r="G154" s="204"/>
      <c r="H154" s="197"/>
      <c r="I154" s="198"/>
      <c r="J154" s="205">
        <v>4.95</v>
      </c>
      <c r="K154" s="287">
        <v>4.95</v>
      </c>
      <c r="L154" s="206">
        <v>26</v>
      </c>
      <c r="M154" s="286">
        <v>26</v>
      </c>
      <c r="N154" s="552">
        <v>41791</v>
      </c>
      <c r="O154" s="205">
        <f t="shared" si="15"/>
        <v>0</v>
      </c>
      <c r="P154" s="555">
        <f>(1+$R$1)*Table33[[#This Row],[Hours]]</f>
        <v>0</v>
      </c>
      <c r="Q154" s="207">
        <f t="shared" si="14"/>
        <v>0</v>
      </c>
      <c r="R154" s="208">
        <f t="shared" si="16"/>
        <v>0</v>
      </c>
      <c r="S154" s="208">
        <f t="shared" si="17"/>
        <v>0</v>
      </c>
      <c r="T154" s="208" t="str">
        <f t="shared" si="18"/>
        <v/>
      </c>
      <c r="U154" s="195">
        <f>Table33[[#This Row],[gal/100ft]]*Table33[[#This Row],[QTY]]/100</f>
        <v>0</v>
      </c>
      <c r="V154" s="195"/>
      <c r="W154" s="195"/>
      <c r="X154" s="195"/>
      <c r="Y154" s="195"/>
    </row>
    <row r="155" spans="1:25" ht="12.75" x14ac:dyDescent="0.2">
      <c r="A155" s="195" t="s">
        <v>602</v>
      </c>
      <c r="B155" s="536" t="s">
        <v>875</v>
      </c>
      <c r="C155" s="195">
        <v>90</v>
      </c>
      <c r="D155" s="195" t="s">
        <v>609</v>
      </c>
      <c r="E155" s="288"/>
      <c r="F155" s="204">
        <v>2.5</v>
      </c>
      <c r="G155" s="204"/>
      <c r="H155" s="197"/>
      <c r="I155" s="198"/>
      <c r="J155" s="205">
        <v>5.58</v>
      </c>
      <c r="K155" s="287">
        <v>5.58</v>
      </c>
      <c r="L155" s="206">
        <v>60</v>
      </c>
      <c r="M155" s="286">
        <v>60</v>
      </c>
      <c r="N155" s="552">
        <v>41791</v>
      </c>
      <c r="O155" s="205">
        <f t="shared" si="15"/>
        <v>0</v>
      </c>
      <c r="P155" s="555">
        <f>(1+$R$1)*Table33[[#This Row],[Hours]]</f>
        <v>0</v>
      </c>
      <c r="Q155" s="207">
        <f t="shared" si="14"/>
        <v>0</v>
      </c>
      <c r="R155" s="208">
        <f t="shared" si="16"/>
        <v>0</v>
      </c>
      <c r="S155" s="208">
        <f t="shared" si="17"/>
        <v>0</v>
      </c>
      <c r="T155" s="208" t="str">
        <f t="shared" si="18"/>
        <v/>
      </c>
      <c r="U155" s="195">
        <f>Table33[[#This Row],[gal/100ft]]*Table33[[#This Row],[QTY]]/100</f>
        <v>0</v>
      </c>
      <c r="V155" s="195"/>
      <c r="W155" s="195"/>
      <c r="X155" s="195"/>
      <c r="Y155" s="195"/>
    </row>
    <row r="156" spans="1:25" ht="12.75" x14ac:dyDescent="0.2">
      <c r="A156" s="195" t="s">
        <v>602</v>
      </c>
      <c r="B156" s="536" t="s">
        <v>875</v>
      </c>
      <c r="C156" s="195">
        <v>90</v>
      </c>
      <c r="D156" s="195" t="s">
        <v>609</v>
      </c>
      <c r="E156" s="288"/>
      <c r="F156" s="204">
        <v>4</v>
      </c>
      <c r="G156" s="204"/>
      <c r="H156" s="197"/>
      <c r="I156" s="198"/>
      <c r="J156" s="205">
        <v>7.44</v>
      </c>
      <c r="K156" s="287">
        <v>7.44</v>
      </c>
      <c r="L156" s="206">
        <v>94</v>
      </c>
      <c r="M156" s="286">
        <v>94</v>
      </c>
      <c r="N156" s="552">
        <v>41791</v>
      </c>
      <c r="O156" s="205">
        <f t="shared" si="15"/>
        <v>0</v>
      </c>
      <c r="P156" s="555">
        <f>(1+$R$1)*Table33[[#This Row],[Hours]]</f>
        <v>0</v>
      </c>
      <c r="Q156" s="207">
        <f t="shared" si="14"/>
        <v>0</v>
      </c>
      <c r="R156" s="208">
        <f t="shared" si="16"/>
        <v>0</v>
      </c>
      <c r="S156" s="208">
        <f t="shared" si="17"/>
        <v>0</v>
      </c>
      <c r="T156" s="208" t="str">
        <f t="shared" si="18"/>
        <v/>
      </c>
      <c r="U156" s="195">
        <f>Table33[[#This Row],[gal/100ft]]*Table33[[#This Row],[QTY]]/100</f>
        <v>0</v>
      </c>
      <c r="V156" s="195"/>
      <c r="W156" s="195"/>
      <c r="X156" s="195"/>
      <c r="Y156" s="195"/>
    </row>
    <row r="157" spans="1:25" ht="12.75" x14ac:dyDescent="0.2">
      <c r="A157" s="195" t="s">
        <v>602</v>
      </c>
      <c r="B157" s="536" t="s">
        <v>875</v>
      </c>
      <c r="C157" s="195">
        <v>90</v>
      </c>
      <c r="D157" s="195" t="s">
        <v>609</v>
      </c>
      <c r="E157" s="288"/>
      <c r="F157" s="204">
        <v>5</v>
      </c>
      <c r="G157" s="204"/>
      <c r="H157" s="197"/>
      <c r="I157" s="198"/>
      <c r="J157" s="205">
        <v>8.41</v>
      </c>
      <c r="K157" s="287">
        <v>8.41</v>
      </c>
      <c r="L157" s="206">
        <v>350</v>
      </c>
      <c r="M157" s="286">
        <v>350</v>
      </c>
      <c r="N157" s="552">
        <v>41791</v>
      </c>
      <c r="O157" s="205">
        <f t="shared" si="15"/>
        <v>0</v>
      </c>
      <c r="P157" s="555">
        <f>(1+$R$1)*Table33[[#This Row],[Hours]]</f>
        <v>0</v>
      </c>
      <c r="Q157" s="207">
        <f t="shared" si="14"/>
        <v>0</v>
      </c>
      <c r="R157" s="208">
        <f t="shared" si="16"/>
        <v>0</v>
      </c>
      <c r="S157" s="208">
        <f t="shared" si="17"/>
        <v>0</v>
      </c>
      <c r="T157" s="208" t="str">
        <f t="shared" si="18"/>
        <v/>
      </c>
      <c r="U157" s="195">
        <f>Table33[[#This Row],[gal/100ft]]*Table33[[#This Row],[QTY]]/100</f>
        <v>0</v>
      </c>
      <c r="V157" s="195"/>
      <c r="W157" s="195"/>
      <c r="X157" s="195"/>
      <c r="Y157" s="195"/>
    </row>
    <row r="158" spans="1:25" ht="12.75" x14ac:dyDescent="0.2">
      <c r="A158" s="195" t="s">
        <v>602</v>
      </c>
      <c r="B158" s="536" t="s">
        <v>875</v>
      </c>
      <c r="C158" s="195">
        <v>90</v>
      </c>
      <c r="D158" s="195" t="s">
        <v>609</v>
      </c>
      <c r="E158" s="288"/>
      <c r="F158" s="204">
        <v>6</v>
      </c>
      <c r="G158" s="204"/>
      <c r="H158" s="197"/>
      <c r="I158" s="198"/>
      <c r="J158" s="205">
        <v>9.3800000000000008</v>
      </c>
      <c r="K158" s="287">
        <v>9.3800000000000008</v>
      </c>
      <c r="L158" s="206">
        <v>270</v>
      </c>
      <c r="M158" s="286">
        <v>270</v>
      </c>
      <c r="N158" s="552">
        <v>41791</v>
      </c>
      <c r="O158" s="205">
        <f t="shared" si="15"/>
        <v>0</v>
      </c>
      <c r="P158" s="555">
        <f>(1+$R$1)*Table33[[#This Row],[Hours]]</f>
        <v>0</v>
      </c>
      <c r="Q158" s="207">
        <f t="shared" si="14"/>
        <v>0</v>
      </c>
      <c r="R158" s="208">
        <f t="shared" si="16"/>
        <v>0</v>
      </c>
      <c r="S158" s="208">
        <f t="shared" si="17"/>
        <v>0</v>
      </c>
      <c r="T158" s="208" t="str">
        <f t="shared" si="18"/>
        <v/>
      </c>
      <c r="U158" s="195">
        <f>Table33[[#This Row],[gal/100ft]]*Table33[[#This Row],[QTY]]/100</f>
        <v>0</v>
      </c>
      <c r="V158" s="195"/>
      <c r="W158" s="195"/>
      <c r="X158" s="195"/>
      <c r="Y158" s="195"/>
    </row>
    <row r="159" spans="1:25" ht="12.75" x14ac:dyDescent="0.2">
      <c r="A159" s="195" t="s">
        <v>602</v>
      </c>
      <c r="B159" s="536" t="s">
        <v>875</v>
      </c>
      <c r="C159" s="195">
        <v>90</v>
      </c>
      <c r="D159" s="195" t="s">
        <v>609</v>
      </c>
      <c r="E159" s="288"/>
      <c r="F159" s="204">
        <v>8</v>
      </c>
      <c r="G159" s="204"/>
      <c r="H159" s="197"/>
      <c r="I159" s="198"/>
      <c r="J159" s="205">
        <v>11.57</v>
      </c>
      <c r="K159" s="287">
        <v>11.57</v>
      </c>
      <c r="L159" s="206">
        <v>570</v>
      </c>
      <c r="M159" s="286">
        <v>570</v>
      </c>
      <c r="N159" s="552">
        <v>41791</v>
      </c>
      <c r="O159" s="205">
        <f t="shared" si="15"/>
        <v>0</v>
      </c>
      <c r="P159" s="555">
        <f>(1+$R$1)*Table33[[#This Row],[Hours]]</f>
        <v>0</v>
      </c>
      <c r="Q159" s="207">
        <f t="shared" si="14"/>
        <v>0</v>
      </c>
      <c r="R159" s="208">
        <f t="shared" si="16"/>
        <v>0</v>
      </c>
      <c r="S159" s="208">
        <f t="shared" si="17"/>
        <v>0</v>
      </c>
      <c r="T159" s="208" t="str">
        <f t="shared" si="18"/>
        <v/>
      </c>
      <c r="U159" s="195">
        <f>Table33[[#This Row],[gal/100ft]]*Table33[[#This Row],[QTY]]/100</f>
        <v>0</v>
      </c>
      <c r="V159" s="195"/>
      <c r="W159" s="195"/>
      <c r="X159" s="195"/>
      <c r="Y159" s="195"/>
    </row>
    <row r="160" spans="1:25" ht="12.75" x14ac:dyDescent="0.2">
      <c r="A160" s="195" t="s">
        <v>602</v>
      </c>
      <c r="B160" s="536" t="s">
        <v>875</v>
      </c>
      <c r="C160" s="195">
        <v>90</v>
      </c>
      <c r="D160" s="195" t="s">
        <v>609</v>
      </c>
      <c r="E160" s="288"/>
      <c r="F160" s="204">
        <v>10</v>
      </c>
      <c r="G160" s="204"/>
      <c r="H160" s="197"/>
      <c r="I160" s="198"/>
      <c r="J160" s="205">
        <v>14.61</v>
      </c>
      <c r="K160" s="287">
        <v>14.61</v>
      </c>
      <c r="L160" s="206">
        <v>880</v>
      </c>
      <c r="M160" s="286">
        <v>880</v>
      </c>
      <c r="N160" s="552">
        <v>41791</v>
      </c>
      <c r="O160" s="205">
        <f t="shared" si="15"/>
        <v>0</v>
      </c>
      <c r="P160" s="555">
        <f>(1+$R$1)*Table33[[#This Row],[Hours]]</f>
        <v>0</v>
      </c>
      <c r="Q160" s="207">
        <f t="shared" si="14"/>
        <v>0</v>
      </c>
      <c r="R160" s="208">
        <f t="shared" si="16"/>
        <v>0</v>
      </c>
      <c r="S160" s="208">
        <f t="shared" si="17"/>
        <v>0</v>
      </c>
      <c r="T160" s="208" t="str">
        <f t="shared" si="18"/>
        <v/>
      </c>
      <c r="U160" s="195">
        <f>Table33[[#This Row],[gal/100ft]]*Table33[[#This Row],[QTY]]/100</f>
        <v>0</v>
      </c>
      <c r="V160" s="195"/>
      <c r="W160" s="195"/>
      <c r="X160" s="195"/>
      <c r="Y160" s="195"/>
    </row>
    <row r="161" spans="1:25" ht="12.75" x14ac:dyDescent="0.2">
      <c r="A161" s="195" t="s">
        <v>602</v>
      </c>
      <c r="B161" s="536" t="s">
        <v>875</v>
      </c>
      <c r="C161" s="195">
        <v>90</v>
      </c>
      <c r="D161" s="195" t="s">
        <v>609</v>
      </c>
      <c r="E161" s="288"/>
      <c r="F161" s="204">
        <v>12</v>
      </c>
      <c r="G161" s="204"/>
      <c r="H161" s="197"/>
      <c r="I161" s="198"/>
      <c r="J161" s="205">
        <v>17.72</v>
      </c>
      <c r="K161" s="287">
        <v>17.72</v>
      </c>
      <c r="L161" s="206">
        <v>1250</v>
      </c>
      <c r="M161" s="286">
        <v>1250</v>
      </c>
      <c r="N161" s="552">
        <v>41791</v>
      </c>
      <c r="O161" s="205">
        <f t="shared" si="15"/>
        <v>0</v>
      </c>
      <c r="P161" s="555">
        <f>(1+$R$1)*Table33[[#This Row],[Hours]]</f>
        <v>0</v>
      </c>
      <c r="Q161" s="207">
        <f t="shared" si="14"/>
        <v>0</v>
      </c>
      <c r="R161" s="208">
        <f t="shared" si="16"/>
        <v>0</v>
      </c>
      <c r="S161" s="208">
        <f t="shared" si="17"/>
        <v>0</v>
      </c>
      <c r="T161" s="208" t="str">
        <f t="shared" si="18"/>
        <v/>
      </c>
      <c r="U161" s="195">
        <f>Table33[[#This Row],[gal/100ft]]*Table33[[#This Row],[QTY]]/100</f>
        <v>0</v>
      </c>
      <c r="V161" s="195"/>
      <c r="W161" s="195"/>
      <c r="X161" s="195"/>
      <c r="Y161" s="195"/>
    </row>
    <row r="162" spans="1:25" ht="12.75" x14ac:dyDescent="0.2">
      <c r="B162" s="195" t="s">
        <v>585</v>
      </c>
      <c r="C162" s="195" t="s">
        <v>586</v>
      </c>
      <c r="D162" s="195" t="s">
        <v>587</v>
      </c>
      <c r="E162" s="288"/>
      <c r="F162" s="204" t="s">
        <v>588</v>
      </c>
      <c r="G162" s="204"/>
      <c r="H162" s="197"/>
      <c r="I162" s="198"/>
      <c r="J162" s="205"/>
      <c r="K162" s="287"/>
      <c r="L162" s="206"/>
      <c r="M162" s="286">
        <v>1.1000000000000001</v>
      </c>
      <c r="N162" s="552">
        <v>41791</v>
      </c>
      <c r="O162" s="205">
        <f t="shared" si="15"/>
        <v>0</v>
      </c>
      <c r="P162" s="555">
        <f>(1+$R$1)*Table33[[#This Row],[Hours]]</f>
        <v>0</v>
      </c>
      <c r="Q162" s="207">
        <f t="shared" si="14"/>
        <v>0</v>
      </c>
      <c r="R162" s="208">
        <f t="shared" si="16"/>
        <v>0</v>
      </c>
      <c r="S162" s="208">
        <f t="shared" si="17"/>
        <v>0</v>
      </c>
      <c r="T162" s="208" t="str">
        <f t="shared" si="18"/>
        <v/>
      </c>
      <c r="U162" s="195">
        <f>Table33[[#This Row],[gal/100ft]]*Table33[[#This Row],[QTY]]/100</f>
        <v>0</v>
      </c>
      <c r="V162" s="195"/>
      <c r="W162" s="195"/>
      <c r="X162" s="195"/>
      <c r="Y162" s="195"/>
    </row>
    <row r="163" spans="1:25" ht="12.75" x14ac:dyDescent="0.2">
      <c r="A163" s="195" t="s">
        <v>602</v>
      </c>
      <c r="B163" s="536" t="s">
        <v>874</v>
      </c>
      <c r="C163" s="195" t="s">
        <v>667</v>
      </c>
      <c r="D163" s="195" t="s">
        <v>668</v>
      </c>
      <c r="E163" s="288"/>
      <c r="F163" s="204">
        <v>2.5</v>
      </c>
      <c r="G163" s="204"/>
      <c r="H163" s="197"/>
      <c r="I163" s="198"/>
      <c r="J163" s="205">
        <v>1.86</v>
      </c>
      <c r="K163" s="287">
        <v>1.86</v>
      </c>
      <c r="L163" s="206">
        <v>23.68</v>
      </c>
      <c r="M163" s="286">
        <v>23.68</v>
      </c>
      <c r="N163" s="552">
        <v>41791</v>
      </c>
      <c r="O163" s="205">
        <f t="shared" si="15"/>
        <v>0</v>
      </c>
      <c r="P163" s="555">
        <f>(1+$R$1)*Table33[[#This Row],[Hours]]</f>
        <v>0</v>
      </c>
      <c r="Q163" s="207">
        <f t="shared" si="14"/>
        <v>0</v>
      </c>
      <c r="R163" s="208">
        <f t="shared" si="16"/>
        <v>0</v>
      </c>
      <c r="S163" s="208">
        <f t="shared" si="17"/>
        <v>0</v>
      </c>
      <c r="T163" s="208" t="str">
        <f t="shared" si="18"/>
        <v/>
      </c>
      <c r="U163" s="195">
        <f>Table33[[#This Row],[gal/100ft]]*Table33[[#This Row],[QTY]]/100</f>
        <v>0</v>
      </c>
      <c r="V163" s="195"/>
      <c r="W163" s="195"/>
      <c r="X163" s="195"/>
      <c r="Y163" s="195"/>
    </row>
    <row r="164" spans="1:25" ht="12.75" x14ac:dyDescent="0.2">
      <c r="A164" s="195" t="s">
        <v>602</v>
      </c>
      <c r="B164" s="536" t="s">
        <v>874</v>
      </c>
      <c r="C164" s="195" t="s">
        <v>667</v>
      </c>
      <c r="D164" s="195" t="s">
        <v>668</v>
      </c>
      <c r="E164" s="288"/>
      <c r="F164" s="204">
        <v>3</v>
      </c>
      <c r="G164" s="204"/>
      <c r="H164" s="197"/>
      <c r="I164" s="198"/>
      <c r="J164" s="205">
        <v>1.95</v>
      </c>
      <c r="K164" s="287">
        <v>1.95</v>
      </c>
      <c r="L164" s="206">
        <v>23.68</v>
      </c>
      <c r="M164" s="286">
        <v>23.68</v>
      </c>
      <c r="N164" s="552">
        <v>41791</v>
      </c>
      <c r="O164" s="205">
        <f t="shared" si="15"/>
        <v>0</v>
      </c>
      <c r="P164" s="555">
        <f>(1+$R$1)*Table33[[#This Row],[Hours]]</f>
        <v>0</v>
      </c>
      <c r="Q164" s="207">
        <f t="shared" si="14"/>
        <v>0</v>
      </c>
      <c r="R164" s="208">
        <f t="shared" si="16"/>
        <v>0</v>
      </c>
      <c r="S164" s="208">
        <f t="shared" si="17"/>
        <v>0</v>
      </c>
      <c r="T164" s="208" t="str">
        <f t="shared" si="18"/>
        <v/>
      </c>
      <c r="U164" s="195">
        <f>Table33[[#This Row],[gal/100ft]]*Table33[[#This Row],[QTY]]/100</f>
        <v>0</v>
      </c>
      <c r="V164" s="195"/>
      <c r="W164" s="195"/>
      <c r="X164" s="195"/>
      <c r="Y164" s="195"/>
    </row>
    <row r="165" spans="1:25" ht="12.75" x14ac:dyDescent="0.2">
      <c r="A165" s="195" t="s">
        <v>602</v>
      </c>
      <c r="B165" s="536" t="s">
        <v>874</v>
      </c>
      <c r="C165" s="195" t="s">
        <v>667</v>
      </c>
      <c r="D165" s="195" t="s">
        <v>668</v>
      </c>
      <c r="E165" s="288"/>
      <c r="F165" s="204">
        <v>3.5</v>
      </c>
      <c r="G165" s="204"/>
      <c r="H165" s="197"/>
      <c r="I165" s="198"/>
      <c r="J165" s="205">
        <v>2.2200000000000002</v>
      </c>
      <c r="K165" s="287">
        <v>2.2200000000000002</v>
      </c>
      <c r="L165" s="206">
        <v>34.549999999999997</v>
      </c>
      <c r="M165" s="286">
        <v>34.549999999999997</v>
      </c>
      <c r="N165" s="552">
        <v>41791</v>
      </c>
      <c r="O165" s="205">
        <f t="shared" si="15"/>
        <v>0</v>
      </c>
      <c r="P165" s="555">
        <f>(1+$R$1)*Table33[[#This Row],[Hours]]</f>
        <v>0</v>
      </c>
      <c r="Q165" s="207">
        <f t="shared" si="14"/>
        <v>0</v>
      </c>
      <c r="R165" s="208">
        <f t="shared" si="16"/>
        <v>0</v>
      </c>
      <c r="S165" s="208">
        <f t="shared" si="17"/>
        <v>0</v>
      </c>
      <c r="T165" s="208" t="str">
        <f t="shared" si="18"/>
        <v/>
      </c>
      <c r="U165" s="195">
        <f>Table33[[#This Row],[gal/100ft]]*Table33[[#This Row],[QTY]]/100</f>
        <v>0</v>
      </c>
      <c r="V165" s="195"/>
      <c r="W165" s="195"/>
      <c r="X165" s="195"/>
      <c r="Y165" s="195"/>
    </row>
    <row r="166" spans="1:25" ht="12.75" x14ac:dyDescent="0.2">
      <c r="A166" s="195" t="s">
        <v>602</v>
      </c>
      <c r="B166" s="536" t="s">
        <v>874</v>
      </c>
      <c r="C166" s="195" t="s">
        <v>667</v>
      </c>
      <c r="D166" s="195" t="s">
        <v>668</v>
      </c>
      <c r="E166" s="288"/>
      <c r="F166" s="204">
        <v>4</v>
      </c>
      <c r="G166" s="204"/>
      <c r="H166" s="197"/>
      <c r="I166" s="198"/>
      <c r="J166" s="205">
        <v>2.41</v>
      </c>
      <c r="K166" s="287">
        <v>2.41</v>
      </c>
      <c r="L166" s="206">
        <v>34.549999999999997</v>
      </c>
      <c r="M166" s="286">
        <v>34.549999999999997</v>
      </c>
      <c r="N166" s="552">
        <v>41791</v>
      </c>
      <c r="O166" s="205">
        <f t="shared" si="15"/>
        <v>0</v>
      </c>
      <c r="P166" s="555">
        <f>(1+$R$1)*Table33[[#This Row],[Hours]]</f>
        <v>0</v>
      </c>
      <c r="Q166" s="207">
        <f t="shared" si="14"/>
        <v>0</v>
      </c>
      <c r="R166" s="208">
        <f t="shared" si="16"/>
        <v>0</v>
      </c>
      <c r="S166" s="208">
        <f t="shared" si="17"/>
        <v>0</v>
      </c>
      <c r="T166" s="208" t="str">
        <f t="shared" si="18"/>
        <v/>
      </c>
      <c r="U166" s="195">
        <f>Table33[[#This Row],[gal/100ft]]*Table33[[#This Row],[QTY]]/100</f>
        <v>0</v>
      </c>
      <c r="V166" s="195"/>
      <c r="W166" s="195"/>
      <c r="X166" s="195"/>
      <c r="Y166" s="195"/>
    </row>
    <row r="167" spans="1:25" ht="12.75" x14ac:dyDescent="0.2">
      <c r="A167" s="195" t="s">
        <v>602</v>
      </c>
      <c r="B167" s="536" t="s">
        <v>874</v>
      </c>
      <c r="C167" s="195" t="s">
        <v>667</v>
      </c>
      <c r="D167" s="195" t="s">
        <v>668</v>
      </c>
      <c r="E167" s="288"/>
      <c r="F167" s="204">
        <v>5</v>
      </c>
      <c r="G167" s="204"/>
      <c r="H167" s="197"/>
      <c r="I167" s="198"/>
      <c r="J167" s="205">
        <v>2.79</v>
      </c>
      <c r="K167" s="287">
        <v>2.79</v>
      </c>
      <c r="L167" s="206">
        <v>53.19</v>
      </c>
      <c r="M167" s="286">
        <v>53.19</v>
      </c>
      <c r="N167" s="552">
        <v>41791</v>
      </c>
      <c r="O167" s="205">
        <f t="shared" si="15"/>
        <v>0</v>
      </c>
      <c r="P167" s="555">
        <f>(1+$R$1)*Table33[[#This Row],[Hours]]</f>
        <v>0</v>
      </c>
      <c r="Q167" s="207">
        <f t="shared" si="14"/>
        <v>0</v>
      </c>
      <c r="R167" s="208">
        <f t="shared" si="16"/>
        <v>0</v>
      </c>
      <c r="S167" s="208">
        <f t="shared" si="17"/>
        <v>0</v>
      </c>
      <c r="T167" s="208" t="str">
        <f t="shared" si="18"/>
        <v/>
      </c>
      <c r="U167" s="195">
        <f>Table33[[#This Row],[gal/100ft]]*Table33[[#This Row],[QTY]]/100</f>
        <v>0</v>
      </c>
      <c r="V167" s="195"/>
      <c r="W167" s="195"/>
      <c r="X167" s="195"/>
      <c r="Y167" s="195"/>
    </row>
    <row r="168" spans="1:25" ht="12.75" x14ac:dyDescent="0.2">
      <c r="A168" s="195" t="s">
        <v>602</v>
      </c>
      <c r="B168" s="536" t="s">
        <v>874</v>
      </c>
      <c r="C168" s="195" t="s">
        <v>667</v>
      </c>
      <c r="D168" s="195" t="s">
        <v>668</v>
      </c>
      <c r="E168" s="288"/>
      <c r="F168" s="204">
        <v>6</v>
      </c>
      <c r="G168" s="204"/>
      <c r="H168" s="197"/>
      <c r="I168" s="198"/>
      <c r="J168" s="205">
        <v>3.08</v>
      </c>
      <c r="K168" s="287">
        <v>3.08</v>
      </c>
      <c r="L168" s="206">
        <v>59.01</v>
      </c>
      <c r="M168" s="286">
        <v>59.01</v>
      </c>
      <c r="N168" s="552">
        <v>41791</v>
      </c>
      <c r="O168" s="205">
        <f t="shared" si="15"/>
        <v>0</v>
      </c>
      <c r="P168" s="555">
        <f>(1+$R$1)*Table33[[#This Row],[Hours]]</f>
        <v>0</v>
      </c>
      <c r="Q168" s="207">
        <f t="shared" si="14"/>
        <v>0</v>
      </c>
      <c r="R168" s="208">
        <f t="shared" si="16"/>
        <v>0</v>
      </c>
      <c r="S168" s="208">
        <f t="shared" si="17"/>
        <v>0</v>
      </c>
      <c r="T168" s="208" t="str">
        <f t="shared" si="18"/>
        <v/>
      </c>
      <c r="U168" s="195">
        <f>Table33[[#This Row],[gal/100ft]]*Table33[[#This Row],[QTY]]/100</f>
        <v>0</v>
      </c>
      <c r="V168" s="195"/>
      <c r="W168" s="195"/>
      <c r="X168" s="195"/>
      <c r="Y168" s="195"/>
    </row>
    <row r="169" spans="1:25" ht="12.75" x14ac:dyDescent="0.2">
      <c r="A169" s="195" t="s">
        <v>602</v>
      </c>
      <c r="B169" s="536" t="s">
        <v>874</v>
      </c>
      <c r="C169" s="195" t="s">
        <v>667</v>
      </c>
      <c r="D169" s="195" t="s">
        <v>668</v>
      </c>
      <c r="E169" s="288"/>
      <c r="F169" s="204">
        <v>8</v>
      </c>
      <c r="G169" s="204"/>
      <c r="H169" s="197"/>
      <c r="I169" s="198"/>
      <c r="J169" s="205">
        <v>3.89</v>
      </c>
      <c r="K169" s="287">
        <v>3.89</v>
      </c>
      <c r="L169" s="206">
        <v>89.29</v>
      </c>
      <c r="M169" s="286">
        <v>89.29</v>
      </c>
      <c r="N169" s="552">
        <v>41791</v>
      </c>
      <c r="O169" s="205">
        <f t="shared" si="15"/>
        <v>0</v>
      </c>
      <c r="P169" s="555">
        <f>(1+$R$1)*Table33[[#This Row],[Hours]]</f>
        <v>0</v>
      </c>
      <c r="Q169" s="207">
        <f t="shared" si="14"/>
        <v>0</v>
      </c>
      <c r="R169" s="208">
        <f t="shared" si="16"/>
        <v>0</v>
      </c>
      <c r="S169" s="208">
        <f t="shared" si="17"/>
        <v>0</v>
      </c>
      <c r="T169" s="208" t="str">
        <f t="shared" si="18"/>
        <v/>
      </c>
      <c r="U169" s="195">
        <f>Table33[[#This Row],[gal/100ft]]*Table33[[#This Row],[QTY]]/100</f>
        <v>0</v>
      </c>
      <c r="V169" s="195"/>
      <c r="W169" s="195"/>
      <c r="X169" s="195"/>
      <c r="Y169" s="195"/>
    </row>
    <row r="170" spans="1:25" ht="12.75" x14ac:dyDescent="0.2">
      <c r="A170" s="195" t="s">
        <v>602</v>
      </c>
      <c r="B170" s="536" t="s">
        <v>874</v>
      </c>
      <c r="C170" s="195" t="s">
        <v>667</v>
      </c>
      <c r="D170" s="195" t="s">
        <v>668</v>
      </c>
      <c r="E170" s="288"/>
      <c r="F170" s="204">
        <v>10</v>
      </c>
      <c r="G170" s="204"/>
      <c r="H170" s="197"/>
      <c r="I170" s="198"/>
      <c r="J170" s="205">
        <v>4.9400000000000004</v>
      </c>
      <c r="K170" s="287">
        <v>4.9400000000000004</v>
      </c>
      <c r="L170" s="206">
        <v>161.88999999999999</v>
      </c>
      <c r="M170" s="286">
        <v>161.88999999999999</v>
      </c>
      <c r="N170" s="552">
        <v>41791</v>
      </c>
      <c r="O170" s="205">
        <f t="shared" si="15"/>
        <v>0</v>
      </c>
      <c r="P170" s="555">
        <f>(1+$R$1)*Table33[[#This Row],[Hours]]</f>
        <v>0</v>
      </c>
      <c r="Q170" s="207">
        <f t="shared" si="14"/>
        <v>0</v>
      </c>
      <c r="R170" s="208">
        <f t="shared" si="16"/>
        <v>0</v>
      </c>
      <c r="S170" s="208">
        <f t="shared" si="17"/>
        <v>0</v>
      </c>
      <c r="T170" s="208" t="str">
        <f t="shared" si="18"/>
        <v/>
      </c>
      <c r="U170" s="195">
        <f>Table33[[#This Row],[gal/100ft]]*Table33[[#This Row],[QTY]]/100</f>
        <v>0</v>
      </c>
      <c r="V170" s="195"/>
      <c r="W170" s="195"/>
      <c r="X170" s="195"/>
      <c r="Y170" s="195"/>
    </row>
    <row r="171" spans="1:25" ht="12.75" x14ac:dyDescent="0.2">
      <c r="A171" s="195" t="s">
        <v>602</v>
      </c>
      <c r="B171" s="536" t="s">
        <v>874</v>
      </c>
      <c r="C171" s="195" t="s">
        <v>667</v>
      </c>
      <c r="D171" s="195" t="s">
        <v>668</v>
      </c>
      <c r="E171" s="288"/>
      <c r="F171" s="204">
        <v>12</v>
      </c>
      <c r="G171" s="204"/>
      <c r="H171" s="197"/>
      <c r="I171" s="198"/>
      <c r="J171" s="205">
        <v>6</v>
      </c>
      <c r="K171" s="287">
        <v>6</v>
      </c>
      <c r="L171" s="206">
        <v>244.2</v>
      </c>
      <c r="M171" s="286">
        <v>244.2</v>
      </c>
      <c r="N171" s="552">
        <v>41791</v>
      </c>
      <c r="O171" s="205">
        <f t="shared" si="15"/>
        <v>0</v>
      </c>
      <c r="P171" s="555">
        <f>(1+$R$1)*Table33[[#This Row],[Hours]]</f>
        <v>0</v>
      </c>
      <c r="Q171" s="207">
        <f t="shared" si="14"/>
        <v>0</v>
      </c>
      <c r="R171" s="208">
        <f t="shared" si="16"/>
        <v>0</v>
      </c>
      <c r="S171" s="208">
        <f t="shared" si="17"/>
        <v>0</v>
      </c>
      <c r="T171" s="208" t="str">
        <f t="shared" si="18"/>
        <v/>
      </c>
      <c r="U171" s="195">
        <f>Table33[[#This Row],[gal/100ft]]*Table33[[#This Row],[QTY]]/100</f>
        <v>0</v>
      </c>
      <c r="V171" s="195"/>
      <c r="W171" s="195"/>
      <c r="X171" s="195"/>
      <c r="Y171" s="195"/>
    </row>
    <row r="172" spans="1:25" ht="12.75" x14ac:dyDescent="0.2">
      <c r="A172" s="195" t="s">
        <v>602</v>
      </c>
      <c r="B172" s="536" t="s">
        <v>874</v>
      </c>
      <c r="C172" s="195" t="s">
        <v>667</v>
      </c>
      <c r="D172" s="195" t="s">
        <v>668</v>
      </c>
      <c r="E172" s="288"/>
      <c r="F172" s="204">
        <v>14</v>
      </c>
      <c r="G172" s="204"/>
      <c r="H172" s="197"/>
      <c r="I172" s="198"/>
      <c r="J172" s="205">
        <v>7.01</v>
      </c>
      <c r="K172" s="287">
        <v>7.01</v>
      </c>
      <c r="L172" s="206">
        <v>324.95</v>
      </c>
      <c r="M172" s="286">
        <v>324.95</v>
      </c>
      <c r="N172" s="552">
        <v>41791</v>
      </c>
      <c r="O172" s="205">
        <f t="shared" si="15"/>
        <v>0</v>
      </c>
      <c r="P172" s="555">
        <f>(1+$R$1)*Table33[[#This Row],[Hours]]</f>
        <v>0</v>
      </c>
      <c r="Q172" s="207">
        <f t="shared" si="14"/>
        <v>0</v>
      </c>
      <c r="R172" s="208">
        <f t="shared" si="16"/>
        <v>0</v>
      </c>
      <c r="S172" s="208">
        <f t="shared" si="17"/>
        <v>0</v>
      </c>
      <c r="T172" s="208" t="str">
        <f t="shared" si="18"/>
        <v/>
      </c>
      <c r="U172" s="195">
        <f>Table33[[#This Row],[gal/100ft]]*Table33[[#This Row],[QTY]]/100</f>
        <v>0</v>
      </c>
      <c r="V172" s="195"/>
      <c r="W172" s="195"/>
      <c r="X172" s="195"/>
      <c r="Y172" s="195"/>
    </row>
    <row r="173" spans="1:25" ht="12.75" x14ac:dyDescent="0.2">
      <c r="A173" s="195" t="s">
        <v>602</v>
      </c>
      <c r="B173" s="536" t="s">
        <v>874</v>
      </c>
      <c r="C173" s="195" t="s">
        <v>667</v>
      </c>
      <c r="D173" s="195" t="s">
        <v>668</v>
      </c>
      <c r="E173" s="288"/>
      <c r="F173" s="204">
        <v>16</v>
      </c>
      <c r="G173" s="204"/>
      <c r="H173" s="197"/>
      <c r="I173" s="198"/>
      <c r="J173" s="205">
        <v>8.08</v>
      </c>
      <c r="K173" s="287">
        <v>8.08</v>
      </c>
      <c r="L173" s="206">
        <v>62.52</v>
      </c>
      <c r="M173" s="286">
        <v>62.52</v>
      </c>
      <c r="N173" s="552">
        <v>41791</v>
      </c>
      <c r="O173" s="205">
        <f t="shared" si="15"/>
        <v>0</v>
      </c>
      <c r="P173" s="555">
        <f>(1+$R$1)*Table33[[#This Row],[Hours]]</f>
        <v>0</v>
      </c>
      <c r="Q173" s="207">
        <f t="shared" si="14"/>
        <v>0</v>
      </c>
      <c r="R173" s="208">
        <f t="shared" si="16"/>
        <v>0</v>
      </c>
      <c r="S173" s="208">
        <f t="shared" si="17"/>
        <v>0</v>
      </c>
      <c r="T173" s="208" t="str">
        <f t="shared" si="18"/>
        <v/>
      </c>
      <c r="U173" s="195">
        <f>Table33[[#This Row],[gal/100ft]]*Table33[[#This Row],[QTY]]/100</f>
        <v>0</v>
      </c>
      <c r="V173" s="195"/>
      <c r="W173" s="195"/>
      <c r="X173" s="195"/>
      <c r="Y173" s="195"/>
    </row>
    <row r="174" spans="1:25" ht="12.75" x14ac:dyDescent="0.2">
      <c r="A174" s="195" t="s">
        <v>602</v>
      </c>
      <c r="B174" s="536" t="s">
        <v>874</v>
      </c>
      <c r="C174" s="195" t="s">
        <v>667</v>
      </c>
      <c r="D174" s="195" t="s">
        <v>668</v>
      </c>
      <c r="E174" s="288"/>
      <c r="F174" s="204">
        <v>18</v>
      </c>
      <c r="G174" s="204"/>
      <c r="H174" s="197"/>
      <c r="I174" s="198"/>
      <c r="J174" s="205">
        <v>9.18</v>
      </c>
      <c r="K174" s="287">
        <v>9.18</v>
      </c>
      <c r="L174" s="206">
        <v>518.66999999999996</v>
      </c>
      <c r="M174" s="286">
        <v>518.66999999999996</v>
      </c>
      <c r="N174" s="552">
        <v>41791</v>
      </c>
      <c r="O174" s="205">
        <f t="shared" si="15"/>
        <v>0</v>
      </c>
      <c r="P174" s="555">
        <f>(1+$R$1)*Table33[[#This Row],[Hours]]</f>
        <v>0</v>
      </c>
      <c r="Q174" s="207">
        <f t="shared" si="14"/>
        <v>0</v>
      </c>
      <c r="R174" s="208">
        <f t="shared" si="16"/>
        <v>0</v>
      </c>
      <c r="S174" s="208">
        <f t="shared" si="17"/>
        <v>0</v>
      </c>
      <c r="T174" s="208" t="str">
        <f t="shared" si="18"/>
        <v/>
      </c>
      <c r="U174" s="195">
        <f>Table33[[#This Row],[gal/100ft]]*Table33[[#This Row],[QTY]]/100</f>
        <v>0</v>
      </c>
      <c r="V174" s="195"/>
      <c r="W174" s="195"/>
      <c r="X174" s="195"/>
      <c r="Y174" s="195"/>
    </row>
    <row r="175" spans="1:25" ht="12.75" x14ac:dyDescent="0.2">
      <c r="A175" s="195" t="s">
        <v>602</v>
      </c>
      <c r="B175" s="536" t="s">
        <v>874</v>
      </c>
      <c r="C175" s="195" t="s">
        <v>667</v>
      </c>
      <c r="D175" s="195" t="s">
        <v>668</v>
      </c>
      <c r="E175" s="288"/>
      <c r="F175" s="204">
        <v>20</v>
      </c>
      <c r="G175" s="204"/>
      <c r="H175" s="197"/>
      <c r="I175" s="198"/>
      <c r="J175" s="205">
        <v>10.31</v>
      </c>
      <c r="K175" s="287">
        <v>10.31</v>
      </c>
      <c r="L175" s="206">
        <v>588.54999999999995</v>
      </c>
      <c r="M175" s="286">
        <v>588.54999999999995</v>
      </c>
      <c r="N175" s="552">
        <v>41791</v>
      </c>
      <c r="O175" s="205">
        <f t="shared" si="15"/>
        <v>0</v>
      </c>
      <c r="P175" s="555">
        <f>(1+$R$1)*Table33[[#This Row],[Hours]]</f>
        <v>0</v>
      </c>
      <c r="Q175" s="207">
        <f t="shared" si="14"/>
        <v>0</v>
      </c>
      <c r="R175" s="208">
        <f t="shared" si="16"/>
        <v>0</v>
      </c>
      <c r="S175" s="208">
        <f t="shared" si="17"/>
        <v>0</v>
      </c>
      <c r="T175" s="208" t="str">
        <f t="shared" si="18"/>
        <v/>
      </c>
      <c r="U175" s="195">
        <f>Table33[[#This Row],[gal/100ft]]*Table33[[#This Row],[QTY]]/100</f>
        <v>0</v>
      </c>
      <c r="V175" s="195"/>
      <c r="W175" s="195"/>
      <c r="X175" s="195"/>
      <c r="Y175" s="195"/>
    </row>
    <row r="176" spans="1:25" ht="12.75" x14ac:dyDescent="0.2">
      <c r="A176" s="195" t="s">
        <v>602</v>
      </c>
      <c r="B176" s="536" t="s">
        <v>874</v>
      </c>
      <c r="C176" s="195" t="s">
        <v>667</v>
      </c>
      <c r="D176" s="195" t="s">
        <v>668</v>
      </c>
      <c r="E176" s="288"/>
      <c r="F176" s="204">
        <v>24</v>
      </c>
      <c r="G176" s="204"/>
      <c r="H176" s="197"/>
      <c r="I176" s="198"/>
      <c r="J176" s="205">
        <v>12.62</v>
      </c>
      <c r="K176" s="287">
        <v>12.62</v>
      </c>
      <c r="L176" s="206">
        <v>800.14</v>
      </c>
      <c r="M176" s="286">
        <v>800.14</v>
      </c>
      <c r="N176" s="552">
        <v>41791</v>
      </c>
      <c r="O176" s="205">
        <f t="shared" si="15"/>
        <v>0</v>
      </c>
      <c r="P176" s="555">
        <f>(1+$R$1)*Table33[[#This Row],[Hours]]</f>
        <v>0</v>
      </c>
      <c r="Q176" s="207">
        <f t="shared" si="14"/>
        <v>0</v>
      </c>
      <c r="R176" s="208">
        <f t="shared" si="16"/>
        <v>0</v>
      </c>
      <c r="S176" s="208">
        <f t="shared" si="17"/>
        <v>0</v>
      </c>
      <c r="T176" s="208" t="str">
        <f t="shared" si="18"/>
        <v/>
      </c>
      <c r="U176" s="195">
        <f>Table33[[#This Row],[gal/100ft]]*Table33[[#This Row],[QTY]]/100</f>
        <v>0</v>
      </c>
      <c r="V176" s="195"/>
      <c r="W176" s="195"/>
      <c r="X176" s="195"/>
      <c r="Y176" s="195"/>
    </row>
    <row r="177" spans="1:25" ht="12.75" x14ac:dyDescent="0.2">
      <c r="A177" s="195" t="s">
        <v>593</v>
      </c>
      <c r="B177" s="195" t="s">
        <v>613</v>
      </c>
      <c r="C177" s="195" t="s">
        <v>664</v>
      </c>
      <c r="D177" s="195" t="s">
        <v>665</v>
      </c>
      <c r="E177" s="288"/>
      <c r="F177" s="204">
        <v>0.75</v>
      </c>
      <c r="G177" s="204"/>
      <c r="H177" s="197"/>
      <c r="I177" s="198"/>
      <c r="J177" s="205">
        <v>0.85</v>
      </c>
      <c r="K177" s="287">
        <v>0.85</v>
      </c>
      <c r="L177" s="206">
        <v>63</v>
      </c>
      <c r="M177" s="286">
        <v>63</v>
      </c>
      <c r="N177" s="552">
        <v>41791</v>
      </c>
      <c r="O177" s="205">
        <f t="shared" si="15"/>
        <v>0</v>
      </c>
      <c r="P177" s="555">
        <f>(1+$R$1)*Table33[[#This Row],[Hours]]</f>
        <v>0</v>
      </c>
      <c r="Q177" s="207">
        <f t="shared" si="14"/>
        <v>0</v>
      </c>
      <c r="R177" s="208">
        <f t="shared" si="16"/>
        <v>0</v>
      </c>
      <c r="S177" s="208">
        <f t="shared" si="17"/>
        <v>0</v>
      </c>
      <c r="T177" s="208" t="str">
        <f t="shared" si="18"/>
        <v/>
      </c>
      <c r="U177" s="195">
        <f>Table33[[#This Row],[gal/100ft]]*Table33[[#This Row],[QTY]]/100</f>
        <v>0</v>
      </c>
      <c r="V177" s="195"/>
      <c r="W177" s="195"/>
      <c r="X177" s="195"/>
      <c r="Y177" s="195"/>
    </row>
    <row r="178" spans="1:25" ht="12.75" x14ac:dyDescent="0.2">
      <c r="A178" s="195" t="s">
        <v>593</v>
      </c>
      <c r="B178" s="195" t="s">
        <v>613</v>
      </c>
      <c r="C178" s="195" t="s">
        <v>664</v>
      </c>
      <c r="D178" s="195" t="s">
        <v>665</v>
      </c>
      <c r="E178" s="288"/>
      <c r="F178" s="204">
        <v>0.5</v>
      </c>
      <c r="G178" s="204"/>
      <c r="H178" s="197"/>
      <c r="I178" s="198"/>
      <c r="J178" s="205">
        <v>0.61</v>
      </c>
      <c r="K178" s="287">
        <v>0.61</v>
      </c>
      <c r="L178" s="206">
        <v>50.52</v>
      </c>
      <c r="M178" s="286">
        <v>50.52</v>
      </c>
      <c r="N178" s="552">
        <v>41791</v>
      </c>
      <c r="O178" s="205">
        <f t="shared" si="15"/>
        <v>0</v>
      </c>
      <c r="P178" s="555">
        <f>(1+$R$1)*Table33[[#This Row],[Hours]]</f>
        <v>0</v>
      </c>
      <c r="Q178" s="207">
        <f t="shared" si="14"/>
        <v>0</v>
      </c>
      <c r="R178" s="208">
        <f t="shared" si="16"/>
        <v>0</v>
      </c>
      <c r="S178" s="208">
        <f t="shared" si="17"/>
        <v>0</v>
      </c>
      <c r="T178" s="208" t="str">
        <f t="shared" si="18"/>
        <v/>
      </c>
      <c r="U178" s="195">
        <f>Table33[[#This Row],[gal/100ft]]*Table33[[#This Row],[QTY]]/100</f>
        <v>0</v>
      </c>
      <c r="V178" s="195"/>
      <c r="W178" s="195"/>
      <c r="X178" s="195"/>
      <c r="Y178" s="195"/>
    </row>
    <row r="179" spans="1:25" ht="12.75" x14ac:dyDescent="0.2">
      <c r="A179" s="195" t="s">
        <v>593</v>
      </c>
      <c r="B179" s="195" t="s">
        <v>613</v>
      </c>
      <c r="C179" s="195" t="s">
        <v>664</v>
      </c>
      <c r="D179" s="195" t="s">
        <v>665</v>
      </c>
      <c r="E179" s="288"/>
      <c r="F179" s="204">
        <v>1</v>
      </c>
      <c r="G179" s="204"/>
      <c r="H179" s="197"/>
      <c r="I179" s="198"/>
      <c r="J179" s="205">
        <v>1.04</v>
      </c>
      <c r="K179" s="287">
        <v>1.04</v>
      </c>
      <c r="L179" s="206">
        <v>84.98</v>
      </c>
      <c r="M179" s="286">
        <v>84.98</v>
      </c>
      <c r="N179" s="552">
        <v>41791</v>
      </c>
      <c r="O179" s="205">
        <f t="shared" si="15"/>
        <v>0</v>
      </c>
      <c r="P179" s="555">
        <f>(1+$R$1)*Table33[[#This Row],[Hours]]</f>
        <v>0</v>
      </c>
      <c r="Q179" s="207">
        <f t="shared" si="14"/>
        <v>0</v>
      </c>
      <c r="R179" s="208">
        <f t="shared" si="16"/>
        <v>0</v>
      </c>
      <c r="S179" s="208">
        <f t="shared" si="17"/>
        <v>0</v>
      </c>
      <c r="T179" s="208" t="str">
        <f t="shared" si="18"/>
        <v/>
      </c>
      <c r="U179" s="195">
        <f>Table33[[#This Row],[gal/100ft]]*Table33[[#This Row],[QTY]]/100</f>
        <v>0</v>
      </c>
      <c r="V179" s="195"/>
      <c r="W179" s="195"/>
      <c r="X179" s="195"/>
      <c r="Y179" s="195"/>
    </row>
    <row r="180" spans="1:25" ht="12.75" x14ac:dyDescent="0.2">
      <c r="A180" s="195" t="s">
        <v>593</v>
      </c>
      <c r="B180" s="195" t="s">
        <v>613</v>
      </c>
      <c r="C180" s="195" t="s">
        <v>664</v>
      </c>
      <c r="D180" s="195" t="s">
        <v>665</v>
      </c>
      <c r="E180" s="288"/>
      <c r="F180" s="204">
        <v>1.25</v>
      </c>
      <c r="G180" s="204"/>
      <c r="H180" s="197"/>
      <c r="I180" s="198"/>
      <c r="J180" s="205">
        <v>1.22</v>
      </c>
      <c r="K180" s="287">
        <v>1.22</v>
      </c>
      <c r="L180" s="206">
        <v>109.94</v>
      </c>
      <c r="M180" s="286">
        <v>109.94</v>
      </c>
      <c r="N180" s="552">
        <v>41791</v>
      </c>
      <c r="O180" s="205">
        <f t="shared" si="15"/>
        <v>0</v>
      </c>
      <c r="P180" s="555">
        <f>(1+$R$1)*Table33[[#This Row],[Hours]]</f>
        <v>0</v>
      </c>
      <c r="Q180" s="207">
        <f t="shared" si="14"/>
        <v>0</v>
      </c>
      <c r="R180" s="208">
        <f t="shared" si="16"/>
        <v>0</v>
      </c>
      <c r="S180" s="208">
        <f t="shared" si="17"/>
        <v>0</v>
      </c>
      <c r="T180" s="208" t="str">
        <f t="shared" si="18"/>
        <v/>
      </c>
      <c r="U180" s="195">
        <f>Table33[[#This Row],[gal/100ft]]*Table33[[#This Row],[QTY]]/100</f>
        <v>0</v>
      </c>
      <c r="V180" s="195"/>
      <c r="W180" s="195"/>
      <c r="X180" s="195"/>
      <c r="Y180" s="195"/>
    </row>
    <row r="181" spans="1:25" ht="12.75" x14ac:dyDescent="0.2">
      <c r="A181" s="195" t="s">
        <v>593</v>
      </c>
      <c r="B181" s="195" t="s">
        <v>613</v>
      </c>
      <c r="C181" s="195" t="s">
        <v>664</v>
      </c>
      <c r="D181" s="195" t="s">
        <v>665</v>
      </c>
      <c r="E181" s="288"/>
      <c r="F181" s="204">
        <v>1.5</v>
      </c>
      <c r="G181" s="204"/>
      <c r="H181" s="197"/>
      <c r="I181" s="198"/>
      <c r="J181" s="205">
        <v>1.33</v>
      </c>
      <c r="K181" s="287">
        <v>1.33</v>
      </c>
      <c r="L181" s="206">
        <v>146.18</v>
      </c>
      <c r="M181" s="286">
        <v>146.18</v>
      </c>
      <c r="N181" s="552">
        <v>41791</v>
      </c>
      <c r="O181" s="205">
        <f t="shared" si="15"/>
        <v>0</v>
      </c>
      <c r="P181" s="555">
        <f>(1+$R$1)*Table33[[#This Row],[Hours]]</f>
        <v>0</v>
      </c>
      <c r="Q181" s="207">
        <f t="shared" si="14"/>
        <v>0</v>
      </c>
      <c r="R181" s="208">
        <f t="shared" si="16"/>
        <v>0</v>
      </c>
      <c r="S181" s="208">
        <f t="shared" si="17"/>
        <v>0</v>
      </c>
      <c r="T181" s="208" t="str">
        <f t="shared" si="18"/>
        <v/>
      </c>
      <c r="U181" s="195">
        <f>Table33[[#This Row],[gal/100ft]]*Table33[[#This Row],[QTY]]/100</f>
        <v>0</v>
      </c>
      <c r="V181" s="195"/>
      <c r="W181" s="195"/>
      <c r="X181" s="195"/>
      <c r="Y181" s="195"/>
    </row>
    <row r="182" spans="1:25" ht="12.75" x14ac:dyDescent="0.2">
      <c r="A182" s="195" t="s">
        <v>593</v>
      </c>
      <c r="B182" s="195" t="s">
        <v>613</v>
      </c>
      <c r="C182" s="195" t="s">
        <v>664</v>
      </c>
      <c r="D182" s="195" t="s">
        <v>665</v>
      </c>
      <c r="E182" s="288"/>
      <c r="F182" s="204">
        <v>2</v>
      </c>
      <c r="G182" s="204"/>
      <c r="H182" s="197"/>
      <c r="I182" s="198"/>
      <c r="J182" s="205">
        <v>1.67</v>
      </c>
      <c r="K182" s="287">
        <v>1.67</v>
      </c>
      <c r="L182" s="206">
        <v>215.71</v>
      </c>
      <c r="M182" s="286">
        <v>215.71</v>
      </c>
      <c r="N182" s="552">
        <v>41791</v>
      </c>
      <c r="O182" s="205">
        <f t="shared" si="15"/>
        <v>0</v>
      </c>
      <c r="P182" s="555">
        <f>(1+$R$1)*Table33[[#This Row],[Hours]]</f>
        <v>0</v>
      </c>
      <c r="Q182" s="207">
        <f t="shared" si="14"/>
        <v>0</v>
      </c>
      <c r="R182" s="208">
        <f t="shared" si="16"/>
        <v>0</v>
      </c>
      <c r="S182" s="208">
        <f t="shared" si="17"/>
        <v>0</v>
      </c>
      <c r="T182" s="208" t="str">
        <f t="shared" si="18"/>
        <v/>
      </c>
      <c r="U182" s="195">
        <f>Table33[[#This Row],[gal/100ft]]*Table33[[#This Row],[QTY]]/100</f>
        <v>0</v>
      </c>
      <c r="V182" s="195"/>
      <c r="W182" s="195"/>
      <c r="X182" s="195"/>
      <c r="Y182" s="195"/>
    </row>
    <row r="183" spans="1:25" ht="12.75" x14ac:dyDescent="0.2">
      <c r="A183" s="195" t="s">
        <v>612</v>
      </c>
      <c r="B183" s="536" t="s">
        <v>875</v>
      </c>
      <c r="C183" s="195" t="s">
        <v>610</v>
      </c>
      <c r="D183" s="536" t="s">
        <v>870</v>
      </c>
      <c r="E183" s="288"/>
      <c r="F183" s="204">
        <v>3</v>
      </c>
      <c r="G183" s="204" t="s">
        <v>576</v>
      </c>
      <c r="H183" s="197">
        <v>2</v>
      </c>
      <c r="I183" s="198"/>
      <c r="J183" s="205">
        <v>0.93</v>
      </c>
      <c r="K183" s="287">
        <v>0.93</v>
      </c>
      <c r="L183" s="206">
        <v>134</v>
      </c>
      <c r="M183" s="286">
        <v>134</v>
      </c>
      <c r="N183" s="552">
        <v>41791</v>
      </c>
      <c r="O183" s="205">
        <f t="shared" si="15"/>
        <v>0</v>
      </c>
      <c r="P183" s="555">
        <f>(1+$R$1)*Table33[[#This Row],[Hours]]</f>
        <v>0</v>
      </c>
      <c r="Q183" s="207">
        <f t="shared" si="14"/>
        <v>0</v>
      </c>
      <c r="R183" s="208">
        <f t="shared" si="16"/>
        <v>0</v>
      </c>
      <c r="S183" s="208">
        <f t="shared" si="17"/>
        <v>0</v>
      </c>
      <c r="T183" s="208" t="str">
        <f t="shared" si="18"/>
        <v/>
      </c>
      <c r="U183" s="195">
        <f>Table33[[#This Row],[gal/100ft]]*Table33[[#This Row],[QTY]]/100</f>
        <v>0</v>
      </c>
      <c r="V183" s="195"/>
      <c r="W183" s="195"/>
      <c r="X183" s="195"/>
      <c r="Y183" s="195"/>
    </row>
    <row r="184" spans="1:25" ht="12.75" x14ac:dyDescent="0.2">
      <c r="A184" s="195" t="s">
        <v>602</v>
      </c>
      <c r="B184" s="536" t="s">
        <v>875</v>
      </c>
      <c r="C184" s="195" t="s">
        <v>610</v>
      </c>
      <c r="D184" s="195" t="s">
        <v>609</v>
      </c>
      <c r="E184" s="288"/>
      <c r="F184" s="204">
        <v>3</v>
      </c>
      <c r="G184" s="204" t="s">
        <v>576</v>
      </c>
      <c r="H184" s="197">
        <v>2</v>
      </c>
      <c r="I184" s="198"/>
      <c r="J184" s="205">
        <v>5.27</v>
      </c>
      <c r="K184" s="287">
        <v>5.27</v>
      </c>
      <c r="L184" s="206">
        <v>44</v>
      </c>
      <c r="M184" s="286">
        <v>44</v>
      </c>
      <c r="N184" s="552">
        <v>41791</v>
      </c>
      <c r="O184" s="205">
        <f t="shared" si="15"/>
        <v>0</v>
      </c>
      <c r="P184" s="555">
        <f>(1+$R$1)*Table33[[#This Row],[Hours]]</f>
        <v>0</v>
      </c>
      <c r="Q184" s="207">
        <f t="shared" si="14"/>
        <v>0</v>
      </c>
      <c r="R184" s="208">
        <f t="shared" si="16"/>
        <v>0</v>
      </c>
      <c r="S184" s="208">
        <f t="shared" si="17"/>
        <v>0</v>
      </c>
      <c r="T184" s="208" t="str">
        <f t="shared" si="18"/>
        <v/>
      </c>
      <c r="U184" s="195">
        <f>Table33[[#This Row],[gal/100ft]]*Table33[[#This Row],[QTY]]/100</f>
        <v>0</v>
      </c>
      <c r="V184" s="195"/>
      <c r="W184" s="195"/>
      <c r="X184" s="195"/>
      <c r="Y184" s="195"/>
    </row>
    <row r="185" spans="1:25" ht="12.75" x14ac:dyDescent="0.2">
      <c r="A185" s="275" t="s">
        <v>695</v>
      </c>
      <c r="B185" s="275" t="s">
        <v>693</v>
      </c>
      <c r="C185" s="275" t="s">
        <v>645</v>
      </c>
      <c r="D185" s="275" t="s">
        <v>696</v>
      </c>
      <c r="E185" s="288"/>
      <c r="F185" s="204">
        <v>0.5</v>
      </c>
      <c r="G185" s="272"/>
      <c r="H185" s="273"/>
      <c r="I185" s="274"/>
      <c r="J185" s="205">
        <v>0.47</v>
      </c>
      <c r="K185" s="287">
        <v>0.47</v>
      </c>
      <c r="L185" s="206">
        <v>0.35</v>
      </c>
      <c r="M185" s="286">
        <v>0.35</v>
      </c>
      <c r="N185" s="552">
        <v>41791</v>
      </c>
      <c r="O185" s="205">
        <f t="shared" si="15"/>
        <v>0</v>
      </c>
      <c r="P185" s="555">
        <f>(1+$R$1)*Table33[[#This Row],[Hours]]</f>
        <v>0</v>
      </c>
      <c r="Q185" s="207">
        <f t="shared" si="14"/>
        <v>0</v>
      </c>
      <c r="R185" s="208">
        <f t="shared" si="16"/>
        <v>0</v>
      </c>
      <c r="S185" s="208">
        <f t="shared" si="17"/>
        <v>0</v>
      </c>
      <c r="T185" s="208" t="str">
        <f t="shared" si="18"/>
        <v/>
      </c>
      <c r="U185" s="195">
        <f>Table33[[#This Row],[gal/100ft]]*Table33[[#This Row],[QTY]]/100</f>
        <v>0</v>
      </c>
      <c r="V185" s="195"/>
      <c r="W185" s="195"/>
      <c r="X185" s="195"/>
      <c r="Y185" s="195"/>
    </row>
    <row r="186" spans="1:25" ht="12.75" x14ac:dyDescent="0.2">
      <c r="A186" s="275" t="s">
        <v>695</v>
      </c>
      <c r="B186" s="275" t="s">
        <v>693</v>
      </c>
      <c r="C186" s="275" t="s">
        <v>645</v>
      </c>
      <c r="D186" s="275" t="s">
        <v>696</v>
      </c>
      <c r="E186" s="289"/>
      <c r="F186" s="272">
        <v>0.75</v>
      </c>
      <c r="G186" s="272"/>
      <c r="H186" s="273"/>
      <c r="I186" s="274"/>
      <c r="J186" s="205">
        <v>0.62</v>
      </c>
      <c r="K186" s="287">
        <v>0.62</v>
      </c>
      <c r="L186" s="206">
        <v>0.7</v>
      </c>
      <c r="M186" s="286">
        <v>0.7</v>
      </c>
      <c r="N186" s="552">
        <v>41791</v>
      </c>
      <c r="O186" s="205">
        <f t="shared" si="15"/>
        <v>0</v>
      </c>
      <c r="P186" s="555">
        <f>(1+$R$1)*Table33[[#This Row],[Hours]]</f>
        <v>0</v>
      </c>
      <c r="Q186" s="207">
        <f t="shared" si="14"/>
        <v>0</v>
      </c>
      <c r="R186" s="208">
        <f t="shared" si="16"/>
        <v>0</v>
      </c>
      <c r="S186" s="208">
        <f t="shared" si="17"/>
        <v>0</v>
      </c>
      <c r="T186" s="208" t="str">
        <f t="shared" si="18"/>
        <v/>
      </c>
      <c r="U186" s="195">
        <f>Table33[[#This Row],[gal/100ft]]*Table33[[#This Row],[QTY]]/100</f>
        <v>0</v>
      </c>
      <c r="V186" s="195"/>
      <c r="W186" s="195"/>
      <c r="X186" s="195"/>
      <c r="Y186" s="195"/>
    </row>
    <row r="187" spans="1:25" ht="12.75" x14ac:dyDescent="0.2">
      <c r="A187" s="275" t="s">
        <v>695</v>
      </c>
      <c r="B187" s="275" t="s">
        <v>693</v>
      </c>
      <c r="C187" s="275" t="s">
        <v>645</v>
      </c>
      <c r="D187" s="275" t="s">
        <v>696</v>
      </c>
      <c r="E187" s="289"/>
      <c r="F187" s="272">
        <v>1</v>
      </c>
      <c r="G187" s="272"/>
      <c r="H187" s="273"/>
      <c r="I187" s="274"/>
      <c r="J187" s="205">
        <v>0.75</v>
      </c>
      <c r="K187" s="287">
        <v>0.75</v>
      </c>
      <c r="L187" s="206">
        <v>1.4</v>
      </c>
      <c r="M187" s="286">
        <v>1.4</v>
      </c>
      <c r="N187" s="552">
        <v>41791</v>
      </c>
      <c r="O187" s="205">
        <f t="shared" si="15"/>
        <v>0</v>
      </c>
      <c r="P187" s="555">
        <f>(1+$R$1)*Table33[[#This Row],[Hours]]</f>
        <v>0</v>
      </c>
      <c r="Q187" s="207">
        <f t="shared" si="14"/>
        <v>0</v>
      </c>
      <c r="R187" s="208">
        <f t="shared" si="16"/>
        <v>0</v>
      </c>
      <c r="S187" s="208">
        <f t="shared" si="17"/>
        <v>0</v>
      </c>
      <c r="T187" s="208" t="str">
        <f t="shared" si="18"/>
        <v/>
      </c>
      <c r="U187" s="195">
        <f>Table33[[#This Row],[gal/100ft]]*Table33[[#This Row],[QTY]]/100</f>
        <v>0</v>
      </c>
      <c r="V187" s="195"/>
      <c r="W187" s="195"/>
      <c r="X187" s="195"/>
      <c r="Y187" s="195"/>
    </row>
    <row r="188" spans="1:25" ht="12.75" x14ac:dyDescent="0.2">
      <c r="A188" s="275" t="s">
        <v>695</v>
      </c>
      <c r="B188" s="275" t="s">
        <v>693</v>
      </c>
      <c r="C188" s="275" t="s">
        <v>645</v>
      </c>
      <c r="D188" s="275" t="s">
        <v>696</v>
      </c>
      <c r="E188" s="289"/>
      <c r="F188" s="272">
        <v>1.25</v>
      </c>
      <c r="G188" s="272"/>
      <c r="H188" s="273"/>
      <c r="I188" s="274"/>
      <c r="J188" s="205">
        <v>0.81</v>
      </c>
      <c r="K188" s="287">
        <v>0.81</v>
      </c>
      <c r="L188" s="206">
        <v>2.46</v>
      </c>
      <c r="M188" s="286">
        <v>2.46</v>
      </c>
      <c r="N188" s="552">
        <v>41791</v>
      </c>
      <c r="O188" s="205">
        <f t="shared" si="15"/>
        <v>0</v>
      </c>
      <c r="P188" s="555">
        <f>(1+$R$1)*Table33[[#This Row],[Hours]]</f>
        <v>0</v>
      </c>
      <c r="Q188" s="207">
        <f t="shared" si="14"/>
        <v>0</v>
      </c>
      <c r="R188" s="208">
        <f t="shared" si="16"/>
        <v>0</v>
      </c>
      <c r="S188" s="208">
        <f t="shared" si="17"/>
        <v>0</v>
      </c>
      <c r="T188" s="208" t="str">
        <f t="shared" si="18"/>
        <v/>
      </c>
      <c r="U188" s="195">
        <f>Table33[[#This Row],[gal/100ft]]*Table33[[#This Row],[QTY]]/100</f>
        <v>0</v>
      </c>
      <c r="V188" s="195"/>
      <c r="W188" s="195"/>
      <c r="X188" s="195"/>
      <c r="Y188" s="195"/>
    </row>
    <row r="189" spans="1:25" ht="12.75" x14ac:dyDescent="0.2">
      <c r="A189" s="275" t="s">
        <v>695</v>
      </c>
      <c r="B189" s="275" t="s">
        <v>693</v>
      </c>
      <c r="C189" s="275" t="s">
        <v>645</v>
      </c>
      <c r="D189" s="275" t="s">
        <v>696</v>
      </c>
      <c r="E189" s="289"/>
      <c r="F189" s="272">
        <v>1.5</v>
      </c>
      <c r="G189" s="272"/>
      <c r="H189" s="273"/>
      <c r="I189" s="274"/>
      <c r="J189" s="205">
        <v>0.88</v>
      </c>
      <c r="K189" s="287">
        <v>0.88</v>
      </c>
      <c r="L189" s="206">
        <v>3.25</v>
      </c>
      <c r="M189" s="286">
        <v>3.25</v>
      </c>
      <c r="N189" s="552">
        <v>41791</v>
      </c>
      <c r="O189" s="205">
        <f t="shared" si="15"/>
        <v>0</v>
      </c>
      <c r="P189" s="555">
        <f>(1+$R$1)*Table33[[#This Row],[Hours]]</f>
        <v>0</v>
      </c>
      <c r="Q189" s="207">
        <f t="shared" si="14"/>
        <v>0</v>
      </c>
      <c r="R189" s="208">
        <f t="shared" si="16"/>
        <v>0</v>
      </c>
      <c r="S189" s="208">
        <f t="shared" si="17"/>
        <v>0</v>
      </c>
      <c r="T189" s="208" t="str">
        <f t="shared" si="18"/>
        <v/>
      </c>
      <c r="U189" s="195">
        <f>Table33[[#This Row],[gal/100ft]]*Table33[[#This Row],[QTY]]/100</f>
        <v>0</v>
      </c>
      <c r="V189" s="195"/>
      <c r="W189" s="195"/>
      <c r="X189" s="195"/>
      <c r="Y189" s="195"/>
    </row>
    <row r="190" spans="1:25" ht="12.75" x14ac:dyDescent="0.2">
      <c r="A190" s="275" t="s">
        <v>695</v>
      </c>
      <c r="B190" s="275" t="s">
        <v>693</v>
      </c>
      <c r="C190" s="275" t="s">
        <v>645</v>
      </c>
      <c r="D190" s="275" t="s">
        <v>696</v>
      </c>
      <c r="E190" s="289"/>
      <c r="F190" s="272">
        <v>2</v>
      </c>
      <c r="G190" s="272"/>
      <c r="H190" s="273"/>
      <c r="I190" s="274"/>
      <c r="J190" s="205">
        <v>0.97</v>
      </c>
      <c r="K190" s="287">
        <v>0.97</v>
      </c>
      <c r="L190" s="206">
        <v>5.43</v>
      </c>
      <c r="M190" s="286">
        <v>5.43</v>
      </c>
      <c r="N190" s="552">
        <v>41791</v>
      </c>
      <c r="O190" s="205">
        <f t="shared" si="15"/>
        <v>0</v>
      </c>
      <c r="P190" s="555">
        <f>(1+$R$1)*Table33[[#This Row],[Hours]]</f>
        <v>0</v>
      </c>
      <c r="Q190" s="207">
        <f t="shared" si="14"/>
        <v>0</v>
      </c>
      <c r="R190" s="208">
        <f t="shared" si="16"/>
        <v>0</v>
      </c>
      <c r="S190" s="208">
        <f t="shared" si="17"/>
        <v>0</v>
      </c>
      <c r="T190" s="208" t="str">
        <f t="shared" si="18"/>
        <v/>
      </c>
      <c r="U190" s="195">
        <f>Table33[[#This Row],[gal/100ft]]*Table33[[#This Row],[QTY]]/100</f>
        <v>0</v>
      </c>
      <c r="V190" s="195"/>
      <c r="W190" s="195"/>
      <c r="X190" s="195"/>
      <c r="Y190" s="195"/>
    </row>
    <row r="191" spans="1:25" ht="12.75" x14ac:dyDescent="0.2">
      <c r="A191" s="296" t="s">
        <v>606</v>
      </c>
      <c r="B191" s="296" t="s">
        <v>605</v>
      </c>
      <c r="C191" s="296" t="s">
        <v>645</v>
      </c>
      <c r="D191" s="296" t="s">
        <v>709</v>
      </c>
      <c r="E191" s="288"/>
      <c r="F191" s="297">
        <v>0.5</v>
      </c>
      <c r="G191" s="297"/>
      <c r="H191" s="298"/>
      <c r="I191" s="300"/>
      <c r="J191" s="205">
        <v>0.51</v>
      </c>
      <c r="K191" s="287">
        <v>0.13</v>
      </c>
      <c r="L191" s="206">
        <v>1.0589999999999999</v>
      </c>
      <c r="M191" s="286">
        <v>1.0589999999999999</v>
      </c>
      <c r="N191" s="552">
        <v>41791</v>
      </c>
      <c r="O191" s="205">
        <f t="shared" si="15"/>
        <v>0</v>
      </c>
      <c r="P191" s="555">
        <f>(1+$R$1)*Table33[[#This Row],[Hours]]</f>
        <v>0</v>
      </c>
      <c r="Q191" s="207">
        <f t="shared" si="14"/>
        <v>0</v>
      </c>
      <c r="R191" s="208">
        <f t="shared" si="16"/>
        <v>0</v>
      </c>
      <c r="S191" s="208">
        <f t="shared" si="17"/>
        <v>0</v>
      </c>
      <c r="T191" s="208" t="str">
        <f t="shared" si="18"/>
        <v/>
      </c>
      <c r="U191" s="195">
        <f>Table33[[#This Row],[gal/100ft]]*Table33[[#This Row],[QTY]]/100</f>
        <v>0</v>
      </c>
      <c r="V191" s="195"/>
      <c r="W191" s="195"/>
      <c r="X191" s="195"/>
      <c r="Y191" s="195"/>
    </row>
    <row r="192" spans="1:25" ht="12.75" x14ac:dyDescent="0.2">
      <c r="A192" s="296" t="s">
        <v>606</v>
      </c>
      <c r="B192" s="296" t="s">
        <v>605</v>
      </c>
      <c r="C192" s="296" t="s">
        <v>645</v>
      </c>
      <c r="D192" s="296" t="s">
        <v>709</v>
      </c>
      <c r="E192" s="288"/>
      <c r="F192" s="297">
        <v>0.75</v>
      </c>
      <c r="G192" s="297"/>
      <c r="H192" s="298"/>
      <c r="I192" s="300"/>
      <c r="J192" s="205">
        <v>0.56000000000000005</v>
      </c>
      <c r="K192" s="287">
        <v>0.16</v>
      </c>
      <c r="L192" s="206">
        <v>1.1832</v>
      </c>
      <c r="M192" s="286">
        <v>1.1832</v>
      </c>
      <c r="N192" s="552">
        <v>41791</v>
      </c>
      <c r="O192" s="205">
        <f t="shared" si="15"/>
        <v>0</v>
      </c>
      <c r="P192" s="555">
        <f>(1+$R$1)*Table33[[#This Row],[Hours]]</f>
        <v>0</v>
      </c>
      <c r="Q192" s="207">
        <f t="shared" si="14"/>
        <v>0</v>
      </c>
      <c r="R192" s="208">
        <f t="shared" si="16"/>
        <v>0</v>
      </c>
      <c r="S192" s="208">
        <f t="shared" si="17"/>
        <v>0</v>
      </c>
      <c r="T192" s="208" t="str">
        <f t="shared" si="18"/>
        <v/>
      </c>
      <c r="U192" s="195">
        <f>Table33[[#This Row],[gal/100ft]]*Table33[[#This Row],[QTY]]/100</f>
        <v>0</v>
      </c>
      <c r="V192" s="195"/>
      <c r="W192" s="195"/>
      <c r="X192" s="195"/>
      <c r="Y192" s="195"/>
    </row>
    <row r="193" spans="1:25" ht="12.75" x14ac:dyDescent="0.2">
      <c r="A193" s="296" t="s">
        <v>606</v>
      </c>
      <c r="B193" s="296" t="s">
        <v>605</v>
      </c>
      <c r="C193" s="296" t="s">
        <v>645</v>
      </c>
      <c r="D193" s="296" t="s">
        <v>709</v>
      </c>
      <c r="E193" s="288"/>
      <c r="F193" s="297">
        <v>1</v>
      </c>
      <c r="G193" s="297"/>
      <c r="H193" s="298"/>
      <c r="I193" s="300"/>
      <c r="J193" s="205">
        <v>0.6</v>
      </c>
      <c r="K193" s="287">
        <v>0.18</v>
      </c>
      <c r="L193" s="206">
        <v>1.56</v>
      </c>
      <c r="M193" s="286">
        <v>1.56</v>
      </c>
      <c r="N193" s="552">
        <v>41791</v>
      </c>
      <c r="O193" s="205">
        <f t="shared" si="15"/>
        <v>0</v>
      </c>
      <c r="P193" s="555">
        <f>(1+$R$1)*Table33[[#This Row],[Hours]]</f>
        <v>0</v>
      </c>
      <c r="Q193" s="207">
        <f t="shared" si="14"/>
        <v>0</v>
      </c>
      <c r="R193" s="208">
        <f t="shared" si="16"/>
        <v>0</v>
      </c>
      <c r="S193" s="208">
        <f t="shared" si="17"/>
        <v>0</v>
      </c>
      <c r="T193" s="208" t="str">
        <f t="shared" si="18"/>
        <v/>
      </c>
      <c r="U193" s="195">
        <f>Table33[[#This Row],[gal/100ft]]*Table33[[#This Row],[QTY]]/100</f>
        <v>0</v>
      </c>
      <c r="V193" s="195"/>
      <c r="W193" s="195"/>
      <c r="X193" s="195"/>
      <c r="Y193" s="195"/>
    </row>
    <row r="194" spans="1:25" ht="12.75" x14ac:dyDescent="0.2">
      <c r="A194" s="296" t="s">
        <v>606</v>
      </c>
      <c r="B194" s="296" t="s">
        <v>605</v>
      </c>
      <c r="C194" s="296" t="s">
        <v>645</v>
      </c>
      <c r="D194" s="296" t="s">
        <v>709</v>
      </c>
      <c r="E194" s="288"/>
      <c r="F194" s="297">
        <v>1.25</v>
      </c>
      <c r="G194" s="297"/>
      <c r="H194" s="298"/>
      <c r="I194" s="300"/>
      <c r="J194" s="205">
        <v>0.66</v>
      </c>
      <c r="K194" s="287">
        <v>0.2</v>
      </c>
      <c r="L194" s="206">
        <v>1.8683999999999998</v>
      </c>
      <c r="M194" s="286">
        <v>1.8683999999999998</v>
      </c>
      <c r="N194" s="552">
        <v>41791</v>
      </c>
      <c r="O194" s="205">
        <f t="shared" si="15"/>
        <v>0</v>
      </c>
      <c r="P194" s="555">
        <f>(1+$R$1)*Table33[[#This Row],[Hours]]</f>
        <v>0</v>
      </c>
      <c r="Q194" s="207">
        <f t="shared" si="14"/>
        <v>0</v>
      </c>
      <c r="R194" s="208">
        <f t="shared" si="16"/>
        <v>0</v>
      </c>
      <c r="S194" s="208">
        <f t="shared" si="17"/>
        <v>0</v>
      </c>
      <c r="T194" s="208" t="str">
        <f t="shared" si="18"/>
        <v/>
      </c>
      <c r="U194" s="195">
        <f>Table33[[#This Row],[gal/100ft]]*Table33[[#This Row],[QTY]]/100</f>
        <v>0</v>
      </c>
      <c r="V194" s="195"/>
      <c r="W194" s="195"/>
      <c r="X194" s="195"/>
      <c r="Y194" s="195"/>
    </row>
    <row r="195" spans="1:25" ht="12.75" x14ac:dyDescent="0.2">
      <c r="A195" s="296" t="s">
        <v>606</v>
      </c>
      <c r="B195" s="296" t="s">
        <v>605</v>
      </c>
      <c r="C195" s="296" t="s">
        <v>645</v>
      </c>
      <c r="D195" s="296" t="s">
        <v>709</v>
      </c>
      <c r="E195" s="288"/>
      <c r="F195" s="297">
        <v>1.5</v>
      </c>
      <c r="G195" s="297"/>
      <c r="H195" s="298"/>
      <c r="I195" s="300"/>
      <c r="J195" s="205">
        <v>0.69</v>
      </c>
      <c r="K195" s="287">
        <v>0.26</v>
      </c>
      <c r="L195" s="206">
        <v>3.9233999999999996</v>
      </c>
      <c r="M195" s="286">
        <v>3.9233999999999996</v>
      </c>
      <c r="N195" s="552">
        <v>41791</v>
      </c>
      <c r="O195" s="205">
        <f t="shared" si="15"/>
        <v>0</v>
      </c>
      <c r="P195" s="555">
        <f>(1+$R$1)*Table33[[#This Row],[Hours]]</f>
        <v>0</v>
      </c>
      <c r="Q195" s="207">
        <f t="shared" si="14"/>
        <v>0</v>
      </c>
      <c r="R195" s="208">
        <f t="shared" si="16"/>
        <v>0</v>
      </c>
      <c r="S195" s="208">
        <f t="shared" si="17"/>
        <v>0</v>
      </c>
      <c r="T195" s="208" t="str">
        <f t="shared" si="18"/>
        <v/>
      </c>
      <c r="U195" s="195">
        <f>Table33[[#This Row],[gal/100ft]]*Table33[[#This Row],[QTY]]/100</f>
        <v>0</v>
      </c>
      <c r="V195" s="195"/>
      <c r="W195" s="195"/>
      <c r="X195" s="195"/>
      <c r="Y195" s="195"/>
    </row>
    <row r="196" spans="1:25" ht="12.75" x14ac:dyDescent="0.2">
      <c r="A196" s="296" t="s">
        <v>606</v>
      </c>
      <c r="B196" s="296" t="s">
        <v>605</v>
      </c>
      <c r="C196" s="296" t="s">
        <v>645</v>
      </c>
      <c r="D196" s="296" t="s">
        <v>709</v>
      </c>
      <c r="E196" s="288"/>
      <c r="F196" s="297">
        <v>2</v>
      </c>
      <c r="G196" s="297"/>
      <c r="H196" s="298"/>
      <c r="I196" s="300"/>
      <c r="J196" s="205">
        <v>0.79</v>
      </c>
      <c r="K196" s="287">
        <v>0.3</v>
      </c>
      <c r="L196" s="206">
        <v>7.8474000000000004</v>
      </c>
      <c r="M196" s="286">
        <v>7.8474000000000004</v>
      </c>
      <c r="N196" s="552">
        <v>41791</v>
      </c>
      <c r="O196" s="205">
        <f t="shared" si="15"/>
        <v>0</v>
      </c>
      <c r="P196" s="555">
        <f>(1+$R$1)*Table33[[#This Row],[Hours]]</f>
        <v>0</v>
      </c>
      <c r="Q196" s="207">
        <f t="shared" si="14"/>
        <v>0</v>
      </c>
      <c r="R196" s="208">
        <f t="shared" si="16"/>
        <v>0</v>
      </c>
      <c r="S196" s="208">
        <f t="shared" si="17"/>
        <v>0</v>
      </c>
      <c r="T196" s="208" t="str">
        <f t="shared" si="18"/>
        <v/>
      </c>
      <c r="U196" s="195">
        <f>Table33[[#This Row],[gal/100ft]]*Table33[[#This Row],[QTY]]/100</f>
        <v>0</v>
      </c>
      <c r="V196" s="195"/>
      <c r="W196" s="195"/>
      <c r="X196" s="195"/>
      <c r="Y196" s="195"/>
    </row>
    <row r="197" spans="1:25" ht="12.75" x14ac:dyDescent="0.2">
      <c r="A197" s="296" t="s">
        <v>606</v>
      </c>
      <c r="B197" s="296" t="s">
        <v>605</v>
      </c>
      <c r="C197" s="296" t="s">
        <v>645</v>
      </c>
      <c r="D197" s="296" t="s">
        <v>709</v>
      </c>
      <c r="E197" s="288"/>
      <c r="F197" s="297">
        <v>2.5</v>
      </c>
      <c r="G197" s="297"/>
      <c r="H197" s="298"/>
      <c r="I197" s="300"/>
      <c r="J197" s="205">
        <v>0.98</v>
      </c>
      <c r="K197" s="287">
        <v>0.33</v>
      </c>
      <c r="L197" s="206">
        <v>8.7815999999999992</v>
      </c>
      <c r="M197" s="286">
        <v>8.7815999999999992</v>
      </c>
      <c r="N197" s="552">
        <v>41791</v>
      </c>
      <c r="O197" s="205">
        <f t="shared" si="15"/>
        <v>0</v>
      </c>
      <c r="P197" s="555">
        <f>(1+$R$1)*Table33[[#This Row],[Hours]]</f>
        <v>0</v>
      </c>
      <c r="Q197" s="207">
        <f t="shared" si="14"/>
        <v>0</v>
      </c>
      <c r="R197" s="208">
        <f t="shared" si="16"/>
        <v>0</v>
      </c>
      <c r="S197" s="208">
        <f t="shared" si="17"/>
        <v>0</v>
      </c>
      <c r="T197" s="208" t="str">
        <f t="shared" si="18"/>
        <v/>
      </c>
      <c r="U197" s="195">
        <f>Table33[[#This Row],[gal/100ft]]*Table33[[#This Row],[QTY]]/100</f>
        <v>0</v>
      </c>
      <c r="V197" s="195"/>
      <c r="W197" s="195"/>
      <c r="X197" s="195"/>
      <c r="Y197" s="195"/>
    </row>
    <row r="198" spans="1:25" ht="12.75" x14ac:dyDescent="0.2">
      <c r="A198" s="296" t="s">
        <v>606</v>
      </c>
      <c r="B198" s="296" t="s">
        <v>605</v>
      </c>
      <c r="C198" s="296" t="s">
        <v>645</v>
      </c>
      <c r="D198" s="296" t="s">
        <v>709</v>
      </c>
      <c r="E198" s="288"/>
      <c r="F198" s="297">
        <v>3</v>
      </c>
      <c r="G198" s="297"/>
      <c r="H198" s="298"/>
      <c r="I198" s="300"/>
      <c r="J198" s="205">
        <v>1.17</v>
      </c>
      <c r="K198" s="287">
        <v>0.45</v>
      </c>
      <c r="L198" s="206">
        <v>19.303199999999997</v>
      </c>
      <c r="M198" s="286">
        <v>19.303199999999997</v>
      </c>
      <c r="N198" s="552">
        <v>41791</v>
      </c>
      <c r="O198" s="205">
        <f t="shared" si="15"/>
        <v>0</v>
      </c>
      <c r="P198" s="555">
        <f>(1+$R$1)*Table33[[#This Row],[Hours]]</f>
        <v>0</v>
      </c>
      <c r="Q198" s="207">
        <f t="shared" si="14"/>
        <v>0</v>
      </c>
      <c r="R198" s="208">
        <f t="shared" si="16"/>
        <v>0</v>
      </c>
      <c r="S198" s="208">
        <f t="shared" si="17"/>
        <v>0</v>
      </c>
      <c r="T198" s="208" t="str">
        <f t="shared" si="18"/>
        <v/>
      </c>
      <c r="U198" s="195">
        <f>Table33[[#This Row],[gal/100ft]]*Table33[[#This Row],[QTY]]/100</f>
        <v>0</v>
      </c>
      <c r="V198" s="195"/>
      <c r="W198" s="195"/>
      <c r="X198" s="195"/>
      <c r="Y198" s="195"/>
    </row>
    <row r="199" spans="1:25" ht="12.75" x14ac:dyDescent="0.2">
      <c r="A199" s="296" t="s">
        <v>606</v>
      </c>
      <c r="B199" s="296" t="s">
        <v>605</v>
      </c>
      <c r="C199" s="296" t="s">
        <v>645</v>
      </c>
      <c r="D199" s="296" t="s">
        <v>709</v>
      </c>
      <c r="E199" s="288"/>
      <c r="F199" s="297">
        <v>3.5</v>
      </c>
      <c r="G199" s="297"/>
      <c r="H199" s="298"/>
      <c r="I199" s="300"/>
      <c r="J199" s="205">
        <v>1.37</v>
      </c>
      <c r="K199" s="287">
        <v>0.45</v>
      </c>
      <c r="L199" s="206">
        <v>31.396799999999999</v>
      </c>
      <c r="M199" s="286">
        <v>31.396799999999999</v>
      </c>
      <c r="N199" s="552">
        <v>41791</v>
      </c>
      <c r="O199" s="205">
        <f t="shared" si="15"/>
        <v>0</v>
      </c>
      <c r="P199" s="555">
        <f>(1+$R$1)*Table33[[#This Row],[Hours]]</f>
        <v>0</v>
      </c>
      <c r="Q199" s="207">
        <f t="shared" ref="Q199:Q262" si="19">P199*$O$1</f>
        <v>0</v>
      </c>
      <c r="R199" s="208">
        <f t="shared" si="16"/>
        <v>0</v>
      </c>
      <c r="S199" s="208">
        <f t="shared" si="17"/>
        <v>0</v>
      </c>
      <c r="T199" s="208" t="str">
        <f t="shared" si="18"/>
        <v/>
      </c>
      <c r="U199" s="195">
        <f>Table33[[#This Row],[gal/100ft]]*Table33[[#This Row],[QTY]]/100</f>
        <v>0</v>
      </c>
      <c r="V199" s="195"/>
      <c r="W199" s="195"/>
      <c r="X199" s="195"/>
      <c r="Y199" s="195"/>
    </row>
    <row r="200" spans="1:25" ht="12.75" x14ac:dyDescent="0.2">
      <c r="A200" s="296" t="s">
        <v>606</v>
      </c>
      <c r="B200" s="296" t="s">
        <v>605</v>
      </c>
      <c r="C200" s="296" t="s">
        <v>645</v>
      </c>
      <c r="D200" s="296" t="s">
        <v>709</v>
      </c>
      <c r="E200" s="288"/>
      <c r="F200" s="297">
        <v>4</v>
      </c>
      <c r="G200" s="297"/>
      <c r="H200" s="298"/>
      <c r="I200" s="300"/>
      <c r="J200" s="205">
        <v>1.56</v>
      </c>
      <c r="K200" s="287">
        <v>0.55000000000000004</v>
      </c>
      <c r="L200" s="206">
        <v>41.197799999999994</v>
      </c>
      <c r="M200" s="286">
        <v>41.197799999999994</v>
      </c>
      <c r="N200" s="552">
        <v>41791</v>
      </c>
      <c r="O200" s="205">
        <f t="shared" si="15"/>
        <v>0</v>
      </c>
      <c r="P200" s="555">
        <f>(1+$R$1)*Table33[[#This Row],[Hours]]</f>
        <v>0</v>
      </c>
      <c r="Q200" s="207">
        <f t="shared" si="19"/>
        <v>0</v>
      </c>
      <c r="R200" s="208">
        <f t="shared" si="16"/>
        <v>0</v>
      </c>
      <c r="S200" s="208">
        <f t="shared" si="17"/>
        <v>0</v>
      </c>
      <c r="T200" s="208" t="str">
        <f t="shared" si="18"/>
        <v/>
      </c>
      <c r="U200" s="195">
        <f>Table33[[#This Row],[gal/100ft]]*Table33[[#This Row],[QTY]]/100</f>
        <v>0</v>
      </c>
      <c r="V200" s="195"/>
      <c r="W200" s="195"/>
      <c r="X200" s="195"/>
      <c r="Y200" s="195"/>
    </row>
    <row r="201" spans="1:25" ht="12.75" x14ac:dyDescent="0.2">
      <c r="A201" s="195" t="s">
        <v>612</v>
      </c>
      <c r="B201" s="536" t="s">
        <v>874</v>
      </c>
      <c r="C201" s="195" t="s">
        <v>645</v>
      </c>
      <c r="D201" s="536" t="s">
        <v>871</v>
      </c>
      <c r="E201" s="288"/>
      <c r="F201" s="204">
        <v>1</v>
      </c>
      <c r="G201" s="204"/>
      <c r="H201" s="197"/>
      <c r="I201" s="198"/>
      <c r="J201" s="205">
        <v>7.0000000000000007E-2</v>
      </c>
      <c r="K201" s="287">
        <v>7.0000000000000007E-2</v>
      </c>
      <c r="L201" s="206">
        <v>15.85</v>
      </c>
      <c r="M201" s="286">
        <v>15.85</v>
      </c>
      <c r="N201" s="552">
        <v>41791</v>
      </c>
      <c r="O201" s="205">
        <f t="shared" si="15"/>
        <v>0</v>
      </c>
      <c r="P201" s="555">
        <f>(1+$R$1)*Table33[[#This Row],[Hours]]</f>
        <v>0</v>
      </c>
      <c r="Q201" s="207">
        <f t="shared" si="19"/>
        <v>0</v>
      </c>
      <c r="R201" s="208">
        <f t="shared" si="16"/>
        <v>0</v>
      </c>
      <c r="S201" s="208">
        <f t="shared" si="17"/>
        <v>0</v>
      </c>
      <c r="T201" s="208" t="str">
        <f t="shared" si="18"/>
        <v/>
      </c>
      <c r="U201" s="195">
        <f>Table33[[#This Row],[gal/100ft]]*Table33[[#This Row],[QTY]]/100</f>
        <v>0</v>
      </c>
      <c r="V201" s="195"/>
      <c r="W201" s="195"/>
      <c r="X201" s="195"/>
      <c r="Y201" s="195"/>
    </row>
    <row r="202" spans="1:25" ht="12.75" x14ac:dyDescent="0.2">
      <c r="A202" s="195" t="s">
        <v>612</v>
      </c>
      <c r="B202" s="536" t="s">
        <v>874</v>
      </c>
      <c r="C202" s="195" t="s">
        <v>645</v>
      </c>
      <c r="D202" s="536" t="s">
        <v>871</v>
      </c>
      <c r="E202" s="288"/>
      <c r="F202" s="204">
        <v>1.25</v>
      </c>
      <c r="G202" s="204"/>
      <c r="H202" s="197"/>
      <c r="I202" s="198"/>
      <c r="J202" s="205">
        <v>0.08</v>
      </c>
      <c r="K202" s="287">
        <v>0.08</v>
      </c>
      <c r="L202" s="206">
        <v>15.85</v>
      </c>
      <c r="M202" s="286">
        <v>15.85</v>
      </c>
      <c r="N202" s="552">
        <v>41791</v>
      </c>
      <c r="O202" s="205">
        <f t="shared" si="15"/>
        <v>0</v>
      </c>
      <c r="P202" s="555">
        <f>(1+$R$1)*Table33[[#This Row],[Hours]]</f>
        <v>0</v>
      </c>
      <c r="Q202" s="207">
        <f t="shared" si="19"/>
        <v>0</v>
      </c>
      <c r="R202" s="208">
        <f t="shared" si="16"/>
        <v>0</v>
      </c>
      <c r="S202" s="208">
        <f t="shared" si="17"/>
        <v>0</v>
      </c>
      <c r="T202" s="208" t="str">
        <f t="shared" si="18"/>
        <v/>
      </c>
      <c r="U202" s="195">
        <f>Table33[[#This Row],[gal/100ft]]*Table33[[#This Row],[QTY]]/100</f>
        <v>0</v>
      </c>
      <c r="V202" s="195"/>
      <c r="W202" s="195"/>
      <c r="X202" s="195"/>
      <c r="Y202" s="195"/>
    </row>
    <row r="203" spans="1:25" ht="12.75" x14ac:dyDescent="0.2">
      <c r="A203" s="195" t="s">
        <v>612</v>
      </c>
      <c r="B203" s="536" t="s">
        <v>874</v>
      </c>
      <c r="C203" s="195" t="s">
        <v>645</v>
      </c>
      <c r="D203" s="536" t="s">
        <v>871</v>
      </c>
      <c r="E203" s="288"/>
      <c r="F203" s="204">
        <v>1.5</v>
      </c>
      <c r="G203" s="204"/>
      <c r="H203" s="197"/>
      <c r="I203" s="198"/>
      <c r="J203" s="205">
        <v>0.08</v>
      </c>
      <c r="K203" s="287">
        <v>0.08</v>
      </c>
      <c r="L203" s="206">
        <v>15.15</v>
      </c>
      <c r="M203" s="286">
        <v>15.15</v>
      </c>
      <c r="N203" s="552">
        <v>41791</v>
      </c>
      <c r="O203" s="205">
        <f t="shared" si="15"/>
        <v>0</v>
      </c>
      <c r="P203" s="555">
        <f>(1+$R$1)*Table33[[#This Row],[Hours]]</f>
        <v>0</v>
      </c>
      <c r="Q203" s="207">
        <f t="shared" si="19"/>
        <v>0</v>
      </c>
      <c r="R203" s="208">
        <f t="shared" si="16"/>
        <v>0</v>
      </c>
      <c r="S203" s="208">
        <f t="shared" si="17"/>
        <v>0</v>
      </c>
      <c r="T203" s="208" t="str">
        <f t="shared" si="18"/>
        <v/>
      </c>
      <c r="U203" s="195">
        <f>Table33[[#This Row],[gal/100ft]]*Table33[[#This Row],[QTY]]/100</f>
        <v>0</v>
      </c>
      <c r="V203" s="195"/>
      <c r="W203" s="195"/>
      <c r="X203" s="195"/>
      <c r="Y203" s="195"/>
    </row>
    <row r="204" spans="1:25" ht="12.75" x14ac:dyDescent="0.2">
      <c r="A204" s="195" t="s">
        <v>612</v>
      </c>
      <c r="B204" s="536" t="s">
        <v>874</v>
      </c>
      <c r="C204" s="195" t="s">
        <v>645</v>
      </c>
      <c r="D204" s="536" t="s">
        <v>871</v>
      </c>
      <c r="E204" s="288"/>
      <c r="F204" s="204">
        <v>2</v>
      </c>
      <c r="G204" s="204"/>
      <c r="H204" s="197"/>
      <c r="I204" s="198"/>
      <c r="J204" s="205">
        <v>0.09</v>
      </c>
      <c r="K204" s="287">
        <v>0.09</v>
      </c>
      <c r="L204" s="206">
        <v>44.5</v>
      </c>
      <c r="M204" s="286">
        <v>44.5</v>
      </c>
      <c r="N204" s="552">
        <v>41791</v>
      </c>
      <c r="O204" s="205">
        <f t="shared" si="15"/>
        <v>0</v>
      </c>
      <c r="P204" s="555">
        <f>(1+$R$1)*Table33[[#This Row],[Hours]]</f>
        <v>0</v>
      </c>
      <c r="Q204" s="207">
        <f t="shared" si="19"/>
        <v>0</v>
      </c>
      <c r="R204" s="208">
        <f t="shared" si="16"/>
        <v>0</v>
      </c>
      <c r="S204" s="208">
        <f t="shared" si="17"/>
        <v>0</v>
      </c>
      <c r="T204" s="208" t="str">
        <f t="shared" si="18"/>
        <v/>
      </c>
      <c r="U204" s="195">
        <f>Table33[[#This Row],[gal/100ft]]*Table33[[#This Row],[QTY]]/100</f>
        <v>0</v>
      </c>
      <c r="V204" s="195"/>
      <c r="W204" s="195"/>
      <c r="X204" s="195"/>
      <c r="Y204" s="195"/>
    </row>
    <row r="205" spans="1:25" ht="12.75" x14ac:dyDescent="0.2">
      <c r="A205" s="195" t="s">
        <v>612</v>
      </c>
      <c r="B205" s="536" t="s">
        <v>874</v>
      </c>
      <c r="C205" s="195" t="s">
        <v>645</v>
      </c>
      <c r="D205" s="536" t="s">
        <v>871</v>
      </c>
      <c r="E205" s="288"/>
      <c r="F205" s="204">
        <v>2.5</v>
      </c>
      <c r="G205" s="204"/>
      <c r="H205" s="197"/>
      <c r="I205" s="198"/>
      <c r="J205" s="205">
        <v>0.09</v>
      </c>
      <c r="K205" s="287">
        <v>0.09</v>
      </c>
      <c r="L205" s="206">
        <v>15.15</v>
      </c>
      <c r="M205" s="286">
        <v>15.15</v>
      </c>
      <c r="N205" s="552">
        <v>41791</v>
      </c>
      <c r="O205" s="205">
        <f t="shared" si="15"/>
        <v>0</v>
      </c>
      <c r="P205" s="555">
        <f>(1+$R$1)*Table33[[#This Row],[Hours]]</f>
        <v>0</v>
      </c>
      <c r="Q205" s="207">
        <f t="shared" si="19"/>
        <v>0</v>
      </c>
      <c r="R205" s="208">
        <f t="shared" si="16"/>
        <v>0</v>
      </c>
      <c r="S205" s="208">
        <f t="shared" si="17"/>
        <v>0</v>
      </c>
      <c r="T205" s="208" t="str">
        <f t="shared" si="18"/>
        <v/>
      </c>
      <c r="U205" s="195">
        <f>Table33[[#This Row],[gal/100ft]]*Table33[[#This Row],[QTY]]/100</f>
        <v>0</v>
      </c>
      <c r="V205" s="195"/>
      <c r="W205" s="195"/>
      <c r="X205" s="195"/>
      <c r="Y205" s="195"/>
    </row>
    <row r="206" spans="1:25" ht="12.75" x14ac:dyDescent="0.2">
      <c r="A206" s="195" t="s">
        <v>612</v>
      </c>
      <c r="B206" s="536" t="s">
        <v>874</v>
      </c>
      <c r="C206" s="195" t="s">
        <v>645</v>
      </c>
      <c r="D206" s="536" t="s">
        <v>871</v>
      </c>
      <c r="E206" s="288"/>
      <c r="F206" s="204">
        <v>3</v>
      </c>
      <c r="G206" s="204"/>
      <c r="H206" s="197"/>
      <c r="I206" s="198"/>
      <c r="J206" s="205">
        <v>0.1</v>
      </c>
      <c r="K206" s="287">
        <v>0.1</v>
      </c>
      <c r="L206" s="206">
        <v>17.45</v>
      </c>
      <c r="M206" s="286">
        <v>17.45</v>
      </c>
      <c r="N206" s="552">
        <v>41791</v>
      </c>
      <c r="O206" s="205">
        <f t="shared" si="15"/>
        <v>0</v>
      </c>
      <c r="P206" s="555">
        <f>(1+$R$1)*Table33[[#This Row],[Hours]]</f>
        <v>0</v>
      </c>
      <c r="Q206" s="207">
        <f t="shared" si="19"/>
        <v>0</v>
      </c>
      <c r="R206" s="208">
        <f t="shared" si="16"/>
        <v>0</v>
      </c>
      <c r="S206" s="208">
        <f t="shared" si="17"/>
        <v>0</v>
      </c>
      <c r="T206" s="208" t="str">
        <f t="shared" si="18"/>
        <v/>
      </c>
      <c r="U206" s="195">
        <f>Table33[[#This Row],[gal/100ft]]*Table33[[#This Row],[QTY]]/100</f>
        <v>0</v>
      </c>
      <c r="V206" s="195"/>
      <c r="W206" s="195"/>
      <c r="X206" s="195"/>
      <c r="Y206" s="195"/>
    </row>
    <row r="207" spans="1:25" ht="12.75" x14ac:dyDescent="0.2">
      <c r="A207" s="195" t="s">
        <v>612</v>
      </c>
      <c r="B207" s="536" t="s">
        <v>874</v>
      </c>
      <c r="C207" s="195" t="s">
        <v>645</v>
      </c>
      <c r="D207" s="536" t="s">
        <v>871</v>
      </c>
      <c r="E207" s="288"/>
      <c r="F207" s="204">
        <v>4</v>
      </c>
      <c r="G207" s="204"/>
      <c r="H207" s="197"/>
      <c r="I207" s="198"/>
      <c r="J207" s="205">
        <v>0.15</v>
      </c>
      <c r="K207" s="287">
        <v>0.15</v>
      </c>
      <c r="L207" s="206">
        <v>24.45</v>
      </c>
      <c r="M207" s="286">
        <v>24.45</v>
      </c>
      <c r="N207" s="552">
        <v>41791</v>
      </c>
      <c r="O207" s="205">
        <f t="shared" si="15"/>
        <v>0</v>
      </c>
      <c r="P207" s="555">
        <f>(1+$R$1)*Table33[[#This Row],[Hours]]</f>
        <v>0</v>
      </c>
      <c r="Q207" s="207">
        <f t="shared" si="19"/>
        <v>0</v>
      </c>
      <c r="R207" s="208">
        <f t="shared" si="16"/>
        <v>0</v>
      </c>
      <c r="S207" s="208">
        <f t="shared" si="17"/>
        <v>0</v>
      </c>
      <c r="T207" s="208" t="str">
        <f t="shared" si="18"/>
        <v/>
      </c>
      <c r="U207" s="195">
        <f>Table33[[#This Row],[gal/100ft]]*Table33[[#This Row],[QTY]]/100</f>
        <v>0</v>
      </c>
      <c r="V207" s="195"/>
      <c r="W207" s="195"/>
      <c r="X207" s="195"/>
      <c r="Y207" s="195"/>
    </row>
    <row r="208" spans="1:25" ht="12.75" x14ac:dyDescent="0.2">
      <c r="A208" s="195" t="s">
        <v>612</v>
      </c>
      <c r="B208" s="536" t="s">
        <v>874</v>
      </c>
      <c r="C208" s="195" t="s">
        <v>645</v>
      </c>
      <c r="D208" s="536" t="s">
        <v>871</v>
      </c>
      <c r="E208" s="288"/>
      <c r="F208" s="204">
        <v>6</v>
      </c>
      <c r="G208" s="204"/>
      <c r="H208" s="197"/>
      <c r="I208" s="198"/>
      <c r="J208" s="205">
        <v>0.23</v>
      </c>
      <c r="K208" s="287">
        <v>0.23</v>
      </c>
      <c r="L208" s="206">
        <v>41.49</v>
      </c>
      <c r="M208" s="286">
        <v>41.49</v>
      </c>
      <c r="N208" s="552">
        <v>41791</v>
      </c>
      <c r="O208" s="205">
        <f t="shared" si="15"/>
        <v>0</v>
      </c>
      <c r="P208" s="555">
        <f>(1+$R$1)*Table33[[#This Row],[Hours]]</f>
        <v>0</v>
      </c>
      <c r="Q208" s="207">
        <f t="shared" si="19"/>
        <v>0</v>
      </c>
      <c r="R208" s="208">
        <f t="shared" si="16"/>
        <v>0</v>
      </c>
      <c r="S208" s="208">
        <f t="shared" si="17"/>
        <v>0</v>
      </c>
      <c r="T208" s="208" t="str">
        <f t="shared" si="18"/>
        <v/>
      </c>
      <c r="U208" s="195">
        <f>Table33[[#This Row],[gal/100ft]]*Table33[[#This Row],[QTY]]/100</f>
        <v>0</v>
      </c>
      <c r="V208" s="195"/>
      <c r="W208" s="195"/>
      <c r="X208" s="195"/>
      <c r="Y208" s="195"/>
    </row>
    <row r="209" spans="1:25" ht="12.75" x14ac:dyDescent="0.2">
      <c r="A209" s="195" t="s">
        <v>612</v>
      </c>
      <c r="B209" s="536" t="s">
        <v>874</v>
      </c>
      <c r="C209" s="195" t="s">
        <v>645</v>
      </c>
      <c r="D209" s="536" t="s">
        <v>871</v>
      </c>
      <c r="E209" s="288"/>
      <c r="F209" s="204">
        <v>8</v>
      </c>
      <c r="G209" s="204"/>
      <c r="H209" s="197"/>
      <c r="I209" s="198"/>
      <c r="J209" s="205">
        <v>0.35</v>
      </c>
      <c r="K209" s="287">
        <v>0.35</v>
      </c>
      <c r="L209" s="206">
        <v>65.42</v>
      </c>
      <c r="M209" s="286">
        <v>65.42</v>
      </c>
      <c r="N209" s="552">
        <v>41791</v>
      </c>
      <c r="O209" s="205">
        <f t="shared" si="15"/>
        <v>0</v>
      </c>
      <c r="P209" s="555">
        <f>(1+$R$1)*Table33[[#This Row],[Hours]]</f>
        <v>0</v>
      </c>
      <c r="Q209" s="207">
        <f t="shared" si="19"/>
        <v>0</v>
      </c>
      <c r="R209" s="208">
        <f t="shared" si="16"/>
        <v>0</v>
      </c>
      <c r="S209" s="208">
        <f t="shared" si="17"/>
        <v>0</v>
      </c>
      <c r="T209" s="208" t="str">
        <f t="shared" si="18"/>
        <v/>
      </c>
      <c r="U209" s="195">
        <f>Table33[[#This Row],[gal/100ft]]*Table33[[#This Row],[QTY]]/100</f>
        <v>0</v>
      </c>
      <c r="V209" s="195"/>
      <c r="W209" s="195"/>
      <c r="X209" s="195"/>
      <c r="Y209" s="195"/>
    </row>
    <row r="210" spans="1:25" ht="12.75" x14ac:dyDescent="0.2">
      <c r="A210" s="195" t="s">
        <v>612</v>
      </c>
      <c r="B210" s="536" t="s">
        <v>874</v>
      </c>
      <c r="C210" s="195" t="s">
        <v>645</v>
      </c>
      <c r="D210" s="536" t="s">
        <v>871</v>
      </c>
      <c r="E210" s="288"/>
      <c r="F210" s="204">
        <v>10</v>
      </c>
      <c r="G210" s="204"/>
      <c r="H210" s="197"/>
      <c r="I210" s="198"/>
      <c r="J210" s="205">
        <v>0.48</v>
      </c>
      <c r="K210" s="287">
        <v>0.48</v>
      </c>
      <c r="L210" s="206">
        <v>117.46</v>
      </c>
      <c r="M210" s="286">
        <v>117.46</v>
      </c>
      <c r="N210" s="552">
        <v>41791</v>
      </c>
      <c r="O210" s="205">
        <f t="shared" si="15"/>
        <v>0</v>
      </c>
      <c r="P210" s="555">
        <f>(1+$R$1)*Table33[[#This Row],[Hours]]</f>
        <v>0</v>
      </c>
      <c r="Q210" s="207">
        <f t="shared" si="19"/>
        <v>0</v>
      </c>
      <c r="R210" s="208">
        <f t="shared" si="16"/>
        <v>0</v>
      </c>
      <c r="S210" s="208">
        <f t="shared" si="17"/>
        <v>0</v>
      </c>
      <c r="T210" s="208" t="str">
        <f t="shared" si="18"/>
        <v/>
      </c>
      <c r="U210" s="195">
        <f>Table33[[#This Row],[gal/100ft]]*Table33[[#This Row],[QTY]]/100</f>
        <v>0</v>
      </c>
      <c r="V210" s="195"/>
      <c r="W210" s="195"/>
      <c r="X210" s="195"/>
      <c r="Y210" s="195"/>
    </row>
    <row r="211" spans="1:25" ht="12.75" x14ac:dyDescent="0.2">
      <c r="A211" s="195" t="s">
        <v>612</v>
      </c>
      <c r="B211" s="536" t="s">
        <v>874</v>
      </c>
      <c r="C211" s="195" t="s">
        <v>645</v>
      </c>
      <c r="D211" s="536" t="s">
        <v>871</v>
      </c>
      <c r="E211" s="288"/>
      <c r="F211" s="204">
        <v>12</v>
      </c>
      <c r="G211" s="204"/>
      <c r="H211" s="197"/>
      <c r="I211" s="198"/>
      <c r="J211" s="205">
        <v>0.56999999999999995</v>
      </c>
      <c r="K211" s="287">
        <v>0.56999999999999995</v>
      </c>
      <c r="L211" s="206">
        <v>133.55000000000001</v>
      </c>
      <c r="M211" s="286">
        <v>133.55000000000001</v>
      </c>
      <c r="N211" s="552">
        <v>41791</v>
      </c>
      <c r="O211" s="205">
        <f t="shared" si="15"/>
        <v>0</v>
      </c>
      <c r="P211" s="555">
        <f>(1+$R$1)*Table33[[#This Row],[Hours]]</f>
        <v>0</v>
      </c>
      <c r="Q211" s="207">
        <f t="shared" si="19"/>
        <v>0</v>
      </c>
      <c r="R211" s="208">
        <f t="shared" si="16"/>
        <v>0</v>
      </c>
      <c r="S211" s="208">
        <f t="shared" si="17"/>
        <v>0</v>
      </c>
      <c r="T211" s="208" t="str">
        <f t="shared" si="18"/>
        <v/>
      </c>
      <c r="U211" s="195">
        <f>Table33[[#This Row],[gal/100ft]]*Table33[[#This Row],[QTY]]/100</f>
        <v>0</v>
      </c>
      <c r="V211" s="195"/>
      <c r="W211" s="195"/>
      <c r="X211" s="195"/>
      <c r="Y211" s="195"/>
    </row>
    <row r="212" spans="1:25" ht="12.75" x14ac:dyDescent="0.2">
      <c r="A212" s="311" t="s">
        <v>711</v>
      </c>
      <c r="B212" s="311" t="s">
        <v>711</v>
      </c>
      <c r="C212" s="311" t="s">
        <v>645</v>
      </c>
      <c r="D212" s="311" t="s">
        <v>714</v>
      </c>
      <c r="E212" s="288"/>
      <c r="F212" s="297">
        <v>0.5</v>
      </c>
      <c r="G212" s="312"/>
      <c r="H212" s="313"/>
      <c r="I212" s="314"/>
      <c r="J212" s="205">
        <v>0.12</v>
      </c>
      <c r="K212" s="287">
        <v>0.12</v>
      </c>
      <c r="L212" s="206">
        <v>1.36</v>
      </c>
      <c r="M212" s="286">
        <v>1.36</v>
      </c>
      <c r="N212" s="552">
        <v>41791</v>
      </c>
      <c r="O212" s="205">
        <f t="shared" si="15"/>
        <v>0</v>
      </c>
      <c r="P212" s="555">
        <f>(1+$R$1)*Table33[[#This Row],[Hours]]</f>
        <v>0</v>
      </c>
      <c r="Q212" s="207">
        <f t="shared" si="19"/>
        <v>0</v>
      </c>
      <c r="R212" s="208">
        <f t="shared" si="16"/>
        <v>0</v>
      </c>
      <c r="S212" s="208">
        <f t="shared" si="17"/>
        <v>0</v>
      </c>
      <c r="T212" s="208" t="str">
        <f t="shared" si="18"/>
        <v/>
      </c>
      <c r="U212" s="195">
        <f>Table33[[#This Row],[gal/100ft]]*Table33[[#This Row],[QTY]]/100</f>
        <v>0</v>
      </c>
      <c r="V212" s="195"/>
      <c r="W212" s="195"/>
      <c r="X212" s="195"/>
      <c r="Y212" s="195"/>
    </row>
    <row r="213" spans="1:25" ht="12.75" x14ac:dyDescent="0.2">
      <c r="A213" s="311" t="s">
        <v>711</v>
      </c>
      <c r="B213" s="311" t="s">
        <v>711</v>
      </c>
      <c r="C213" s="311" t="s">
        <v>645</v>
      </c>
      <c r="D213" s="311" t="s">
        <v>714</v>
      </c>
      <c r="E213" s="288"/>
      <c r="F213" s="297">
        <v>0.75</v>
      </c>
      <c r="G213" s="312"/>
      <c r="H213" s="313"/>
      <c r="I213" s="314"/>
      <c r="J213" s="205">
        <v>0.16</v>
      </c>
      <c r="K213" s="287">
        <v>0.16</v>
      </c>
      <c r="L213" s="206">
        <v>2.06</v>
      </c>
      <c r="M213" s="286">
        <v>2.06</v>
      </c>
      <c r="N213" s="552">
        <v>41791</v>
      </c>
      <c r="O213" s="205">
        <f t="shared" si="15"/>
        <v>0</v>
      </c>
      <c r="P213" s="555">
        <f>(1+$R$1)*Table33[[#This Row],[Hours]]</f>
        <v>0</v>
      </c>
      <c r="Q213" s="207">
        <f t="shared" si="19"/>
        <v>0</v>
      </c>
      <c r="R213" s="208">
        <f t="shared" si="16"/>
        <v>0</v>
      </c>
      <c r="S213" s="208">
        <f t="shared" si="17"/>
        <v>0</v>
      </c>
      <c r="T213" s="208" t="str">
        <f t="shared" si="18"/>
        <v/>
      </c>
      <c r="U213" s="195">
        <f>Table33[[#This Row],[gal/100ft]]*Table33[[#This Row],[QTY]]/100</f>
        <v>0</v>
      </c>
      <c r="V213" s="195"/>
      <c r="W213" s="195"/>
      <c r="X213" s="195"/>
      <c r="Y213" s="195"/>
    </row>
    <row r="214" spans="1:25" ht="12.75" x14ac:dyDescent="0.2">
      <c r="A214" s="311" t="s">
        <v>711</v>
      </c>
      <c r="B214" s="311" t="s">
        <v>711</v>
      </c>
      <c r="C214" s="311" t="s">
        <v>645</v>
      </c>
      <c r="D214" s="311" t="s">
        <v>714</v>
      </c>
      <c r="E214" s="288"/>
      <c r="F214" s="297">
        <v>1</v>
      </c>
      <c r="G214" s="312"/>
      <c r="H214" s="313"/>
      <c r="I214" s="314"/>
      <c r="J214" s="205">
        <v>0.17</v>
      </c>
      <c r="K214" s="287">
        <v>0.17</v>
      </c>
      <c r="L214" s="206">
        <v>4.16</v>
      </c>
      <c r="M214" s="286">
        <v>4.16</v>
      </c>
      <c r="N214" s="552">
        <v>41791</v>
      </c>
      <c r="O214" s="205">
        <f t="shared" si="15"/>
        <v>0</v>
      </c>
      <c r="P214" s="555">
        <f>(1+$R$1)*Table33[[#This Row],[Hours]]</f>
        <v>0</v>
      </c>
      <c r="Q214" s="207">
        <f t="shared" si="19"/>
        <v>0</v>
      </c>
      <c r="R214" s="208">
        <f t="shared" si="16"/>
        <v>0</v>
      </c>
      <c r="S214" s="208">
        <f t="shared" si="17"/>
        <v>0</v>
      </c>
      <c r="T214" s="208" t="str">
        <f t="shared" si="18"/>
        <v/>
      </c>
      <c r="U214" s="195">
        <f>Table33[[#This Row],[gal/100ft]]*Table33[[#This Row],[QTY]]/100</f>
        <v>0</v>
      </c>
      <c r="V214" s="195"/>
      <c r="W214" s="195"/>
      <c r="X214" s="195"/>
      <c r="Y214" s="195"/>
    </row>
    <row r="215" spans="1:25" ht="12.75" x14ac:dyDescent="0.2">
      <c r="A215" s="311" t="s">
        <v>711</v>
      </c>
      <c r="B215" s="311" t="s">
        <v>711</v>
      </c>
      <c r="C215" s="311" t="s">
        <v>645</v>
      </c>
      <c r="D215" s="311" t="s">
        <v>714</v>
      </c>
      <c r="E215" s="288"/>
      <c r="F215" s="204">
        <v>1.25</v>
      </c>
      <c r="G215" s="312"/>
      <c r="H215" s="313"/>
      <c r="I215" s="314"/>
      <c r="J215" s="205">
        <v>0.2</v>
      </c>
      <c r="K215" s="287">
        <v>0.2</v>
      </c>
      <c r="L215" s="206">
        <v>5.16</v>
      </c>
      <c r="M215" s="286">
        <v>5.16</v>
      </c>
      <c r="N215" s="552">
        <v>41791</v>
      </c>
      <c r="O215" s="205">
        <f t="shared" ref="O215:O278" si="20">K215*E215</f>
        <v>0</v>
      </c>
      <c r="P215" s="555">
        <f>(1+$R$1)*Table33[[#This Row],[Hours]]</f>
        <v>0</v>
      </c>
      <c r="Q215" s="207">
        <f t="shared" si="19"/>
        <v>0</v>
      </c>
      <c r="R215" s="208">
        <f t="shared" ref="R215:R278" si="21">M215*E215</f>
        <v>0</v>
      </c>
      <c r="S215" s="208">
        <f t="shared" ref="S215:S278" si="22">R215+Q215</f>
        <v>0</v>
      </c>
      <c r="T215" s="208" t="str">
        <f t="shared" ref="T215:T278" si="23">IF(E215="","",S215/E215)</f>
        <v/>
      </c>
      <c r="U215" s="195">
        <f>Table33[[#This Row],[gal/100ft]]*Table33[[#This Row],[QTY]]/100</f>
        <v>0</v>
      </c>
      <c r="V215" s="195"/>
      <c r="W215" s="195"/>
      <c r="X215" s="195"/>
      <c r="Y215" s="195"/>
    </row>
    <row r="216" spans="1:25" ht="12.75" x14ac:dyDescent="0.2">
      <c r="A216" s="311" t="s">
        <v>711</v>
      </c>
      <c r="B216" s="311" t="s">
        <v>711</v>
      </c>
      <c r="C216" s="311" t="s">
        <v>645</v>
      </c>
      <c r="D216" s="311" t="s">
        <v>714</v>
      </c>
      <c r="E216" s="288"/>
      <c r="F216" s="204">
        <v>1.5</v>
      </c>
      <c r="G216" s="312"/>
      <c r="H216" s="313"/>
      <c r="I216" s="314"/>
      <c r="J216" s="205">
        <v>0.24</v>
      </c>
      <c r="K216" s="287">
        <v>0.24</v>
      </c>
      <c r="L216" s="206">
        <v>9.61</v>
      </c>
      <c r="M216" s="286">
        <v>9.61</v>
      </c>
      <c r="N216" s="552">
        <v>41791</v>
      </c>
      <c r="O216" s="205">
        <f t="shared" si="20"/>
        <v>0</v>
      </c>
      <c r="P216" s="555">
        <f>(1+$R$1)*Table33[[#This Row],[Hours]]</f>
        <v>0</v>
      </c>
      <c r="Q216" s="207">
        <f t="shared" si="19"/>
        <v>0</v>
      </c>
      <c r="R216" s="208">
        <f t="shared" si="21"/>
        <v>0</v>
      </c>
      <c r="S216" s="208">
        <f t="shared" si="22"/>
        <v>0</v>
      </c>
      <c r="T216" s="208" t="str">
        <f t="shared" si="23"/>
        <v/>
      </c>
      <c r="U216" s="195">
        <f>Table33[[#This Row],[gal/100ft]]*Table33[[#This Row],[QTY]]/100</f>
        <v>0</v>
      </c>
      <c r="V216" s="195"/>
      <c r="W216" s="195"/>
      <c r="X216" s="195"/>
      <c r="Y216" s="195"/>
    </row>
    <row r="217" spans="1:25" ht="12.75" x14ac:dyDescent="0.2">
      <c r="A217" s="311" t="s">
        <v>711</v>
      </c>
      <c r="B217" s="311" t="s">
        <v>711</v>
      </c>
      <c r="C217" s="311" t="s">
        <v>645</v>
      </c>
      <c r="D217" s="311" t="s">
        <v>714</v>
      </c>
      <c r="E217" s="288"/>
      <c r="F217" s="204">
        <v>2</v>
      </c>
      <c r="G217" s="312"/>
      <c r="H217" s="313"/>
      <c r="I217" s="314"/>
      <c r="J217" s="205">
        <v>0.27</v>
      </c>
      <c r="K217" s="287">
        <v>0.27</v>
      </c>
      <c r="L217" s="206">
        <v>12.26</v>
      </c>
      <c r="M217" s="286">
        <v>12.26</v>
      </c>
      <c r="N217" s="552">
        <v>41791</v>
      </c>
      <c r="O217" s="205">
        <f t="shared" si="20"/>
        <v>0</v>
      </c>
      <c r="P217" s="555">
        <f>(1+$R$1)*Table33[[#This Row],[Hours]]</f>
        <v>0</v>
      </c>
      <c r="Q217" s="207">
        <f t="shared" si="19"/>
        <v>0</v>
      </c>
      <c r="R217" s="208">
        <f t="shared" si="21"/>
        <v>0</v>
      </c>
      <c r="S217" s="208">
        <f t="shared" si="22"/>
        <v>0</v>
      </c>
      <c r="T217" s="208" t="str">
        <f t="shared" si="23"/>
        <v/>
      </c>
      <c r="U217" s="195">
        <f>Table33[[#This Row],[gal/100ft]]*Table33[[#This Row],[QTY]]/100</f>
        <v>0</v>
      </c>
      <c r="V217" s="195"/>
      <c r="W217" s="195"/>
      <c r="X217" s="195"/>
      <c r="Y217" s="195"/>
    </row>
    <row r="218" spans="1:25" ht="12.75" x14ac:dyDescent="0.2">
      <c r="A218" s="311" t="s">
        <v>711</v>
      </c>
      <c r="B218" s="311" t="s">
        <v>711</v>
      </c>
      <c r="C218" s="311" t="s">
        <v>645</v>
      </c>
      <c r="D218" s="311" t="s">
        <v>714</v>
      </c>
      <c r="E218" s="288"/>
      <c r="F218" s="204">
        <v>2.5</v>
      </c>
      <c r="G218" s="312"/>
      <c r="H218" s="313"/>
      <c r="I218" s="314"/>
      <c r="J218" s="205">
        <v>0.31</v>
      </c>
      <c r="K218" s="287">
        <v>0.31</v>
      </c>
      <c r="L218" s="206">
        <v>39.21</v>
      </c>
      <c r="M218" s="286">
        <v>39.21</v>
      </c>
      <c r="N218" s="552">
        <v>41791</v>
      </c>
      <c r="O218" s="205">
        <f t="shared" si="20"/>
        <v>0</v>
      </c>
      <c r="P218" s="555">
        <f>(1+$R$1)*Table33[[#This Row],[Hours]]</f>
        <v>0</v>
      </c>
      <c r="Q218" s="207">
        <f t="shared" si="19"/>
        <v>0</v>
      </c>
      <c r="R218" s="208">
        <f t="shared" si="21"/>
        <v>0</v>
      </c>
      <c r="S218" s="208">
        <f t="shared" si="22"/>
        <v>0</v>
      </c>
      <c r="T218" s="208" t="str">
        <f t="shared" si="23"/>
        <v/>
      </c>
      <c r="U218" s="195">
        <f>Table33[[#This Row],[gal/100ft]]*Table33[[#This Row],[QTY]]/100</f>
        <v>0</v>
      </c>
      <c r="V218" s="195"/>
      <c r="W218" s="195"/>
      <c r="X218" s="195"/>
      <c r="Y218" s="195"/>
    </row>
    <row r="219" spans="1:25" ht="12.75" x14ac:dyDescent="0.2">
      <c r="A219" s="311" t="s">
        <v>711</v>
      </c>
      <c r="B219" s="311" t="s">
        <v>711</v>
      </c>
      <c r="C219" s="311" t="s">
        <v>645</v>
      </c>
      <c r="D219" s="311" t="s">
        <v>714</v>
      </c>
      <c r="E219" s="288"/>
      <c r="F219" s="204">
        <v>3</v>
      </c>
      <c r="G219" s="312"/>
      <c r="H219" s="313"/>
      <c r="I219" s="314"/>
      <c r="J219" s="205">
        <v>0.36</v>
      </c>
      <c r="K219" s="287">
        <v>0.36</v>
      </c>
      <c r="L219" s="206">
        <v>49.93</v>
      </c>
      <c r="M219" s="286">
        <v>49.93</v>
      </c>
      <c r="N219" s="552">
        <v>41791</v>
      </c>
      <c r="O219" s="205">
        <f t="shared" si="20"/>
        <v>0</v>
      </c>
      <c r="P219" s="555">
        <f>(1+$R$1)*Table33[[#This Row],[Hours]]</f>
        <v>0</v>
      </c>
      <c r="Q219" s="207">
        <f t="shared" si="19"/>
        <v>0</v>
      </c>
      <c r="R219" s="208">
        <f t="shared" si="21"/>
        <v>0</v>
      </c>
      <c r="S219" s="208">
        <f t="shared" si="22"/>
        <v>0</v>
      </c>
      <c r="T219" s="208" t="str">
        <f t="shared" si="23"/>
        <v/>
      </c>
      <c r="U219" s="195">
        <f>Table33[[#This Row],[gal/100ft]]*Table33[[#This Row],[QTY]]/100</f>
        <v>0</v>
      </c>
      <c r="V219" s="195"/>
      <c r="W219" s="195"/>
      <c r="X219" s="195"/>
      <c r="Y219" s="195"/>
    </row>
    <row r="220" spans="1:25" ht="12.75" x14ac:dyDescent="0.2">
      <c r="A220" s="311" t="s">
        <v>711</v>
      </c>
      <c r="B220" s="311" t="s">
        <v>711</v>
      </c>
      <c r="C220" s="311" t="s">
        <v>645</v>
      </c>
      <c r="D220" s="311" t="s">
        <v>714</v>
      </c>
      <c r="E220" s="288"/>
      <c r="F220" s="204">
        <v>4</v>
      </c>
      <c r="G220" s="312"/>
      <c r="H220" s="313"/>
      <c r="I220" s="314"/>
      <c r="J220" s="205">
        <v>0.48</v>
      </c>
      <c r="K220" s="287">
        <v>0.48</v>
      </c>
      <c r="L220" s="206">
        <v>69.319999999999993</v>
      </c>
      <c r="M220" s="286">
        <v>69.319999999999993</v>
      </c>
      <c r="N220" s="552">
        <v>41791</v>
      </c>
      <c r="O220" s="205">
        <f t="shared" si="20"/>
        <v>0</v>
      </c>
      <c r="P220" s="555">
        <f>(1+$R$1)*Table33[[#This Row],[Hours]]</f>
        <v>0</v>
      </c>
      <c r="Q220" s="207">
        <f t="shared" si="19"/>
        <v>0</v>
      </c>
      <c r="R220" s="208">
        <f t="shared" si="21"/>
        <v>0</v>
      </c>
      <c r="S220" s="208">
        <f t="shared" si="22"/>
        <v>0</v>
      </c>
      <c r="T220" s="208" t="str">
        <f t="shared" si="23"/>
        <v/>
      </c>
      <c r="U220" s="195">
        <f>Table33[[#This Row],[gal/100ft]]*Table33[[#This Row],[QTY]]/100</f>
        <v>0</v>
      </c>
      <c r="V220" s="195"/>
      <c r="W220" s="195"/>
      <c r="X220" s="195"/>
      <c r="Y220" s="195"/>
    </row>
    <row r="221" spans="1:25" ht="12.75" x14ac:dyDescent="0.2">
      <c r="A221" s="275" t="s">
        <v>617</v>
      </c>
      <c r="B221" s="275" t="s">
        <v>693</v>
      </c>
      <c r="C221" s="275" t="s">
        <v>645</v>
      </c>
      <c r="D221" s="275" t="s">
        <v>694</v>
      </c>
      <c r="E221" s="288"/>
      <c r="F221" s="204">
        <v>0.5</v>
      </c>
      <c r="G221" s="272"/>
      <c r="H221" s="273"/>
      <c r="I221" s="274"/>
      <c r="J221" s="205">
        <v>0.4</v>
      </c>
      <c r="K221" s="287">
        <v>0.4</v>
      </c>
      <c r="L221" s="206">
        <v>0.35</v>
      </c>
      <c r="M221" s="286">
        <v>0.35</v>
      </c>
      <c r="N221" s="552">
        <v>41791</v>
      </c>
      <c r="O221" s="205">
        <f t="shared" si="20"/>
        <v>0</v>
      </c>
      <c r="P221" s="555">
        <f>(1+$R$1)*Table33[[#This Row],[Hours]]</f>
        <v>0</v>
      </c>
      <c r="Q221" s="207">
        <f t="shared" si="19"/>
        <v>0</v>
      </c>
      <c r="R221" s="208">
        <f t="shared" si="21"/>
        <v>0</v>
      </c>
      <c r="S221" s="208">
        <f t="shared" si="22"/>
        <v>0</v>
      </c>
      <c r="T221" s="208" t="str">
        <f t="shared" si="23"/>
        <v/>
      </c>
      <c r="U221" s="195">
        <f>Table33[[#This Row],[gal/100ft]]*Table33[[#This Row],[QTY]]/100</f>
        <v>0</v>
      </c>
      <c r="V221" s="195"/>
      <c r="W221" s="195"/>
      <c r="X221" s="195"/>
      <c r="Y221" s="195"/>
    </row>
    <row r="222" spans="1:25" ht="12.75" x14ac:dyDescent="0.2">
      <c r="A222" s="275" t="s">
        <v>617</v>
      </c>
      <c r="B222" s="275" t="s">
        <v>693</v>
      </c>
      <c r="C222" s="275" t="s">
        <v>645</v>
      </c>
      <c r="D222" s="275" t="s">
        <v>694</v>
      </c>
      <c r="E222" s="289"/>
      <c r="F222" s="272">
        <v>0.75</v>
      </c>
      <c r="G222" s="272"/>
      <c r="H222" s="273"/>
      <c r="I222" s="274"/>
      <c r="J222" s="205">
        <v>0.53</v>
      </c>
      <c r="K222" s="287">
        <v>0.53</v>
      </c>
      <c r="L222" s="206">
        <v>0.7</v>
      </c>
      <c r="M222" s="286">
        <v>0.7</v>
      </c>
      <c r="N222" s="552">
        <v>41791</v>
      </c>
      <c r="O222" s="205">
        <f t="shared" si="20"/>
        <v>0</v>
      </c>
      <c r="P222" s="555">
        <f>(1+$R$1)*Table33[[#This Row],[Hours]]</f>
        <v>0</v>
      </c>
      <c r="Q222" s="207">
        <f t="shared" si="19"/>
        <v>0</v>
      </c>
      <c r="R222" s="208">
        <f t="shared" si="21"/>
        <v>0</v>
      </c>
      <c r="S222" s="208">
        <f t="shared" si="22"/>
        <v>0</v>
      </c>
      <c r="T222" s="208" t="str">
        <f t="shared" si="23"/>
        <v/>
      </c>
      <c r="U222" s="195">
        <f>Table33[[#This Row],[gal/100ft]]*Table33[[#This Row],[QTY]]/100</f>
        <v>0</v>
      </c>
      <c r="V222" s="195"/>
      <c r="W222" s="195"/>
      <c r="X222" s="195"/>
      <c r="Y222" s="195"/>
    </row>
    <row r="223" spans="1:25" ht="12.75" x14ac:dyDescent="0.2">
      <c r="A223" s="275" t="s">
        <v>617</v>
      </c>
      <c r="B223" s="275" t="s">
        <v>693</v>
      </c>
      <c r="C223" s="275" t="s">
        <v>645</v>
      </c>
      <c r="D223" s="275" t="s">
        <v>694</v>
      </c>
      <c r="E223" s="289"/>
      <c r="F223" s="272">
        <v>1</v>
      </c>
      <c r="G223" s="272"/>
      <c r="H223" s="273"/>
      <c r="I223" s="274"/>
      <c r="J223" s="205">
        <v>0.63</v>
      </c>
      <c r="K223" s="287">
        <v>0.63</v>
      </c>
      <c r="L223" s="206">
        <v>1.4</v>
      </c>
      <c r="M223" s="286">
        <v>1.4</v>
      </c>
      <c r="N223" s="552">
        <v>41791</v>
      </c>
      <c r="O223" s="205">
        <f t="shared" si="20"/>
        <v>0</v>
      </c>
      <c r="P223" s="555">
        <f>(1+$R$1)*Table33[[#This Row],[Hours]]</f>
        <v>0</v>
      </c>
      <c r="Q223" s="207">
        <f t="shared" si="19"/>
        <v>0</v>
      </c>
      <c r="R223" s="208">
        <f t="shared" si="21"/>
        <v>0</v>
      </c>
      <c r="S223" s="208">
        <f t="shared" si="22"/>
        <v>0</v>
      </c>
      <c r="T223" s="208" t="str">
        <f t="shared" si="23"/>
        <v/>
      </c>
      <c r="U223" s="195">
        <f>Table33[[#This Row],[gal/100ft]]*Table33[[#This Row],[QTY]]/100</f>
        <v>0</v>
      </c>
      <c r="V223" s="195"/>
      <c r="W223" s="195"/>
      <c r="X223" s="195"/>
      <c r="Y223" s="195"/>
    </row>
    <row r="224" spans="1:25" ht="12.75" x14ac:dyDescent="0.2">
      <c r="A224" s="275" t="s">
        <v>617</v>
      </c>
      <c r="B224" s="275" t="s">
        <v>693</v>
      </c>
      <c r="C224" s="275" t="s">
        <v>645</v>
      </c>
      <c r="D224" s="275" t="s">
        <v>694</v>
      </c>
      <c r="E224" s="289"/>
      <c r="F224" s="272">
        <v>1.25</v>
      </c>
      <c r="G224" s="272"/>
      <c r="H224" s="273"/>
      <c r="I224" s="274"/>
      <c r="J224" s="205">
        <v>0.7</v>
      </c>
      <c r="K224" s="287">
        <v>0.7</v>
      </c>
      <c r="L224" s="206">
        <v>2.46</v>
      </c>
      <c r="M224" s="286">
        <v>2.46</v>
      </c>
      <c r="N224" s="552">
        <v>41791</v>
      </c>
      <c r="O224" s="205">
        <f t="shared" si="20"/>
        <v>0</v>
      </c>
      <c r="P224" s="555">
        <f>(1+$R$1)*Table33[[#This Row],[Hours]]</f>
        <v>0</v>
      </c>
      <c r="Q224" s="207">
        <f t="shared" si="19"/>
        <v>0</v>
      </c>
      <c r="R224" s="208">
        <f t="shared" si="21"/>
        <v>0</v>
      </c>
      <c r="S224" s="208">
        <f t="shared" si="22"/>
        <v>0</v>
      </c>
      <c r="T224" s="208" t="str">
        <f t="shared" si="23"/>
        <v/>
      </c>
      <c r="U224" s="195">
        <f>Table33[[#This Row],[gal/100ft]]*Table33[[#This Row],[QTY]]/100</f>
        <v>0</v>
      </c>
      <c r="V224" s="195"/>
      <c r="W224" s="195"/>
      <c r="X224" s="195"/>
      <c r="Y224" s="195"/>
    </row>
    <row r="225" spans="1:25" ht="12.75" x14ac:dyDescent="0.2">
      <c r="A225" s="275" t="s">
        <v>617</v>
      </c>
      <c r="B225" s="275" t="s">
        <v>693</v>
      </c>
      <c r="C225" s="275" t="s">
        <v>645</v>
      </c>
      <c r="D225" s="275" t="s">
        <v>694</v>
      </c>
      <c r="E225" s="289"/>
      <c r="F225" s="272">
        <v>1.5</v>
      </c>
      <c r="G225" s="272"/>
      <c r="H225" s="273"/>
      <c r="I225" s="274"/>
      <c r="J225" s="205">
        <v>0.74</v>
      </c>
      <c r="K225" s="287">
        <v>0.74</v>
      </c>
      <c r="L225" s="206">
        <v>3.25</v>
      </c>
      <c r="M225" s="286">
        <v>3.25</v>
      </c>
      <c r="N225" s="552">
        <v>41791</v>
      </c>
      <c r="O225" s="205">
        <f t="shared" si="20"/>
        <v>0</v>
      </c>
      <c r="P225" s="555">
        <f>(1+$R$1)*Table33[[#This Row],[Hours]]</f>
        <v>0</v>
      </c>
      <c r="Q225" s="207">
        <f t="shared" si="19"/>
        <v>0</v>
      </c>
      <c r="R225" s="208">
        <f t="shared" si="21"/>
        <v>0</v>
      </c>
      <c r="S225" s="208">
        <f t="shared" si="22"/>
        <v>0</v>
      </c>
      <c r="T225" s="208" t="str">
        <f t="shared" si="23"/>
        <v/>
      </c>
      <c r="U225" s="195">
        <f>Table33[[#This Row],[gal/100ft]]*Table33[[#This Row],[QTY]]/100</f>
        <v>0</v>
      </c>
      <c r="V225" s="195"/>
      <c r="W225" s="195"/>
      <c r="X225" s="195"/>
      <c r="Y225" s="195"/>
    </row>
    <row r="226" spans="1:25" ht="12.75" x14ac:dyDescent="0.2">
      <c r="A226" s="275" t="s">
        <v>617</v>
      </c>
      <c r="B226" s="275" t="s">
        <v>693</v>
      </c>
      <c r="C226" s="275" t="s">
        <v>645</v>
      </c>
      <c r="D226" s="275" t="s">
        <v>694</v>
      </c>
      <c r="E226" s="289"/>
      <c r="F226" s="272">
        <v>2</v>
      </c>
      <c r="G226" s="272"/>
      <c r="H226" s="273"/>
      <c r="I226" s="274"/>
      <c r="J226" s="205">
        <v>0.85</v>
      </c>
      <c r="K226" s="287">
        <v>0.85</v>
      </c>
      <c r="L226" s="206">
        <v>5.43</v>
      </c>
      <c r="M226" s="286">
        <v>5.43</v>
      </c>
      <c r="N226" s="552">
        <v>41791</v>
      </c>
      <c r="O226" s="205">
        <f t="shared" si="20"/>
        <v>0</v>
      </c>
      <c r="P226" s="555">
        <f>(1+$R$1)*Table33[[#This Row],[Hours]]</f>
        <v>0</v>
      </c>
      <c r="Q226" s="207">
        <f t="shared" si="19"/>
        <v>0</v>
      </c>
      <c r="R226" s="208">
        <f t="shared" si="21"/>
        <v>0</v>
      </c>
      <c r="S226" s="208">
        <f t="shared" si="22"/>
        <v>0</v>
      </c>
      <c r="T226" s="208" t="str">
        <f t="shared" si="23"/>
        <v/>
      </c>
      <c r="U226" s="195">
        <f>Table33[[#This Row],[gal/100ft]]*Table33[[#This Row],[QTY]]/100</f>
        <v>0</v>
      </c>
      <c r="V226" s="195"/>
      <c r="W226" s="195"/>
      <c r="X226" s="195"/>
      <c r="Y226" s="195"/>
    </row>
    <row r="227" spans="1:25" ht="12.75" x14ac:dyDescent="0.2">
      <c r="A227" s="195" t="s">
        <v>624</v>
      </c>
      <c r="B227" s="536" t="s">
        <v>875</v>
      </c>
      <c r="C227" s="195" t="s">
        <v>656</v>
      </c>
      <c r="D227" s="195" t="s">
        <v>625</v>
      </c>
      <c r="E227" s="288"/>
      <c r="F227" s="204">
        <v>0.5</v>
      </c>
      <c r="G227" s="204"/>
      <c r="H227" s="197"/>
      <c r="I227" s="198"/>
      <c r="J227" s="205">
        <v>1.07</v>
      </c>
      <c r="K227" s="287">
        <v>1.07</v>
      </c>
      <c r="L227" s="206">
        <v>40</v>
      </c>
      <c r="M227" s="286">
        <v>40</v>
      </c>
      <c r="N227" s="552">
        <v>41791</v>
      </c>
      <c r="O227" s="205">
        <f t="shared" si="20"/>
        <v>0</v>
      </c>
      <c r="P227" s="555">
        <f>(1+$R$1)*Table33[[#This Row],[Hours]]</f>
        <v>0</v>
      </c>
      <c r="Q227" s="207">
        <f t="shared" si="19"/>
        <v>0</v>
      </c>
      <c r="R227" s="208">
        <f t="shared" si="21"/>
        <v>0</v>
      </c>
      <c r="S227" s="208">
        <f t="shared" si="22"/>
        <v>0</v>
      </c>
      <c r="T227" s="208" t="str">
        <f t="shared" si="23"/>
        <v/>
      </c>
      <c r="U227" s="195">
        <f>Table33[[#This Row],[gal/100ft]]*Table33[[#This Row],[QTY]]/100</f>
        <v>0</v>
      </c>
      <c r="V227" s="195"/>
      <c r="W227" s="195"/>
      <c r="X227" s="195"/>
      <c r="Y227" s="195"/>
    </row>
    <row r="228" spans="1:25" ht="12.75" x14ac:dyDescent="0.2">
      <c r="A228" s="195" t="s">
        <v>624</v>
      </c>
      <c r="B228" s="536" t="s">
        <v>875</v>
      </c>
      <c r="C228" s="195" t="s">
        <v>656</v>
      </c>
      <c r="D228" s="195" t="s">
        <v>625</v>
      </c>
      <c r="E228" s="288"/>
      <c r="F228" s="204">
        <v>0.75</v>
      </c>
      <c r="G228" s="204"/>
      <c r="H228" s="197"/>
      <c r="I228" s="198"/>
      <c r="J228" s="205">
        <v>1.58</v>
      </c>
      <c r="K228" s="287">
        <v>1.58</v>
      </c>
      <c r="L228" s="206">
        <v>41</v>
      </c>
      <c r="M228" s="286">
        <v>41</v>
      </c>
      <c r="N228" s="552">
        <v>41791</v>
      </c>
      <c r="O228" s="205">
        <f t="shared" si="20"/>
        <v>0</v>
      </c>
      <c r="P228" s="555">
        <f>(1+$R$1)*Table33[[#This Row],[Hours]]</f>
        <v>0</v>
      </c>
      <c r="Q228" s="207">
        <f t="shared" si="19"/>
        <v>0</v>
      </c>
      <c r="R228" s="208">
        <f t="shared" si="21"/>
        <v>0</v>
      </c>
      <c r="S228" s="208">
        <f t="shared" si="22"/>
        <v>0</v>
      </c>
      <c r="T228" s="208" t="str">
        <f t="shared" si="23"/>
        <v/>
      </c>
      <c r="U228" s="195">
        <f>Table33[[#This Row],[gal/100ft]]*Table33[[#This Row],[QTY]]/100</f>
        <v>0</v>
      </c>
      <c r="V228" s="195"/>
      <c r="W228" s="195"/>
      <c r="X228" s="195"/>
      <c r="Y228" s="195"/>
    </row>
    <row r="229" spans="1:25" ht="12.75" x14ac:dyDescent="0.2">
      <c r="A229" s="195" t="s">
        <v>624</v>
      </c>
      <c r="B229" s="536" t="s">
        <v>875</v>
      </c>
      <c r="C229" s="195" t="s">
        <v>656</v>
      </c>
      <c r="D229" s="195" t="s">
        <v>625</v>
      </c>
      <c r="E229" s="288"/>
      <c r="F229" s="204">
        <v>1</v>
      </c>
      <c r="G229" s="204"/>
      <c r="H229" s="197"/>
      <c r="I229" s="198"/>
      <c r="J229" s="205">
        <v>1.97</v>
      </c>
      <c r="K229" s="287">
        <v>1.97</v>
      </c>
      <c r="L229" s="206">
        <v>45</v>
      </c>
      <c r="M229" s="286">
        <v>45</v>
      </c>
      <c r="N229" s="552">
        <v>41791</v>
      </c>
      <c r="O229" s="205">
        <f t="shared" si="20"/>
        <v>0</v>
      </c>
      <c r="P229" s="555">
        <f>(1+$R$1)*Table33[[#This Row],[Hours]]</f>
        <v>0</v>
      </c>
      <c r="Q229" s="207">
        <f t="shared" si="19"/>
        <v>0</v>
      </c>
      <c r="R229" s="208">
        <f t="shared" si="21"/>
        <v>0</v>
      </c>
      <c r="S229" s="208">
        <f t="shared" si="22"/>
        <v>0</v>
      </c>
      <c r="T229" s="208" t="str">
        <f t="shared" si="23"/>
        <v/>
      </c>
      <c r="U229" s="195">
        <f>Table33[[#This Row],[gal/100ft]]*Table33[[#This Row],[QTY]]/100</f>
        <v>0</v>
      </c>
      <c r="V229" s="195"/>
      <c r="W229" s="195"/>
      <c r="X229" s="195"/>
      <c r="Y229" s="195"/>
    </row>
    <row r="230" spans="1:25" ht="12.75" x14ac:dyDescent="0.2">
      <c r="A230" s="195" t="s">
        <v>624</v>
      </c>
      <c r="B230" s="536" t="s">
        <v>875</v>
      </c>
      <c r="C230" s="195" t="s">
        <v>656</v>
      </c>
      <c r="D230" s="195" t="s">
        <v>625</v>
      </c>
      <c r="E230" s="288"/>
      <c r="F230" s="204">
        <v>1.25</v>
      </c>
      <c r="G230" s="204"/>
      <c r="H230" s="197"/>
      <c r="I230" s="198"/>
      <c r="J230" s="205">
        <v>2.38</v>
      </c>
      <c r="K230" s="287">
        <v>2.38</v>
      </c>
      <c r="L230" s="206">
        <v>61</v>
      </c>
      <c r="M230" s="286">
        <v>61</v>
      </c>
      <c r="N230" s="552">
        <v>41791</v>
      </c>
      <c r="O230" s="205">
        <f t="shared" si="20"/>
        <v>0</v>
      </c>
      <c r="P230" s="555">
        <f>(1+$R$1)*Table33[[#This Row],[Hours]]</f>
        <v>0</v>
      </c>
      <c r="Q230" s="207">
        <f t="shared" si="19"/>
        <v>0</v>
      </c>
      <c r="R230" s="208">
        <f t="shared" si="21"/>
        <v>0</v>
      </c>
      <c r="S230" s="208">
        <f t="shared" si="22"/>
        <v>0</v>
      </c>
      <c r="T230" s="208" t="str">
        <f t="shared" si="23"/>
        <v/>
      </c>
      <c r="U230" s="195">
        <f>Table33[[#This Row],[gal/100ft]]*Table33[[#This Row],[QTY]]/100</f>
        <v>0</v>
      </c>
      <c r="V230" s="195"/>
      <c r="W230" s="195"/>
      <c r="X230" s="195"/>
      <c r="Y230" s="195"/>
    </row>
    <row r="231" spans="1:25" ht="12.75" x14ac:dyDescent="0.2">
      <c r="A231" s="195" t="s">
        <v>624</v>
      </c>
      <c r="B231" s="536" t="s">
        <v>875</v>
      </c>
      <c r="C231" s="195" t="s">
        <v>656</v>
      </c>
      <c r="D231" s="195" t="s">
        <v>625</v>
      </c>
      <c r="E231" s="288"/>
      <c r="F231" s="204">
        <v>1.5</v>
      </c>
      <c r="G231" s="204"/>
      <c r="H231" s="197"/>
      <c r="I231" s="198"/>
      <c r="J231" s="205">
        <v>2.76</v>
      </c>
      <c r="K231" s="287">
        <v>2.76</v>
      </c>
      <c r="L231" s="206">
        <v>61</v>
      </c>
      <c r="M231" s="286">
        <v>61</v>
      </c>
      <c r="N231" s="552">
        <v>41791</v>
      </c>
      <c r="O231" s="205">
        <f t="shared" si="20"/>
        <v>0</v>
      </c>
      <c r="P231" s="555">
        <f>(1+$R$1)*Table33[[#This Row],[Hours]]</f>
        <v>0</v>
      </c>
      <c r="Q231" s="207">
        <f t="shared" si="19"/>
        <v>0</v>
      </c>
      <c r="R231" s="208">
        <f t="shared" si="21"/>
        <v>0</v>
      </c>
      <c r="S231" s="208">
        <f t="shared" si="22"/>
        <v>0</v>
      </c>
      <c r="T231" s="208" t="str">
        <f t="shared" si="23"/>
        <v/>
      </c>
      <c r="U231" s="195">
        <f>Table33[[#This Row],[gal/100ft]]*Table33[[#This Row],[QTY]]/100</f>
        <v>0</v>
      </c>
      <c r="V231" s="195"/>
      <c r="W231" s="195"/>
      <c r="X231" s="195"/>
      <c r="Y231" s="195"/>
    </row>
    <row r="232" spans="1:25" ht="12.75" x14ac:dyDescent="0.2">
      <c r="A232" s="195" t="s">
        <v>624</v>
      </c>
      <c r="B232" s="536" t="s">
        <v>875</v>
      </c>
      <c r="C232" s="195" t="s">
        <v>656</v>
      </c>
      <c r="D232" s="195" t="s">
        <v>625</v>
      </c>
      <c r="E232" s="288"/>
      <c r="F232" s="204">
        <v>2</v>
      </c>
      <c r="G232" s="204"/>
      <c r="H232" s="197"/>
      <c r="I232" s="198"/>
      <c r="J232" s="205">
        <v>3.61</v>
      </c>
      <c r="K232" s="287">
        <v>3.61</v>
      </c>
      <c r="L232" s="206">
        <v>79</v>
      </c>
      <c r="M232" s="286">
        <v>79</v>
      </c>
      <c r="N232" s="552">
        <v>41791</v>
      </c>
      <c r="O232" s="205">
        <f t="shared" si="20"/>
        <v>0</v>
      </c>
      <c r="P232" s="555">
        <f>(1+$R$1)*Table33[[#This Row],[Hours]]</f>
        <v>0</v>
      </c>
      <c r="Q232" s="207">
        <f t="shared" si="19"/>
        <v>0</v>
      </c>
      <c r="R232" s="208">
        <f t="shared" si="21"/>
        <v>0</v>
      </c>
      <c r="S232" s="208">
        <f t="shared" si="22"/>
        <v>0</v>
      </c>
      <c r="T232" s="208" t="str">
        <f t="shared" si="23"/>
        <v/>
      </c>
      <c r="U232" s="195">
        <f>Table33[[#This Row],[gal/100ft]]*Table33[[#This Row],[QTY]]/100</f>
        <v>0</v>
      </c>
      <c r="V232" s="195"/>
      <c r="W232" s="195"/>
      <c r="X232" s="195"/>
      <c r="Y232" s="195"/>
    </row>
    <row r="233" spans="1:25" ht="12.75" x14ac:dyDescent="0.2">
      <c r="A233" s="195" t="s">
        <v>624</v>
      </c>
      <c r="B233" s="536" t="s">
        <v>875</v>
      </c>
      <c r="C233" s="195" t="s">
        <v>656</v>
      </c>
      <c r="D233" s="195" t="s">
        <v>625</v>
      </c>
      <c r="E233" s="288"/>
      <c r="F233" s="204">
        <v>2.5</v>
      </c>
      <c r="G233" s="204"/>
      <c r="H233" s="197"/>
      <c r="I233" s="198"/>
      <c r="J233" s="205">
        <v>4.1399999999999997</v>
      </c>
      <c r="K233" s="287">
        <v>4.1399999999999997</v>
      </c>
      <c r="L233" s="206">
        <v>111</v>
      </c>
      <c r="M233" s="286">
        <v>111</v>
      </c>
      <c r="N233" s="552">
        <v>41791</v>
      </c>
      <c r="O233" s="205">
        <f t="shared" si="20"/>
        <v>0</v>
      </c>
      <c r="P233" s="555">
        <f>(1+$R$1)*Table33[[#This Row],[Hours]]</f>
        <v>0</v>
      </c>
      <c r="Q233" s="207">
        <f t="shared" si="19"/>
        <v>0</v>
      </c>
      <c r="R233" s="208">
        <f t="shared" si="21"/>
        <v>0</v>
      </c>
      <c r="S233" s="208">
        <f t="shared" si="22"/>
        <v>0</v>
      </c>
      <c r="T233" s="208" t="str">
        <f t="shared" si="23"/>
        <v/>
      </c>
      <c r="U233" s="195">
        <f>Table33[[#This Row],[gal/100ft]]*Table33[[#This Row],[QTY]]/100</f>
        <v>0</v>
      </c>
      <c r="V233" s="195"/>
      <c r="W233" s="195"/>
      <c r="X233" s="195"/>
      <c r="Y233" s="195"/>
    </row>
    <row r="234" spans="1:25" ht="12.75" x14ac:dyDescent="0.2">
      <c r="A234" s="195" t="s">
        <v>624</v>
      </c>
      <c r="B234" s="536" t="s">
        <v>875</v>
      </c>
      <c r="C234" s="195" t="s">
        <v>656</v>
      </c>
      <c r="D234" s="195" t="s">
        <v>625</v>
      </c>
      <c r="E234" s="288"/>
      <c r="F234" s="204">
        <v>3</v>
      </c>
      <c r="G234" s="204"/>
      <c r="H234" s="197"/>
      <c r="I234" s="198"/>
      <c r="J234" s="205">
        <v>4.3099999999999996</v>
      </c>
      <c r="K234" s="287">
        <v>4.3099999999999996</v>
      </c>
      <c r="L234" s="206">
        <v>119</v>
      </c>
      <c r="M234" s="286">
        <v>119</v>
      </c>
      <c r="N234" s="552">
        <v>41791</v>
      </c>
      <c r="O234" s="205">
        <f t="shared" si="20"/>
        <v>0</v>
      </c>
      <c r="P234" s="555">
        <f>(1+$R$1)*Table33[[#This Row],[Hours]]</f>
        <v>0</v>
      </c>
      <c r="Q234" s="207">
        <f t="shared" si="19"/>
        <v>0</v>
      </c>
      <c r="R234" s="208">
        <f t="shared" si="21"/>
        <v>0</v>
      </c>
      <c r="S234" s="208">
        <f t="shared" si="22"/>
        <v>0</v>
      </c>
      <c r="T234" s="208" t="str">
        <f t="shared" si="23"/>
        <v/>
      </c>
      <c r="U234" s="195">
        <f>Table33[[#This Row],[gal/100ft]]*Table33[[#This Row],[QTY]]/100</f>
        <v>0</v>
      </c>
      <c r="V234" s="195"/>
      <c r="W234" s="195"/>
      <c r="X234" s="195"/>
      <c r="Y234" s="195"/>
    </row>
    <row r="235" spans="1:25" ht="12.75" x14ac:dyDescent="0.2">
      <c r="A235" s="195" t="s">
        <v>624</v>
      </c>
      <c r="B235" s="536" t="s">
        <v>875</v>
      </c>
      <c r="C235" s="195" t="s">
        <v>656</v>
      </c>
      <c r="D235" s="195" t="s">
        <v>625</v>
      </c>
      <c r="E235" s="288"/>
      <c r="F235" s="204">
        <v>3.5</v>
      </c>
      <c r="G235" s="204"/>
      <c r="H235" s="197"/>
      <c r="I235" s="198"/>
      <c r="J235" s="205">
        <v>5.36</v>
      </c>
      <c r="K235" s="287">
        <v>5.36</v>
      </c>
      <c r="L235" s="206"/>
      <c r="M235" s="286"/>
      <c r="N235" s="552">
        <v>41791</v>
      </c>
      <c r="O235" s="205">
        <f t="shared" si="20"/>
        <v>0</v>
      </c>
      <c r="P235" s="555">
        <f>(1+$R$1)*Table33[[#This Row],[Hours]]</f>
        <v>0</v>
      </c>
      <c r="Q235" s="207">
        <f t="shared" si="19"/>
        <v>0</v>
      </c>
      <c r="R235" s="208">
        <f t="shared" si="21"/>
        <v>0</v>
      </c>
      <c r="S235" s="208">
        <f t="shared" si="22"/>
        <v>0</v>
      </c>
      <c r="T235" s="208" t="str">
        <f t="shared" si="23"/>
        <v/>
      </c>
      <c r="U235" s="195">
        <f>Table33[[#This Row],[gal/100ft]]*Table33[[#This Row],[QTY]]/100</f>
        <v>0</v>
      </c>
      <c r="V235" s="195"/>
      <c r="W235" s="195"/>
      <c r="X235" s="195"/>
      <c r="Y235" s="195"/>
    </row>
    <row r="236" spans="1:25" ht="12.75" x14ac:dyDescent="0.2">
      <c r="A236" s="195" t="s">
        <v>624</v>
      </c>
      <c r="B236" s="536" t="s">
        <v>875</v>
      </c>
      <c r="C236" s="195" t="s">
        <v>656</v>
      </c>
      <c r="D236" s="195" t="s">
        <v>625</v>
      </c>
      <c r="E236" s="288"/>
      <c r="F236" s="204">
        <v>4</v>
      </c>
      <c r="G236" s="204"/>
      <c r="H236" s="197"/>
      <c r="I236" s="198"/>
      <c r="J236" s="205">
        <v>5.74</v>
      </c>
      <c r="K236" s="287">
        <v>5.74</v>
      </c>
      <c r="L236" s="206">
        <v>162</v>
      </c>
      <c r="M236" s="286">
        <v>162</v>
      </c>
      <c r="N236" s="552">
        <v>41791</v>
      </c>
      <c r="O236" s="205">
        <f t="shared" si="20"/>
        <v>0</v>
      </c>
      <c r="P236" s="555">
        <f>(1+$R$1)*Table33[[#This Row],[Hours]]</f>
        <v>0</v>
      </c>
      <c r="Q236" s="207">
        <f t="shared" si="19"/>
        <v>0</v>
      </c>
      <c r="R236" s="208">
        <f t="shared" si="21"/>
        <v>0</v>
      </c>
      <c r="S236" s="208">
        <f t="shared" si="22"/>
        <v>0</v>
      </c>
      <c r="T236" s="208" t="str">
        <f t="shared" si="23"/>
        <v/>
      </c>
      <c r="U236" s="195">
        <f>Table33[[#This Row],[gal/100ft]]*Table33[[#This Row],[QTY]]/100</f>
        <v>0</v>
      </c>
      <c r="V236" s="195"/>
      <c r="W236" s="195"/>
      <c r="X236" s="195"/>
      <c r="Y236" s="195"/>
    </row>
    <row r="237" spans="1:25" ht="12.75" x14ac:dyDescent="0.2">
      <c r="A237" s="195" t="s">
        <v>624</v>
      </c>
      <c r="B237" s="536" t="s">
        <v>875</v>
      </c>
      <c r="C237" s="195" t="s">
        <v>656</v>
      </c>
      <c r="D237" s="195" t="s">
        <v>625</v>
      </c>
      <c r="E237" s="288"/>
      <c r="F237" s="204">
        <v>5</v>
      </c>
      <c r="G237" s="204"/>
      <c r="H237" s="197"/>
      <c r="I237" s="198"/>
      <c r="J237" s="205">
        <v>6.54</v>
      </c>
      <c r="K237" s="287">
        <v>6.54</v>
      </c>
      <c r="L237" s="206">
        <v>212</v>
      </c>
      <c r="M237" s="286">
        <v>212</v>
      </c>
      <c r="N237" s="552">
        <v>41791</v>
      </c>
      <c r="O237" s="205">
        <f t="shared" si="20"/>
        <v>0</v>
      </c>
      <c r="P237" s="555">
        <f>(1+$R$1)*Table33[[#This Row],[Hours]]</f>
        <v>0</v>
      </c>
      <c r="Q237" s="207">
        <f t="shared" si="19"/>
        <v>0</v>
      </c>
      <c r="R237" s="208">
        <f t="shared" si="21"/>
        <v>0</v>
      </c>
      <c r="S237" s="208">
        <f t="shared" si="22"/>
        <v>0</v>
      </c>
      <c r="T237" s="208" t="str">
        <f t="shared" si="23"/>
        <v/>
      </c>
      <c r="U237" s="195">
        <f>Table33[[#This Row],[gal/100ft]]*Table33[[#This Row],[QTY]]/100</f>
        <v>0</v>
      </c>
      <c r="V237" s="195"/>
      <c r="W237" s="195"/>
      <c r="X237" s="195"/>
      <c r="Y237" s="195"/>
    </row>
    <row r="238" spans="1:25" ht="12.75" x14ac:dyDescent="0.2">
      <c r="A238" s="195" t="s">
        <v>624</v>
      </c>
      <c r="B238" s="536" t="s">
        <v>875</v>
      </c>
      <c r="C238" s="195" t="s">
        <v>656</v>
      </c>
      <c r="D238" s="195" t="s">
        <v>625</v>
      </c>
      <c r="E238" s="288"/>
      <c r="F238" s="204">
        <v>6</v>
      </c>
      <c r="G238" s="204"/>
      <c r="H238" s="197"/>
      <c r="I238" s="198"/>
      <c r="J238" s="205">
        <v>7.1</v>
      </c>
      <c r="K238" s="287">
        <v>7.1</v>
      </c>
      <c r="L238" s="206">
        <v>247</v>
      </c>
      <c r="M238" s="286">
        <v>247</v>
      </c>
      <c r="N238" s="552">
        <v>41791</v>
      </c>
      <c r="O238" s="205">
        <f t="shared" si="20"/>
        <v>0</v>
      </c>
      <c r="P238" s="555">
        <f>(1+$R$1)*Table33[[#This Row],[Hours]]</f>
        <v>0</v>
      </c>
      <c r="Q238" s="207">
        <f t="shared" si="19"/>
        <v>0</v>
      </c>
      <c r="R238" s="208">
        <f t="shared" si="21"/>
        <v>0</v>
      </c>
      <c r="S238" s="208">
        <f t="shared" si="22"/>
        <v>0</v>
      </c>
      <c r="T238" s="208" t="str">
        <f t="shared" si="23"/>
        <v/>
      </c>
      <c r="U238" s="195">
        <f>Table33[[#This Row],[gal/100ft]]*Table33[[#This Row],[QTY]]/100</f>
        <v>0</v>
      </c>
      <c r="V238" s="195"/>
      <c r="W238" s="195"/>
      <c r="X238" s="195"/>
      <c r="Y238" s="195"/>
    </row>
    <row r="239" spans="1:25" ht="12.75" x14ac:dyDescent="0.2">
      <c r="A239" s="195" t="s">
        <v>624</v>
      </c>
      <c r="B239" s="536" t="s">
        <v>875</v>
      </c>
      <c r="C239" s="195" t="s">
        <v>656</v>
      </c>
      <c r="D239" s="195" t="s">
        <v>625</v>
      </c>
      <c r="E239" s="288"/>
      <c r="F239" s="204">
        <v>8</v>
      </c>
      <c r="G239" s="204"/>
      <c r="H239" s="197"/>
      <c r="I239" s="198"/>
      <c r="J239" s="205">
        <v>8.7899999999999991</v>
      </c>
      <c r="K239" s="287">
        <v>8.7899999999999991</v>
      </c>
      <c r="L239" s="206">
        <v>467</v>
      </c>
      <c r="M239" s="286">
        <v>467</v>
      </c>
      <c r="N239" s="552">
        <v>41791</v>
      </c>
      <c r="O239" s="205">
        <f t="shared" si="20"/>
        <v>0</v>
      </c>
      <c r="P239" s="555">
        <f>(1+$R$1)*Table33[[#This Row],[Hours]]</f>
        <v>0</v>
      </c>
      <c r="Q239" s="207">
        <f t="shared" si="19"/>
        <v>0</v>
      </c>
      <c r="R239" s="208">
        <f t="shared" si="21"/>
        <v>0</v>
      </c>
      <c r="S239" s="208">
        <f t="shared" si="22"/>
        <v>0</v>
      </c>
      <c r="T239" s="208" t="str">
        <f t="shared" si="23"/>
        <v/>
      </c>
      <c r="U239" s="195">
        <f>Table33[[#This Row],[gal/100ft]]*Table33[[#This Row],[QTY]]/100</f>
        <v>0</v>
      </c>
      <c r="V239" s="195"/>
      <c r="W239" s="195"/>
      <c r="X239" s="195"/>
      <c r="Y239" s="195"/>
    </row>
    <row r="240" spans="1:25" ht="12.75" x14ac:dyDescent="0.2">
      <c r="A240" s="195" t="s">
        <v>624</v>
      </c>
      <c r="B240" s="536" t="s">
        <v>875</v>
      </c>
      <c r="C240" s="195" t="s">
        <v>656</v>
      </c>
      <c r="D240" s="195" t="s">
        <v>625</v>
      </c>
      <c r="E240" s="288"/>
      <c r="F240" s="204">
        <v>10</v>
      </c>
      <c r="G240" s="204"/>
      <c r="H240" s="197"/>
      <c r="I240" s="198"/>
      <c r="J240" s="205">
        <v>11.34</v>
      </c>
      <c r="K240" s="287">
        <v>11.34</v>
      </c>
      <c r="L240" s="206">
        <v>725</v>
      </c>
      <c r="M240" s="286">
        <v>725</v>
      </c>
      <c r="N240" s="552">
        <v>41791</v>
      </c>
      <c r="O240" s="205">
        <f t="shared" si="20"/>
        <v>0</v>
      </c>
      <c r="P240" s="555">
        <f>(1+$R$1)*Table33[[#This Row],[Hours]]</f>
        <v>0</v>
      </c>
      <c r="Q240" s="207">
        <f t="shared" si="19"/>
        <v>0</v>
      </c>
      <c r="R240" s="208">
        <f t="shared" si="21"/>
        <v>0</v>
      </c>
      <c r="S240" s="208">
        <f t="shared" si="22"/>
        <v>0</v>
      </c>
      <c r="T240" s="208" t="str">
        <f t="shared" si="23"/>
        <v/>
      </c>
      <c r="U240" s="195">
        <f>Table33[[#This Row],[gal/100ft]]*Table33[[#This Row],[QTY]]/100</f>
        <v>0</v>
      </c>
      <c r="V240" s="195"/>
      <c r="W240" s="195"/>
      <c r="X240" s="195"/>
      <c r="Y240" s="195"/>
    </row>
    <row r="241" spans="1:25" ht="12.75" x14ac:dyDescent="0.2">
      <c r="A241" s="195" t="s">
        <v>624</v>
      </c>
      <c r="B241" s="536" t="s">
        <v>875</v>
      </c>
      <c r="C241" s="195" t="s">
        <v>656</v>
      </c>
      <c r="D241" s="195" t="s">
        <v>625</v>
      </c>
      <c r="E241" s="288"/>
      <c r="F241" s="204">
        <v>12</v>
      </c>
      <c r="G241" s="204"/>
      <c r="H241" s="197"/>
      <c r="I241" s="198"/>
      <c r="J241" s="205">
        <v>13.45</v>
      </c>
      <c r="K241" s="287">
        <v>13.45</v>
      </c>
      <c r="L241" s="206">
        <v>1071</v>
      </c>
      <c r="M241" s="286">
        <v>1071</v>
      </c>
      <c r="N241" s="552">
        <v>41791</v>
      </c>
      <c r="O241" s="205">
        <f t="shared" si="20"/>
        <v>0</v>
      </c>
      <c r="P241" s="555">
        <f>(1+$R$1)*Table33[[#This Row],[Hours]]</f>
        <v>0</v>
      </c>
      <c r="Q241" s="207">
        <f t="shared" si="19"/>
        <v>0</v>
      </c>
      <c r="R241" s="208">
        <f t="shared" si="21"/>
        <v>0</v>
      </c>
      <c r="S241" s="208">
        <f t="shared" si="22"/>
        <v>0</v>
      </c>
      <c r="T241" s="208" t="str">
        <f t="shared" si="23"/>
        <v/>
      </c>
      <c r="U241" s="195">
        <f>Table33[[#This Row],[gal/100ft]]*Table33[[#This Row],[QTY]]/100</f>
        <v>0</v>
      </c>
      <c r="V241" s="195"/>
      <c r="W241" s="195"/>
      <c r="X241" s="195"/>
      <c r="Y241" s="195"/>
    </row>
    <row r="242" spans="1:25" ht="12.75" x14ac:dyDescent="0.2">
      <c r="A242" s="195" t="s">
        <v>606</v>
      </c>
      <c r="B242" s="195" t="s">
        <v>605</v>
      </c>
      <c r="C242" s="195" t="s">
        <v>656</v>
      </c>
      <c r="D242" s="195" t="s">
        <v>633</v>
      </c>
      <c r="E242" s="288"/>
      <c r="F242" s="204">
        <v>1</v>
      </c>
      <c r="G242" s="204"/>
      <c r="H242" s="197"/>
      <c r="I242" s="198"/>
      <c r="J242" s="205">
        <v>0.48</v>
      </c>
      <c r="K242" s="287">
        <v>0.14000000000000001</v>
      </c>
      <c r="L242" s="206">
        <v>3.37</v>
      </c>
      <c r="M242" s="286">
        <v>3.37</v>
      </c>
      <c r="N242" s="552">
        <v>41791</v>
      </c>
      <c r="O242" s="205">
        <f t="shared" si="20"/>
        <v>0</v>
      </c>
      <c r="P242" s="555">
        <f>(1+$R$1)*Table33[[#This Row],[Hours]]</f>
        <v>0</v>
      </c>
      <c r="Q242" s="207">
        <f t="shared" si="19"/>
        <v>0</v>
      </c>
      <c r="R242" s="208">
        <f t="shared" si="21"/>
        <v>0</v>
      </c>
      <c r="S242" s="208">
        <f t="shared" si="22"/>
        <v>0</v>
      </c>
      <c r="T242" s="208" t="str">
        <f t="shared" si="23"/>
        <v/>
      </c>
      <c r="U242" s="195">
        <f>Table33[[#This Row],[gal/100ft]]*Table33[[#This Row],[QTY]]/100</f>
        <v>0</v>
      </c>
      <c r="V242" s="195"/>
      <c r="W242" s="195"/>
      <c r="X242" s="195"/>
      <c r="Y242" s="195"/>
    </row>
    <row r="243" spans="1:25" ht="12.75" x14ac:dyDescent="0.2">
      <c r="A243" s="195" t="s">
        <v>606</v>
      </c>
      <c r="B243" s="195" t="s">
        <v>605</v>
      </c>
      <c r="C243" s="195" t="s">
        <v>656</v>
      </c>
      <c r="D243" s="195" t="s">
        <v>633</v>
      </c>
      <c r="E243" s="288"/>
      <c r="F243" s="204">
        <v>1.25</v>
      </c>
      <c r="G243" s="204"/>
      <c r="H243" s="197"/>
      <c r="I243" s="198"/>
      <c r="J243" s="205">
        <v>0.5</v>
      </c>
      <c r="K243" s="287">
        <v>0.15</v>
      </c>
      <c r="L243" s="206">
        <v>3.97</v>
      </c>
      <c r="M243" s="286">
        <v>3.97</v>
      </c>
      <c r="N243" s="552">
        <v>41791</v>
      </c>
      <c r="O243" s="205">
        <f t="shared" si="20"/>
        <v>0</v>
      </c>
      <c r="P243" s="555">
        <f>(1+$R$1)*Table33[[#This Row],[Hours]]</f>
        <v>0</v>
      </c>
      <c r="Q243" s="207">
        <f t="shared" si="19"/>
        <v>0</v>
      </c>
      <c r="R243" s="208">
        <f t="shared" si="21"/>
        <v>0</v>
      </c>
      <c r="S243" s="208">
        <f t="shared" si="22"/>
        <v>0</v>
      </c>
      <c r="T243" s="208" t="str">
        <f t="shared" si="23"/>
        <v/>
      </c>
      <c r="U243" s="195">
        <f>Table33[[#This Row],[gal/100ft]]*Table33[[#This Row],[QTY]]/100</f>
        <v>0</v>
      </c>
      <c r="V243" s="195"/>
      <c r="W243" s="195"/>
      <c r="X243" s="195"/>
      <c r="Y243" s="195"/>
    </row>
    <row r="244" spans="1:25" ht="12.75" x14ac:dyDescent="0.2">
      <c r="A244" s="195" t="s">
        <v>606</v>
      </c>
      <c r="B244" s="195" t="s">
        <v>605</v>
      </c>
      <c r="C244" s="195" t="s">
        <v>656</v>
      </c>
      <c r="D244" s="195" t="s">
        <v>633</v>
      </c>
      <c r="E244" s="288"/>
      <c r="F244" s="204">
        <v>1.5</v>
      </c>
      <c r="G244" s="204"/>
      <c r="H244" s="197"/>
      <c r="I244" s="198"/>
      <c r="J244" s="205">
        <v>0.51</v>
      </c>
      <c r="K244" s="287">
        <v>0.2</v>
      </c>
      <c r="L244" s="206">
        <v>6.2</v>
      </c>
      <c r="M244" s="286">
        <v>6.2</v>
      </c>
      <c r="N244" s="552">
        <v>41791</v>
      </c>
      <c r="O244" s="205">
        <f t="shared" si="20"/>
        <v>0</v>
      </c>
      <c r="P244" s="555">
        <f>(1+$R$1)*Table33[[#This Row],[Hours]]</f>
        <v>0</v>
      </c>
      <c r="Q244" s="207">
        <f t="shared" si="19"/>
        <v>0</v>
      </c>
      <c r="R244" s="208">
        <f t="shared" si="21"/>
        <v>0</v>
      </c>
      <c r="S244" s="208">
        <f t="shared" si="22"/>
        <v>0</v>
      </c>
      <c r="T244" s="208" t="str">
        <f t="shared" si="23"/>
        <v/>
      </c>
      <c r="U244" s="195">
        <f>Table33[[#This Row],[gal/100ft]]*Table33[[#This Row],[QTY]]/100</f>
        <v>0</v>
      </c>
      <c r="V244" s="195"/>
      <c r="W244" s="195"/>
      <c r="X244" s="195"/>
      <c r="Y244" s="195"/>
    </row>
    <row r="245" spans="1:25" ht="12.75" x14ac:dyDescent="0.2">
      <c r="A245" s="195" t="s">
        <v>606</v>
      </c>
      <c r="B245" s="195" t="s">
        <v>605</v>
      </c>
      <c r="C245" s="195" t="s">
        <v>656</v>
      </c>
      <c r="D245" s="195" t="s">
        <v>633</v>
      </c>
      <c r="E245" s="288"/>
      <c r="F245" s="204">
        <v>2</v>
      </c>
      <c r="G245" s="204"/>
      <c r="H245" s="197"/>
      <c r="I245" s="198"/>
      <c r="J245" s="205">
        <v>0.53</v>
      </c>
      <c r="K245" s="287">
        <v>0.23</v>
      </c>
      <c r="L245" s="206">
        <v>7</v>
      </c>
      <c r="M245" s="286">
        <v>7</v>
      </c>
      <c r="N245" s="552">
        <v>41791</v>
      </c>
      <c r="O245" s="205">
        <f t="shared" si="20"/>
        <v>0</v>
      </c>
      <c r="P245" s="555">
        <f>(1+$R$1)*Table33[[#This Row],[Hours]]</f>
        <v>0</v>
      </c>
      <c r="Q245" s="207">
        <f t="shared" si="19"/>
        <v>0</v>
      </c>
      <c r="R245" s="208">
        <f t="shared" si="21"/>
        <v>0</v>
      </c>
      <c r="S245" s="208">
        <f t="shared" si="22"/>
        <v>0</v>
      </c>
      <c r="T245" s="208" t="str">
        <f t="shared" si="23"/>
        <v/>
      </c>
      <c r="U245" s="195">
        <f>Table33[[#This Row],[gal/100ft]]*Table33[[#This Row],[QTY]]/100</f>
        <v>0</v>
      </c>
      <c r="V245" s="195"/>
      <c r="W245" s="195"/>
      <c r="X245" s="195"/>
      <c r="Y245" s="195"/>
    </row>
    <row r="246" spans="1:25" ht="12.75" x14ac:dyDescent="0.2">
      <c r="A246" s="195" t="s">
        <v>606</v>
      </c>
      <c r="B246" s="195" t="s">
        <v>605</v>
      </c>
      <c r="C246" s="195" t="s">
        <v>656</v>
      </c>
      <c r="D246" s="195" t="s">
        <v>633</v>
      </c>
      <c r="E246" s="288"/>
      <c r="F246" s="204">
        <v>2.5</v>
      </c>
      <c r="G246" s="204"/>
      <c r="H246" s="197"/>
      <c r="I246" s="198"/>
      <c r="J246" s="205">
        <v>0.55000000000000004</v>
      </c>
      <c r="K246" s="287">
        <v>0.25</v>
      </c>
      <c r="L246" s="206">
        <v>9.8000000000000007</v>
      </c>
      <c r="M246" s="286">
        <v>9.8000000000000007</v>
      </c>
      <c r="N246" s="552">
        <v>41791</v>
      </c>
      <c r="O246" s="205">
        <f t="shared" si="20"/>
        <v>0</v>
      </c>
      <c r="P246" s="555">
        <f>(1+$R$1)*Table33[[#This Row],[Hours]]</f>
        <v>0</v>
      </c>
      <c r="Q246" s="207">
        <f t="shared" si="19"/>
        <v>0</v>
      </c>
      <c r="R246" s="208">
        <f t="shared" si="21"/>
        <v>0</v>
      </c>
      <c r="S246" s="208">
        <f t="shared" si="22"/>
        <v>0</v>
      </c>
      <c r="T246" s="208" t="str">
        <f t="shared" si="23"/>
        <v/>
      </c>
      <c r="U246" s="195">
        <f>Table33[[#This Row],[gal/100ft]]*Table33[[#This Row],[QTY]]/100</f>
        <v>0</v>
      </c>
      <c r="V246" s="195"/>
      <c r="W246" s="195"/>
      <c r="X246" s="195"/>
      <c r="Y246" s="195"/>
    </row>
    <row r="247" spans="1:25" ht="12.75" x14ac:dyDescent="0.2">
      <c r="A247" s="195" t="s">
        <v>606</v>
      </c>
      <c r="B247" s="195" t="s">
        <v>605</v>
      </c>
      <c r="C247" s="195" t="s">
        <v>656</v>
      </c>
      <c r="D247" s="195" t="s">
        <v>633</v>
      </c>
      <c r="E247" s="288"/>
      <c r="F247" s="204">
        <v>3</v>
      </c>
      <c r="G247" s="204"/>
      <c r="H247" s="197"/>
      <c r="I247" s="198"/>
      <c r="J247" s="205">
        <v>0.57999999999999996</v>
      </c>
      <c r="K247" s="287">
        <v>0.34</v>
      </c>
      <c r="L247" s="206">
        <v>19.920000000000002</v>
      </c>
      <c r="M247" s="286">
        <v>19.920000000000002</v>
      </c>
      <c r="N247" s="552">
        <v>41791</v>
      </c>
      <c r="O247" s="205">
        <f t="shared" si="20"/>
        <v>0</v>
      </c>
      <c r="P247" s="555">
        <f>(1+$R$1)*Table33[[#This Row],[Hours]]</f>
        <v>0</v>
      </c>
      <c r="Q247" s="207">
        <f t="shared" si="19"/>
        <v>0</v>
      </c>
      <c r="R247" s="208">
        <f t="shared" si="21"/>
        <v>0</v>
      </c>
      <c r="S247" s="208">
        <f t="shared" si="22"/>
        <v>0</v>
      </c>
      <c r="T247" s="208" t="str">
        <f t="shared" si="23"/>
        <v/>
      </c>
      <c r="U247" s="195">
        <f>Table33[[#This Row],[gal/100ft]]*Table33[[#This Row],[QTY]]/100</f>
        <v>0</v>
      </c>
      <c r="V247" s="195"/>
      <c r="W247" s="195"/>
      <c r="X247" s="195"/>
      <c r="Y247" s="195"/>
    </row>
    <row r="248" spans="1:25" ht="12.75" x14ac:dyDescent="0.2">
      <c r="A248" s="195" t="s">
        <v>606</v>
      </c>
      <c r="B248" s="195" t="s">
        <v>605</v>
      </c>
      <c r="C248" s="195" t="s">
        <v>656</v>
      </c>
      <c r="D248" s="195" t="s">
        <v>633</v>
      </c>
      <c r="E248" s="288"/>
      <c r="F248" s="204">
        <v>3.5</v>
      </c>
      <c r="G248" s="204"/>
      <c r="H248" s="197"/>
      <c r="I248" s="198"/>
      <c r="J248" s="205">
        <v>1.06</v>
      </c>
      <c r="K248" s="287">
        <v>0.34</v>
      </c>
      <c r="L248" s="206">
        <v>29.67</v>
      </c>
      <c r="M248" s="286">
        <v>29.67</v>
      </c>
      <c r="N248" s="552">
        <v>41791</v>
      </c>
      <c r="O248" s="205">
        <f t="shared" si="20"/>
        <v>0</v>
      </c>
      <c r="P248" s="555">
        <f>(1+$R$1)*Table33[[#This Row],[Hours]]</f>
        <v>0</v>
      </c>
      <c r="Q248" s="207">
        <f t="shared" si="19"/>
        <v>0</v>
      </c>
      <c r="R248" s="208">
        <f t="shared" si="21"/>
        <v>0</v>
      </c>
      <c r="S248" s="208">
        <f t="shared" si="22"/>
        <v>0</v>
      </c>
      <c r="T248" s="208" t="str">
        <f t="shared" si="23"/>
        <v/>
      </c>
      <c r="U248" s="195">
        <f>Table33[[#This Row],[gal/100ft]]*Table33[[#This Row],[QTY]]/100</f>
        <v>0</v>
      </c>
      <c r="V248" s="195"/>
      <c r="W248" s="195"/>
      <c r="X248" s="195"/>
      <c r="Y248" s="195"/>
    </row>
    <row r="249" spans="1:25" ht="12.75" x14ac:dyDescent="0.2">
      <c r="A249" s="195" t="s">
        <v>606</v>
      </c>
      <c r="B249" s="195" t="s">
        <v>605</v>
      </c>
      <c r="C249" s="195" t="s">
        <v>656</v>
      </c>
      <c r="D249" s="195" t="s">
        <v>633</v>
      </c>
      <c r="E249" s="288"/>
      <c r="F249" s="204">
        <v>4</v>
      </c>
      <c r="G249" s="204"/>
      <c r="H249" s="197"/>
      <c r="I249" s="198"/>
      <c r="J249" s="205">
        <v>1.28</v>
      </c>
      <c r="K249" s="287">
        <v>0.41</v>
      </c>
      <c r="L249" s="206">
        <v>73.150000000000006</v>
      </c>
      <c r="M249" s="286">
        <v>73.150000000000006</v>
      </c>
      <c r="N249" s="552">
        <v>41791</v>
      </c>
      <c r="O249" s="205">
        <f t="shared" si="20"/>
        <v>0</v>
      </c>
      <c r="P249" s="555">
        <f>(1+$R$1)*Table33[[#This Row],[Hours]]</f>
        <v>0</v>
      </c>
      <c r="Q249" s="207">
        <f t="shared" si="19"/>
        <v>0</v>
      </c>
      <c r="R249" s="208">
        <f t="shared" si="21"/>
        <v>0</v>
      </c>
      <c r="S249" s="208">
        <f t="shared" si="22"/>
        <v>0</v>
      </c>
      <c r="T249" s="208" t="str">
        <f t="shared" si="23"/>
        <v/>
      </c>
      <c r="U249" s="195">
        <f>Table33[[#This Row],[gal/100ft]]*Table33[[#This Row],[QTY]]/100</f>
        <v>0</v>
      </c>
      <c r="V249" s="195"/>
      <c r="W249" s="195"/>
      <c r="X249" s="195"/>
      <c r="Y249" s="195"/>
    </row>
    <row r="250" spans="1:25" ht="12.75" x14ac:dyDescent="0.2">
      <c r="A250" s="195" t="s">
        <v>612</v>
      </c>
      <c r="B250" s="536" t="s">
        <v>875</v>
      </c>
      <c r="C250" s="195" t="s">
        <v>656</v>
      </c>
      <c r="D250" s="536" t="s">
        <v>872</v>
      </c>
      <c r="E250" s="288"/>
      <c r="F250" s="204">
        <v>0.5</v>
      </c>
      <c r="G250" s="204"/>
      <c r="H250" s="197"/>
      <c r="I250" s="198"/>
      <c r="J250" s="205"/>
      <c r="K250" s="287"/>
      <c r="L250" s="206"/>
      <c r="M250" s="286"/>
      <c r="N250" s="552">
        <v>41791</v>
      </c>
      <c r="O250" s="205">
        <f t="shared" si="20"/>
        <v>0</v>
      </c>
      <c r="P250" s="555">
        <f>(1+$R$1)*Table33[[#This Row],[Hours]]</f>
        <v>0</v>
      </c>
      <c r="Q250" s="207">
        <f t="shared" si="19"/>
        <v>0</v>
      </c>
      <c r="R250" s="208">
        <f t="shared" si="21"/>
        <v>0</v>
      </c>
      <c r="S250" s="208">
        <f t="shared" si="22"/>
        <v>0</v>
      </c>
      <c r="T250" s="208" t="str">
        <f t="shared" si="23"/>
        <v/>
      </c>
      <c r="U250" s="195">
        <f>Table33[[#This Row],[gal/100ft]]*Table33[[#This Row],[QTY]]/100</f>
        <v>0</v>
      </c>
      <c r="V250" s="195"/>
      <c r="W250" s="195"/>
      <c r="X250" s="195"/>
      <c r="Y250" s="195"/>
    </row>
    <row r="251" spans="1:25" ht="12.75" x14ac:dyDescent="0.2">
      <c r="A251" s="195" t="s">
        <v>612</v>
      </c>
      <c r="B251" s="536" t="s">
        <v>875</v>
      </c>
      <c r="C251" s="195" t="s">
        <v>656</v>
      </c>
      <c r="D251" s="536" t="s">
        <v>872</v>
      </c>
      <c r="E251" s="288"/>
      <c r="F251" s="204">
        <v>0.75</v>
      </c>
      <c r="G251" s="204"/>
      <c r="H251" s="197"/>
      <c r="I251" s="198"/>
      <c r="J251" s="205"/>
      <c r="K251" s="287"/>
      <c r="L251" s="206"/>
      <c r="M251" s="286"/>
      <c r="N251" s="552">
        <v>41791</v>
      </c>
      <c r="O251" s="205">
        <f t="shared" si="20"/>
        <v>0</v>
      </c>
      <c r="P251" s="555">
        <f>(1+$R$1)*Table33[[#This Row],[Hours]]</f>
        <v>0</v>
      </c>
      <c r="Q251" s="207">
        <f t="shared" si="19"/>
        <v>0</v>
      </c>
      <c r="R251" s="208">
        <f t="shared" si="21"/>
        <v>0</v>
      </c>
      <c r="S251" s="208">
        <f t="shared" si="22"/>
        <v>0</v>
      </c>
      <c r="T251" s="208" t="str">
        <f t="shared" si="23"/>
        <v/>
      </c>
      <c r="U251" s="195">
        <f>Table33[[#This Row],[gal/100ft]]*Table33[[#This Row],[QTY]]/100</f>
        <v>0</v>
      </c>
      <c r="V251" s="195"/>
      <c r="W251" s="195"/>
      <c r="X251" s="195"/>
      <c r="Y251" s="195"/>
    </row>
    <row r="252" spans="1:25" ht="12.75" x14ac:dyDescent="0.2">
      <c r="A252" s="195" t="s">
        <v>612</v>
      </c>
      <c r="B252" s="536" t="s">
        <v>875</v>
      </c>
      <c r="C252" s="195" t="s">
        <v>656</v>
      </c>
      <c r="D252" s="536" t="s">
        <v>872</v>
      </c>
      <c r="E252" s="288"/>
      <c r="F252" s="204">
        <v>1</v>
      </c>
      <c r="G252" s="204"/>
      <c r="H252" s="197"/>
      <c r="I252" s="198"/>
      <c r="J252" s="205"/>
      <c r="K252" s="287"/>
      <c r="L252" s="206"/>
      <c r="M252" s="286"/>
      <c r="N252" s="552">
        <v>41791</v>
      </c>
      <c r="O252" s="205">
        <f t="shared" si="20"/>
        <v>0</v>
      </c>
      <c r="P252" s="555">
        <f>(1+$R$1)*Table33[[#This Row],[Hours]]</f>
        <v>0</v>
      </c>
      <c r="Q252" s="207">
        <f t="shared" si="19"/>
        <v>0</v>
      </c>
      <c r="R252" s="208">
        <f t="shared" si="21"/>
        <v>0</v>
      </c>
      <c r="S252" s="208">
        <f t="shared" si="22"/>
        <v>0</v>
      </c>
      <c r="T252" s="208" t="str">
        <f t="shared" si="23"/>
        <v/>
      </c>
      <c r="U252" s="195">
        <f>Table33[[#This Row],[gal/100ft]]*Table33[[#This Row],[QTY]]/100</f>
        <v>0</v>
      </c>
      <c r="V252" s="195"/>
      <c r="W252" s="195"/>
      <c r="X252" s="195"/>
      <c r="Y252" s="195"/>
    </row>
    <row r="253" spans="1:25" ht="12.75" x14ac:dyDescent="0.2">
      <c r="A253" s="195" t="s">
        <v>612</v>
      </c>
      <c r="B253" s="536" t="s">
        <v>875</v>
      </c>
      <c r="C253" s="195" t="s">
        <v>656</v>
      </c>
      <c r="D253" s="536" t="s">
        <v>872</v>
      </c>
      <c r="E253" s="288"/>
      <c r="F253" s="204">
        <v>1.25</v>
      </c>
      <c r="G253" s="204"/>
      <c r="H253" s="197"/>
      <c r="I253" s="198"/>
      <c r="J253" s="205"/>
      <c r="K253" s="287"/>
      <c r="L253" s="206"/>
      <c r="M253" s="286"/>
      <c r="N253" s="552">
        <v>41791</v>
      </c>
      <c r="O253" s="205">
        <f t="shared" si="20"/>
        <v>0</v>
      </c>
      <c r="P253" s="555">
        <f>(1+$R$1)*Table33[[#This Row],[Hours]]</f>
        <v>0</v>
      </c>
      <c r="Q253" s="207">
        <f t="shared" si="19"/>
        <v>0</v>
      </c>
      <c r="R253" s="208">
        <f t="shared" si="21"/>
        <v>0</v>
      </c>
      <c r="S253" s="208">
        <f t="shared" si="22"/>
        <v>0</v>
      </c>
      <c r="T253" s="208" t="str">
        <f t="shared" si="23"/>
        <v/>
      </c>
      <c r="U253" s="195">
        <f>Table33[[#This Row],[gal/100ft]]*Table33[[#This Row],[QTY]]/100</f>
        <v>0</v>
      </c>
      <c r="V253" s="195"/>
      <c r="W253" s="195"/>
      <c r="X253" s="195"/>
      <c r="Y253" s="195"/>
    </row>
    <row r="254" spans="1:25" ht="12.75" x14ac:dyDescent="0.2">
      <c r="A254" s="195" t="s">
        <v>612</v>
      </c>
      <c r="B254" s="536" t="s">
        <v>875</v>
      </c>
      <c r="C254" s="195" t="s">
        <v>656</v>
      </c>
      <c r="D254" s="536" t="s">
        <v>872</v>
      </c>
      <c r="E254" s="288"/>
      <c r="F254" s="204">
        <v>1.5</v>
      </c>
      <c r="G254" s="204"/>
      <c r="H254" s="197"/>
      <c r="I254" s="198"/>
      <c r="J254" s="205"/>
      <c r="K254" s="287"/>
      <c r="L254" s="206"/>
      <c r="M254" s="286"/>
      <c r="N254" s="552">
        <v>41791</v>
      </c>
      <c r="O254" s="205">
        <f t="shared" si="20"/>
        <v>0</v>
      </c>
      <c r="P254" s="555">
        <f>(1+$R$1)*Table33[[#This Row],[Hours]]</f>
        <v>0</v>
      </c>
      <c r="Q254" s="207">
        <f t="shared" si="19"/>
        <v>0</v>
      </c>
      <c r="R254" s="208">
        <f t="shared" si="21"/>
        <v>0</v>
      </c>
      <c r="S254" s="208">
        <f t="shared" si="22"/>
        <v>0</v>
      </c>
      <c r="T254" s="208" t="str">
        <f t="shared" si="23"/>
        <v/>
      </c>
      <c r="U254" s="195">
        <f>Table33[[#This Row],[gal/100ft]]*Table33[[#This Row],[QTY]]/100</f>
        <v>0</v>
      </c>
      <c r="V254" s="195"/>
      <c r="W254" s="195"/>
      <c r="X254" s="195"/>
      <c r="Y254" s="195"/>
    </row>
    <row r="255" spans="1:25" ht="12.75" x14ac:dyDescent="0.2">
      <c r="A255" s="195" t="s">
        <v>612</v>
      </c>
      <c r="B255" s="536" t="s">
        <v>875</v>
      </c>
      <c r="C255" s="195" t="s">
        <v>656</v>
      </c>
      <c r="D255" s="536" t="s">
        <v>872</v>
      </c>
      <c r="E255" s="288"/>
      <c r="F255" s="204">
        <v>2</v>
      </c>
      <c r="G255" s="204"/>
      <c r="H255" s="197"/>
      <c r="I255" s="198"/>
      <c r="J255" s="205">
        <v>0.09</v>
      </c>
      <c r="K255" s="287">
        <v>0.09</v>
      </c>
      <c r="L255" s="206">
        <v>69.25</v>
      </c>
      <c r="M255" s="286">
        <v>69.25</v>
      </c>
      <c r="N255" s="552">
        <v>41791</v>
      </c>
      <c r="O255" s="205">
        <f t="shared" si="20"/>
        <v>0</v>
      </c>
      <c r="P255" s="555">
        <f>(1+$R$1)*Table33[[#This Row],[Hours]]</f>
        <v>0</v>
      </c>
      <c r="Q255" s="207">
        <f t="shared" si="19"/>
        <v>0</v>
      </c>
      <c r="R255" s="208">
        <f t="shared" si="21"/>
        <v>0</v>
      </c>
      <c r="S255" s="208">
        <f t="shared" si="22"/>
        <v>0</v>
      </c>
      <c r="T255" s="208" t="str">
        <f t="shared" si="23"/>
        <v/>
      </c>
      <c r="U255" s="195">
        <f>Table33[[#This Row],[gal/100ft]]*Table33[[#This Row],[QTY]]/100</f>
        <v>0</v>
      </c>
      <c r="V255" s="195"/>
      <c r="W255" s="195"/>
      <c r="X255" s="195"/>
      <c r="Y255" s="195"/>
    </row>
    <row r="256" spans="1:25" ht="12.75" x14ac:dyDescent="0.2">
      <c r="A256" s="195" t="s">
        <v>612</v>
      </c>
      <c r="B256" s="536" t="s">
        <v>875</v>
      </c>
      <c r="C256" s="195" t="s">
        <v>656</v>
      </c>
      <c r="D256" s="536" t="s">
        <v>872</v>
      </c>
      <c r="E256" s="288"/>
      <c r="F256" s="204">
        <v>2.5</v>
      </c>
      <c r="G256" s="204"/>
      <c r="H256" s="197"/>
      <c r="I256" s="198"/>
      <c r="J256" s="205">
        <v>0.12</v>
      </c>
      <c r="K256" s="287">
        <v>0.12</v>
      </c>
      <c r="L256" s="206">
        <v>64.48</v>
      </c>
      <c r="M256" s="286">
        <v>64.48</v>
      </c>
      <c r="N256" s="552">
        <v>41791</v>
      </c>
      <c r="O256" s="205">
        <f t="shared" si="20"/>
        <v>0</v>
      </c>
      <c r="P256" s="555">
        <f>(1+$R$1)*Table33[[#This Row],[Hours]]</f>
        <v>0</v>
      </c>
      <c r="Q256" s="207">
        <f t="shared" si="19"/>
        <v>0</v>
      </c>
      <c r="R256" s="208">
        <f t="shared" si="21"/>
        <v>0</v>
      </c>
      <c r="S256" s="208">
        <f t="shared" si="22"/>
        <v>0</v>
      </c>
      <c r="T256" s="208" t="str">
        <f t="shared" si="23"/>
        <v/>
      </c>
      <c r="U256" s="195">
        <f>Table33[[#This Row],[gal/100ft]]*Table33[[#This Row],[QTY]]/100</f>
        <v>0</v>
      </c>
      <c r="V256" s="195"/>
      <c r="W256" s="195"/>
      <c r="X256" s="195"/>
      <c r="Y256" s="195"/>
    </row>
    <row r="257" spans="1:25" ht="12.75" x14ac:dyDescent="0.2">
      <c r="A257" s="195" t="s">
        <v>612</v>
      </c>
      <c r="B257" s="536" t="s">
        <v>875</v>
      </c>
      <c r="C257" s="195" t="s">
        <v>656</v>
      </c>
      <c r="D257" s="536" t="s">
        <v>872</v>
      </c>
      <c r="E257" s="288"/>
      <c r="F257" s="204">
        <v>3</v>
      </c>
      <c r="G257" s="204"/>
      <c r="H257" s="197"/>
      <c r="I257" s="198"/>
      <c r="J257" s="205">
        <v>0.13</v>
      </c>
      <c r="K257" s="287">
        <v>0.13</v>
      </c>
      <c r="L257" s="206">
        <v>69.599999999999994</v>
      </c>
      <c r="M257" s="286">
        <v>69.599999999999994</v>
      </c>
      <c r="N257" s="552">
        <v>41791</v>
      </c>
      <c r="O257" s="205">
        <f t="shared" si="20"/>
        <v>0</v>
      </c>
      <c r="P257" s="555">
        <f>(1+$R$1)*Table33[[#This Row],[Hours]]</f>
        <v>0</v>
      </c>
      <c r="Q257" s="207">
        <f t="shared" si="19"/>
        <v>0</v>
      </c>
      <c r="R257" s="208">
        <f t="shared" si="21"/>
        <v>0</v>
      </c>
      <c r="S257" s="208">
        <f t="shared" si="22"/>
        <v>0</v>
      </c>
      <c r="T257" s="208" t="str">
        <f t="shared" si="23"/>
        <v/>
      </c>
      <c r="U257" s="195">
        <f>Table33[[#This Row],[gal/100ft]]*Table33[[#This Row],[QTY]]/100</f>
        <v>0</v>
      </c>
      <c r="V257" s="195"/>
      <c r="W257" s="195"/>
      <c r="X257" s="195"/>
      <c r="Y257" s="195"/>
    </row>
    <row r="258" spans="1:25" ht="12.75" x14ac:dyDescent="0.2">
      <c r="A258" s="195" t="s">
        <v>612</v>
      </c>
      <c r="B258" s="536" t="s">
        <v>875</v>
      </c>
      <c r="C258" s="195" t="s">
        <v>656</v>
      </c>
      <c r="D258" s="536" t="s">
        <v>872</v>
      </c>
      <c r="E258" s="288"/>
      <c r="F258" s="204">
        <v>4</v>
      </c>
      <c r="G258" s="204"/>
      <c r="H258" s="197"/>
      <c r="I258" s="198"/>
      <c r="J258" s="205">
        <v>0.16</v>
      </c>
      <c r="K258" s="287">
        <v>0.16</v>
      </c>
      <c r="L258" s="206">
        <v>92.9</v>
      </c>
      <c r="M258" s="286">
        <v>92.9</v>
      </c>
      <c r="N258" s="552">
        <v>41791</v>
      </c>
      <c r="O258" s="205">
        <f t="shared" si="20"/>
        <v>0</v>
      </c>
      <c r="P258" s="555">
        <f>(1+$R$1)*Table33[[#This Row],[Hours]]</f>
        <v>0</v>
      </c>
      <c r="Q258" s="207">
        <f t="shared" si="19"/>
        <v>0</v>
      </c>
      <c r="R258" s="208">
        <f t="shared" si="21"/>
        <v>0</v>
      </c>
      <c r="S258" s="208">
        <f t="shared" si="22"/>
        <v>0</v>
      </c>
      <c r="T258" s="208" t="str">
        <f t="shared" si="23"/>
        <v/>
      </c>
      <c r="U258" s="195">
        <f>Table33[[#This Row],[gal/100ft]]*Table33[[#This Row],[QTY]]/100</f>
        <v>0</v>
      </c>
      <c r="V258" s="195"/>
      <c r="W258" s="195"/>
      <c r="X258" s="197"/>
      <c r="Y258" s="197"/>
    </row>
    <row r="259" spans="1:25" ht="12.75" x14ac:dyDescent="0.2">
      <c r="A259" s="195" t="s">
        <v>612</v>
      </c>
      <c r="B259" s="536" t="s">
        <v>875</v>
      </c>
      <c r="C259" s="195" t="s">
        <v>656</v>
      </c>
      <c r="D259" s="536" t="s">
        <v>872</v>
      </c>
      <c r="E259" s="288"/>
      <c r="F259" s="204">
        <v>5</v>
      </c>
      <c r="G259" s="204"/>
      <c r="H259" s="197"/>
      <c r="I259" s="198"/>
      <c r="J259" s="205">
        <v>0.19</v>
      </c>
      <c r="K259" s="287">
        <v>0.19</v>
      </c>
      <c r="L259" s="206">
        <v>107.84</v>
      </c>
      <c r="M259" s="286">
        <v>107.84</v>
      </c>
      <c r="N259" s="552">
        <v>41791</v>
      </c>
      <c r="O259" s="205">
        <f t="shared" si="20"/>
        <v>0</v>
      </c>
      <c r="P259" s="555">
        <f>(1+$R$1)*Table33[[#This Row],[Hours]]</f>
        <v>0</v>
      </c>
      <c r="Q259" s="207">
        <f t="shared" si="19"/>
        <v>0</v>
      </c>
      <c r="R259" s="208">
        <f t="shared" si="21"/>
        <v>0</v>
      </c>
      <c r="S259" s="208">
        <f t="shared" si="22"/>
        <v>0</v>
      </c>
      <c r="T259" s="208" t="str">
        <f t="shared" si="23"/>
        <v/>
      </c>
      <c r="U259" s="195">
        <f>Table33[[#This Row],[gal/100ft]]*Table33[[#This Row],[QTY]]/100</f>
        <v>0</v>
      </c>
      <c r="V259" s="195"/>
      <c r="W259" s="195"/>
      <c r="X259" s="197"/>
      <c r="Y259" s="197"/>
    </row>
    <row r="260" spans="1:25" ht="12.75" x14ac:dyDescent="0.2">
      <c r="A260" s="195" t="s">
        <v>612</v>
      </c>
      <c r="B260" s="536" t="s">
        <v>875</v>
      </c>
      <c r="C260" s="195" t="s">
        <v>656</v>
      </c>
      <c r="D260" s="536" t="s">
        <v>872</v>
      </c>
      <c r="E260" s="288"/>
      <c r="F260" s="204">
        <v>6</v>
      </c>
      <c r="G260" s="204"/>
      <c r="H260" s="197"/>
      <c r="I260" s="198"/>
      <c r="J260" s="205">
        <v>0.2</v>
      </c>
      <c r="K260" s="287">
        <v>0.2</v>
      </c>
      <c r="L260" s="206">
        <v>117.56</v>
      </c>
      <c r="M260" s="286">
        <v>117.56</v>
      </c>
      <c r="N260" s="552">
        <v>41791</v>
      </c>
      <c r="O260" s="205">
        <f t="shared" si="20"/>
        <v>0</v>
      </c>
      <c r="P260" s="555">
        <f>(1+$R$1)*Table33[[#This Row],[Hours]]</f>
        <v>0</v>
      </c>
      <c r="Q260" s="207">
        <f t="shared" si="19"/>
        <v>0</v>
      </c>
      <c r="R260" s="208">
        <f t="shared" si="21"/>
        <v>0</v>
      </c>
      <c r="S260" s="208">
        <f t="shared" si="22"/>
        <v>0</v>
      </c>
      <c r="T260" s="208" t="str">
        <f t="shared" si="23"/>
        <v/>
      </c>
      <c r="U260" s="195">
        <f>Table33[[#This Row],[gal/100ft]]*Table33[[#This Row],[QTY]]/100</f>
        <v>0</v>
      </c>
      <c r="V260" s="195"/>
      <c r="W260" s="195"/>
      <c r="X260" s="197"/>
      <c r="Y260" s="197"/>
    </row>
    <row r="261" spans="1:25" ht="12.75" x14ac:dyDescent="0.2">
      <c r="A261" s="195" t="s">
        <v>612</v>
      </c>
      <c r="B261" s="536" t="s">
        <v>875</v>
      </c>
      <c r="C261" s="195" t="s">
        <v>656</v>
      </c>
      <c r="D261" s="536" t="s">
        <v>872</v>
      </c>
      <c r="E261" s="288"/>
      <c r="F261" s="204">
        <v>8</v>
      </c>
      <c r="G261" s="204"/>
      <c r="H261" s="197"/>
      <c r="I261" s="198"/>
      <c r="J261" s="205">
        <v>0.3</v>
      </c>
      <c r="K261" s="287">
        <v>0.3</v>
      </c>
      <c r="L261" s="206">
        <v>132.82</v>
      </c>
      <c r="M261" s="286">
        <v>132.82</v>
      </c>
      <c r="N261" s="552">
        <v>41791</v>
      </c>
      <c r="O261" s="205">
        <f t="shared" si="20"/>
        <v>0</v>
      </c>
      <c r="P261" s="555">
        <f>(1+$R$1)*Table33[[#This Row],[Hours]]</f>
        <v>0</v>
      </c>
      <c r="Q261" s="207">
        <f t="shared" si="19"/>
        <v>0</v>
      </c>
      <c r="R261" s="208">
        <f t="shared" si="21"/>
        <v>0</v>
      </c>
      <c r="S261" s="208">
        <f t="shared" si="22"/>
        <v>0</v>
      </c>
      <c r="T261" s="208" t="str">
        <f t="shared" si="23"/>
        <v/>
      </c>
      <c r="U261" s="195">
        <f>Table33[[#This Row],[gal/100ft]]*Table33[[#This Row],[QTY]]/100</f>
        <v>0</v>
      </c>
      <c r="V261" s="195"/>
      <c r="W261" s="195"/>
      <c r="X261" s="197"/>
      <c r="Y261" s="197"/>
    </row>
    <row r="262" spans="1:25" ht="12.75" x14ac:dyDescent="0.2">
      <c r="A262" s="195" t="s">
        <v>612</v>
      </c>
      <c r="B262" s="536" t="s">
        <v>875</v>
      </c>
      <c r="C262" s="195" t="s">
        <v>656</v>
      </c>
      <c r="D262" s="536" t="s">
        <v>872</v>
      </c>
      <c r="E262" s="288"/>
      <c r="F262" s="204">
        <v>10</v>
      </c>
      <c r="G262" s="204"/>
      <c r="H262" s="197"/>
      <c r="I262" s="198"/>
      <c r="J262" s="205">
        <v>0.42</v>
      </c>
      <c r="K262" s="287">
        <v>0.42</v>
      </c>
      <c r="L262" s="206">
        <v>552.13</v>
      </c>
      <c r="M262" s="286">
        <v>552.13</v>
      </c>
      <c r="N262" s="552">
        <v>41791</v>
      </c>
      <c r="O262" s="205">
        <f t="shared" si="20"/>
        <v>0</v>
      </c>
      <c r="P262" s="555">
        <f>(1+$R$1)*Table33[[#This Row],[Hours]]</f>
        <v>0</v>
      </c>
      <c r="Q262" s="207">
        <f t="shared" si="19"/>
        <v>0</v>
      </c>
      <c r="R262" s="208">
        <f t="shared" si="21"/>
        <v>0</v>
      </c>
      <c r="S262" s="208">
        <f t="shared" si="22"/>
        <v>0</v>
      </c>
      <c r="T262" s="208" t="str">
        <f t="shared" si="23"/>
        <v/>
      </c>
      <c r="U262" s="195">
        <f>Table33[[#This Row],[gal/100ft]]*Table33[[#This Row],[QTY]]/100</f>
        <v>0</v>
      </c>
      <c r="V262" s="195"/>
      <c r="W262" s="195"/>
      <c r="X262" s="197"/>
      <c r="Y262" s="197"/>
    </row>
    <row r="263" spans="1:25" ht="12.75" x14ac:dyDescent="0.2">
      <c r="A263" s="195" t="s">
        <v>612</v>
      </c>
      <c r="B263" s="536" t="s">
        <v>875</v>
      </c>
      <c r="C263" s="195" t="s">
        <v>656</v>
      </c>
      <c r="D263" s="536" t="s">
        <v>872</v>
      </c>
      <c r="E263" s="288"/>
      <c r="F263" s="204">
        <v>12</v>
      </c>
      <c r="G263" s="204"/>
      <c r="H263" s="197"/>
      <c r="I263" s="198"/>
      <c r="J263" s="205">
        <v>0.76</v>
      </c>
      <c r="K263" s="287">
        <v>0.76</v>
      </c>
      <c r="L263" s="206">
        <v>949.25</v>
      </c>
      <c r="M263" s="286">
        <v>949.25</v>
      </c>
      <c r="N263" s="552">
        <v>41791</v>
      </c>
      <c r="O263" s="205">
        <f t="shared" si="20"/>
        <v>0</v>
      </c>
      <c r="P263" s="555">
        <f>(1+$R$1)*Table33[[#This Row],[Hours]]</f>
        <v>0</v>
      </c>
      <c r="Q263" s="207">
        <f t="shared" ref="Q263:Q326" si="24">P263*$O$1</f>
        <v>0</v>
      </c>
      <c r="R263" s="208">
        <f t="shared" si="21"/>
        <v>0</v>
      </c>
      <c r="S263" s="208">
        <f t="shared" si="22"/>
        <v>0</v>
      </c>
      <c r="T263" s="208" t="str">
        <f t="shared" si="23"/>
        <v/>
      </c>
      <c r="U263" s="195">
        <f>Table33[[#This Row],[gal/100ft]]*Table33[[#This Row],[QTY]]/100</f>
        <v>0</v>
      </c>
      <c r="V263" s="195"/>
      <c r="W263" s="195"/>
      <c r="X263" s="197"/>
      <c r="Y263" s="197"/>
    </row>
    <row r="264" spans="1:25" ht="12.75" x14ac:dyDescent="0.2">
      <c r="A264" s="311" t="s">
        <v>711</v>
      </c>
      <c r="B264" s="311" t="s">
        <v>711</v>
      </c>
      <c r="C264" s="195" t="s">
        <v>656</v>
      </c>
      <c r="D264" s="311" t="s">
        <v>717</v>
      </c>
      <c r="E264" s="288"/>
      <c r="F264" s="297">
        <v>0.5</v>
      </c>
      <c r="G264" s="312"/>
      <c r="H264" s="313"/>
      <c r="I264" s="314"/>
      <c r="J264" s="205" t="s">
        <v>718</v>
      </c>
      <c r="K264" s="287">
        <v>0.3</v>
      </c>
      <c r="L264" s="206"/>
      <c r="M264" s="286"/>
      <c r="N264" s="552">
        <v>41791</v>
      </c>
      <c r="O264" s="205">
        <f t="shared" si="20"/>
        <v>0</v>
      </c>
      <c r="P264" s="555">
        <f>(1+$R$1)*Table33[[#This Row],[Hours]]</f>
        <v>0</v>
      </c>
      <c r="Q264" s="207">
        <f t="shared" si="24"/>
        <v>0</v>
      </c>
      <c r="R264" s="208">
        <f t="shared" si="21"/>
        <v>0</v>
      </c>
      <c r="S264" s="208">
        <f t="shared" si="22"/>
        <v>0</v>
      </c>
      <c r="T264" s="208" t="str">
        <f t="shared" si="23"/>
        <v/>
      </c>
      <c r="U264" s="195">
        <f>Table33[[#This Row],[gal/100ft]]*Table33[[#This Row],[QTY]]/100</f>
        <v>0</v>
      </c>
      <c r="V264" s="195"/>
      <c r="W264" s="195"/>
      <c r="X264" s="197"/>
      <c r="Y264" s="197"/>
    </row>
    <row r="265" spans="1:25" ht="12.75" x14ac:dyDescent="0.2">
      <c r="A265" s="311" t="s">
        <v>711</v>
      </c>
      <c r="B265" s="311" t="s">
        <v>711</v>
      </c>
      <c r="C265" s="195" t="s">
        <v>656</v>
      </c>
      <c r="D265" s="311" t="s">
        <v>717</v>
      </c>
      <c r="E265" s="288"/>
      <c r="F265" s="297">
        <v>0.75</v>
      </c>
      <c r="G265" s="312"/>
      <c r="H265" s="313"/>
      <c r="I265" s="314"/>
      <c r="J265" s="205" t="s">
        <v>718</v>
      </c>
      <c r="K265" s="287">
        <v>0.41</v>
      </c>
      <c r="L265" s="206"/>
      <c r="M265" s="286"/>
      <c r="N265" s="552">
        <v>41791</v>
      </c>
      <c r="O265" s="205">
        <f t="shared" si="20"/>
        <v>0</v>
      </c>
      <c r="P265" s="555">
        <f>(1+$R$1)*Table33[[#This Row],[Hours]]</f>
        <v>0</v>
      </c>
      <c r="Q265" s="207">
        <f t="shared" si="24"/>
        <v>0</v>
      </c>
      <c r="R265" s="208">
        <f t="shared" si="21"/>
        <v>0</v>
      </c>
      <c r="S265" s="208">
        <f t="shared" si="22"/>
        <v>0</v>
      </c>
      <c r="T265" s="208" t="str">
        <f t="shared" si="23"/>
        <v/>
      </c>
      <c r="U265" s="195">
        <f>Table33[[#This Row],[gal/100ft]]*Table33[[#This Row],[QTY]]/100</f>
        <v>0</v>
      </c>
      <c r="V265" s="195"/>
      <c r="W265" s="195"/>
      <c r="X265" s="197"/>
      <c r="Y265" s="197"/>
    </row>
    <row r="266" spans="1:25" ht="12.75" x14ac:dyDescent="0.2">
      <c r="A266" s="311" t="s">
        <v>711</v>
      </c>
      <c r="B266" s="311" t="s">
        <v>711</v>
      </c>
      <c r="C266" s="195" t="s">
        <v>656</v>
      </c>
      <c r="D266" s="311" t="s">
        <v>717</v>
      </c>
      <c r="E266" s="288"/>
      <c r="F266" s="297">
        <v>1</v>
      </c>
      <c r="G266" s="312"/>
      <c r="H266" s="313"/>
      <c r="I266" s="314"/>
      <c r="J266" s="205" t="s">
        <v>718</v>
      </c>
      <c r="K266" s="287">
        <v>0.24</v>
      </c>
      <c r="L266" s="206">
        <v>60.25</v>
      </c>
      <c r="M266" s="286">
        <v>60.25</v>
      </c>
      <c r="N266" s="552">
        <v>41791</v>
      </c>
      <c r="O266" s="205">
        <f t="shared" si="20"/>
        <v>0</v>
      </c>
      <c r="P266" s="555">
        <f>(1+$R$1)*Table33[[#This Row],[Hours]]</f>
        <v>0</v>
      </c>
      <c r="Q266" s="207">
        <f t="shared" si="24"/>
        <v>0</v>
      </c>
      <c r="R266" s="208">
        <f t="shared" si="21"/>
        <v>0</v>
      </c>
      <c r="S266" s="208">
        <f t="shared" si="22"/>
        <v>0</v>
      </c>
      <c r="T266" s="208" t="str">
        <f t="shared" si="23"/>
        <v/>
      </c>
      <c r="U266" s="195">
        <f>Table33[[#This Row],[gal/100ft]]*Table33[[#This Row],[QTY]]/100</f>
        <v>0</v>
      </c>
      <c r="V266" s="195"/>
      <c r="W266" s="195"/>
      <c r="X266" s="197"/>
      <c r="Y266" s="197"/>
    </row>
    <row r="267" spans="1:25" ht="12.75" x14ac:dyDescent="0.2">
      <c r="A267" s="311" t="s">
        <v>711</v>
      </c>
      <c r="B267" s="311" t="s">
        <v>711</v>
      </c>
      <c r="C267" s="195" t="s">
        <v>656</v>
      </c>
      <c r="D267" s="311" t="s">
        <v>717</v>
      </c>
      <c r="E267" s="289"/>
      <c r="F267" s="204">
        <v>1.25</v>
      </c>
      <c r="G267" s="272"/>
      <c r="H267" s="273"/>
      <c r="I267" s="274"/>
      <c r="J267" s="205" t="s">
        <v>718</v>
      </c>
      <c r="K267" s="287">
        <v>0.28000000000000003</v>
      </c>
      <c r="L267" s="206"/>
      <c r="M267" s="286"/>
      <c r="N267" s="552">
        <v>41791</v>
      </c>
      <c r="O267" s="205">
        <f t="shared" si="20"/>
        <v>0</v>
      </c>
      <c r="P267" s="555">
        <f>(1+$R$1)*Table33[[#This Row],[Hours]]</f>
        <v>0</v>
      </c>
      <c r="Q267" s="207">
        <f t="shared" si="24"/>
        <v>0</v>
      </c>
      <c r="R267" s="208">
        <f t="shared" si="21"/>
        <v>0</v>
      </c>
      <c r="S267" s="208">
        <f t="shared" si="22"/>
        <v>0</v>
      </c>
      <c r="T267" s="208" t="str">
        <f t="shared" si="23"/>
        <v/>
      </c>
      <c r="U267" s="195">
        <f>Table33[[#This Row],[gal/100ft]]*Table33[[#This Row],[QTY]]/100</f>
        <v>0</v>
      </c>
      <c r="V267" s="195"/>
      <c r="W267" s="195"/>
      <c r="X267" s="197"/>
      <c r="Y267" s="197"/>
    </row>
    <row r="268" spans="1:25" ht="12.75" x14ac:dyDescent="0.2">
      <c r="A268" s="311" t="s">
        <v>711</v>
      </c>
      <c r="B268" s="311" t="s">
        <v>711</v>
      </c>
      <c r="C268" s="195" t="s">
        <v>656</v>
      </c>
      <c r="D268" s="311" t="s">
        <v>717</v>
      </c>
      <c r="E268" s="289"/>
      <c r="F268" s="204">
        <v>1.5</v>
      </c>
      <c r="G268" s="272"/>
      <c r="H268" s="273"/>
      <c r="I268" s="274"/>
      <c r="J268" s="205" t="s">
        <v>718</v>
      </c>
      <c r="K268" s="287">
        <v>0.34</v>
      </c>
      <c r="L268" s="206">
        <v>87</v>
      </c>
      <c r="M268" s="286">
        <v>87</v>
      </c>
      <c r="N268" s="552">
        <v>41791</v>
      </c>
      <c r="O268" s="205">
        <f t="shared" si="20"/>
        <v>0</v>
      </c>
      <c r="P268" s="555">
        <f>(1+$R$1)*Table33[[#This Row],[Hours]]</f>
        <v>0</v>
      </c>
      <c r="Q268" s="207">
        <f t="shared" si="24"/>
        <v>0</v>
      </c>
      <c r="R268" s="208">
        <f t="shared" si="21"/>
        <v>0</v>
      </c>
      <c r="S268" s="208">
        <f t="shared" si="22"/>
        <v>0</v>
      </c>
      <c r="T268" s="208" t="str">
        <f t="shared" si="23"/>
        <v/>
      </c>
      <c r="U268" s="195">
        <f>Table33[[#This Row],[gal/100ft]]*Table33[[#This Row],[QTY]]/100</f>
        <v>0</v>
      </c>
      <c r="V268" s="195"/>
      <c r="W268" s="195"/>
      <c r="X268" s="197"/>
      <c r="Y268" s="197"/>
    </row>
    <row r="269" spans="1:25" ht="12.75" x14ac:dyDescent="0.2">
      <c r="A269" s="311" t="s">
        <v>711</v>
      </c>
      <c r="B269" s="311" t="s">
        <v>711</v>
      </c>
      <c r="C269" s="195" t="s">
        <v>656</v>
      </c>
      <c r="D269" s="311" t="s">
        <v>717</v>
      </c>
      <c r="E269" s="289"/>
      <c r="F269" s="204">
        <v>2</v>
      </c>
      <c r="G269" s="272"/>
      <c r="H269" s="273"/>
      <c r="I269" s="274"/>
      <c r="J269" s="205">
        <v>0.92</v>
      </c>
      <c r="K269" s="287">
        <v>0.92</v>
      </c>
      <c r="L269" s="206"/>
      <c r="M269" s="286"/>
      <c r="N269" s="552">
        <v>41791</v>
      </c>
      <c r="O269" s="205">
        <f t="shared" si="20"/>
        <v>0</v>
      </c>
      <c r="P269" s="555">
        <f>(1+$R$1)*Table33[[#This Row],[Hours]]</f>
        <v>0</v>
      </c>
      <c r="Q269" s="207">
        <f t="shared" si="24"/>
        <v>0</v>
      </c>
      <c r="R269" s="208">
        <f t="shared" si="21"/>
        <v>0</v>
      </c>
      <c r="S269" s="208">
        <f t="shared" si="22"/>
        <v>0</v>
      </c>
      <c r="T269" s="208" t="str">
        <f t="shared" si="23"/>
        <v/>
      </c>
      <c r="U269" s="195">
        <f>Table33[[#This Row],[gal/100ft]]*Table33[[#This Row],[QTY]]/100</f>
        <v>0</v>
      </c>
      <c r="V269" s="195"/>
      <c r="W269" s="195"/>
      <c r="X269" s="197"/>
      <c r="Y269" s="197"/>
    </row>
    <row r="270" spans="1:25" ht="12.75" x14ac:dyDescent="0.2">
      <c r="A270" s="311" t="s">
        <v>711</v>
      </c>
      <c r="B270" s="311" t="s">
        <v>711</v>
      </c>
      <c r="C270" s="195" t="s">
        <v>656</v>
      </c>
      <c r="D270" s="311" t="s">
        <v>717</v>
      </c>
      <c r="E270" s="289"/>
      <c r="F270" s="204">
        <v>2.5</v>
      </c>
      <c r="G270" s="272"/>
      <c r="H270" s="273"/>
      <c r="I270" s="274"/>
      <c r="J270" s="205">
        <v>0.96</v>
      </c>
      <c r="K270" s="287">
        <v>0.96</v>
      </c>
      <c r="L270" s="206"/>
      <c r="M270" s="286"/>
      <c r="N270" s="552">
        <v>41791</v>
      </c>
      <c r="O270" s="205">
        <f t="shared" si="20"/>
        <v>0</v>
      </c>
      <c r="P270" s="555">
        <f>(1+$R$1)*Table33[[#This Row],[Hours]]</f>
        <v>0</v>
      </c>
      <c r="Q270" s="207">
        <f t="shared" si="24"/>
        <v>0</v>
      </c>
      <c r="R270" s="208">
        <f t="shared" si="21"/>
        <v>0</v>
      </c>
      <c r="S270" s="208">
        <f t="shared" si="22"/>
        <v>0</v>
      </c>
      <c r="T270" s="208" t="str">
        <f t="shared" si="23"/>
        <v/>
      </c>
      <c r="U270" s="195">
        <f>Table33[[#This Row],[gal/100ft]]*Table33[[#This Row],[QTY]]/100</f>
        <v>0</v>
      </c>
      <c r="V270" s="195"/>
      <c r="W270" s="195"/>
      <c r="X270" s="197"/>
      <c r="Y270" s="197"/>
    </row>
    <row r="271" spans="1:25" ht="12.75" x14ac:dyDescent="0.2">
      <c r="A271" s="311" t="s">
        <v>711</v>
      </c>
      <c r="B271" s="311" t="s">
        <v>711</v>
      </c>
      <c r="C271" s="195" t="s">
        <v>656</v>
      </c>
      <c r="D271" s="311" t="s">
        <v>717</v>
      </c>
      <c r="E271" s="289"/>
      <c r="F271" s="204">
        <v>3</v>
      </c>
      <c r="G271" s="272"/>
      <c r="H271" s="273"/>
      <c r="I271" s="274"/>
      <c r="J271" s="205">
        <v>1.02</v>
      </c>
      <c r="K271" s="287">
        <v>1.02</v>
      </c>
      <c r="L271" s="206"/>
      <c r="M271" s="286"/>
      <c r="N271" s="552">
        <v>41791</v>
      </c>
      <c r="O271" s="205">
        <f t="shared" si="20"/>
        <v>0</v>
      </c>
      <c r="P271" s="555">
        <f>(1+$R$1)*Table33[[#This Row],[Hours]]</f>
        <v>0</v>
      </c>
      <c r="Q271" s="207">
        <f t="shared" si="24"/>
        <v>0</v>
      </c>
      <c r="R271" s="208">
        <f t="shared" si="21"/>
        <v>0</v>
      </c>
      <c r="S271" s="208">
        <f t="shared" si="22"/>
        <v>0</v>
      </c>
      <c r="T271" s="208" t="str">
        <f t="shared" si="23"/>
        <v/>
      </c>
      <c r="U271" s="195">
        <f>Table33[[#This Row],[gal/100ft]]*Table33[[#This Row],[QTY]]/100</f>
        <v>0</v>
      </c>
      <c r="V271" s="195"/>
      <c r="W271" s="195"/>
      <c r="X271" s="197"/>
      <c r="Y271" s="197"/>
    </row>
    <row r="272" spans="1:25" ht="12.75" x14ac:dyDescent="0.2">
      <c r="A272" s="311" t="s">
        <v>711</v>
      </c>
      <c r="B272" s="311" t="s">
        <v>711</v>
      </c>
      <c r="C272" s="195" t="s">
        <v>656</v>
      </c>
      <c r="D272" s="311" t="s">
        <v>717</v>
      </c>
      <c r="E272" s="289"/>
      <c r="F272" s="204">
        <v>4</v>
      </c>
      <c r="G272" s="272"/>
      <c r="H272" s="273"/>
      <c r="I272" s="274"/>
      <c r="J272" s="205">
        <v>1.63</v>
      </c>
      <c r="K272" s="287">
        <v>1.63</v>
      </c>
      <c r="L272" s="206"/>
      <c r="M272" s="286"/>
      <c r="N272" s="552">
        <v>41791</v>
      </c>
      <c r="O272" s="205">
        <f t="shared" si="20"/>
        <v>0</v>
      </c>
      <c r="P272" s="555">
        <f>(1+$R$1)*Table33[[#This Row],[Hours]]</f>
        <v>0</v>
      </c>
      <c r="Q272" s="207">
        <f t="shared" si="24"/>
        <v>0</v>
      </c>
      <c r="R272" s="208">
        <f t="shared" si="21"/>
        <v>0</v>
      </c>
      <c r="S272" s="208">
        <f t="shared" si="22"/>
        <v>0</v>
      </c>
      <c r="T272" s="208" t="str">
        <f t="shared" si="23"/>
        <v/>
      </c>
      <c r="U272" s="195">
        <f>Table33[[#This Row],[gal/100ft]]*Table33[[#This Row],[QTY]]/100</f>
        <v>0</v>
      </c>
      <c r="V272" s="195"/>
      <c r="W272" s="195"/>
      <c r="X272" s="197"/>
      <c r="Y272" s="197"/>
    </row>
    <row r="273" spans="1:25" ht="12.75" x14ac:dyDescent="0.2">
      <c r="A273" s="195" t="s">
        <v>602</v>
      </c>
      <c r="B273" s="536" t="s">
        <v>874</v>
      </c>
      <c r="C273" s="195" t="s">
        <v>656</v>
      </c>
      <c r="D273" s="195" t="s">
        <v>657</v>
      </c>
      <c r="E273" s="288"/>
      <c r="F273" s="204">
        <v>2</v>
      </c>
      <c r="G273" s="204"/>
      <c r="H273" s="197"/>
      <c r="I273" s="198"/>
      <c r="J273" s="205">
        <v>2.08</v>
      </c>
      <c r="K273" s="287">
        <v>2.08</v>
      </c>
      <c r="L273" s="206">
        <v>7.09</v>
      </c>
      <c r="M273" s="286">
        <v>7.09</v>
      </c>
      <c r="N273" s="552">
        <v>41791</v>
      </c>
      <c r="O273" s="205">
        <f t="shared" si="20"/>
        <v>0</v>
      </c>
      <c r="P273" s="555">
        <f>(1+$R$1)*Table33[[#This Row],[Hours]]</f>
        <v>0</v>
      </c>
      <c r="Q273" s="207">
        <f t="shared" si="24"/>
        <v>0</v>
      </c>
      <c r="R273" s="208">
        <f t="shared" si="21"/>
        <v>0</v>
      </c>
      <c r="S273" s="208">
        <f t="shared" si="22"/>
        <v>0</v>
      </c>
      <c r="T273" s="208" t="str">
        <f t="shared" si="23"/>
        <v/>
      </c>
      <c r="U273" s="195">
        <f>Table33[[#This Row],[gal/100ft]]*Table33[[#This Row],[QTY]]/100</f>
        <v>0</v>
      </c>
      <c r="V273" s="195"/>
      <c r="W273" s="195"/>
      <c r="X273" s="197"/>
      <c r="Y273" s="197"/>
    </row>
    <row r="274" spans="1:25" ht="12.75" x14ac:dyDescent="0.2">
      <c r="A274" s="195" t="s">
        <v>602</v>
      </c>
      <c r="B274" s="536" t="s">
        <v>874</v>
      </c>
      <c r="C274" s="195" t="s">
        <v>656</v>
      </c>
      <c r="D274" s="195" t="s">
        <v>657</v>
      </c>
      <c r="E274" s="288"/>
      <c r="F274" s="204">
        <v>2.5</v>
      </c>
      <c r="G274" s="204"/>
      <c r="H274" s="197"/>
      <c r="I274" s="198"/>
      <c r="J274" s="205">
        <v>2.38</v>
      </c>
      <c r="K274" s="287">
        <v>2.38</v>
      </c>
      <c r="L274" s="206">
        <v>10.96</v>
      </c>
      <c r="M274" s="286">
        <v>10.96</v>
      </c>
      <c r="N274" s="552">
        <v>41791</v>
      </c>
      <c r="O274" s="205">
        <f t="shared" si="20"/>
        <v>0</v>
      </c>
      <c r="P274" s="555">
        <f>(1+$R$1)*Table33[[#This Row],[Hours]]</f>
        <v>0</v>
      </c>
      <c r="Q274" s="207">
        <f t="shared" si="24"/>
        <v>0</v>
      </c>
      <c r="R274" s="208">
        <f t="shared" si="21"/>
        <v>0</v>
      </c>
      <c r="S274" s="208">
        <f t="shared" si="22"/>
        <v>0</v>
      </c>
      <c r="T274" s="208" t="str">
        <f t="shared" si="23"/>
        <v/>
      </c>
      <c r="U274" s="195">
        <f>Table33[[#This Row],[gal/100ft]]*Table33[[#This Row],[QTY]]/100</f>
        <v>0</v>
      </c>
      <c r="V274" s="195"/>
      <c r="W274" s="195"/>
      <c r="X274" s="197"/>
      <c r="Y274" s="197"/>
    </row>
    <row r="275" spans="1:25" ht="12.75" x14ac:dyDescent="0.2">
      <c r="A275" s="195" t="s">
        <v>602</v>
      </c>
      <c r="B275" s="536" t="s">
        <v>874</v>
      </c>
      <c r="C275" s="195" t="s">
        <v>656</v>
      </c>
      <c r="D275" s="195" t="s">
        <v>657</v>
      </c>
      <c r="E275" s="288"/>
      <c r="F275" s="204">
        <v>3</v>
      </c>
      <c r="G275" s="204"/>
      <c r="H275" s="197"/>
      <c r="I275" s="198"/>
      <c r="J275" s="205">
        <v>2.48</v>
      </c>
      <c r="K275" s="287">
        <v>2.48</v>
      </c>
      <c r="L275" s="206">
        <v>8.6999999999999993</v>
      </c>
      <c r="M275" s="286">
        <v>8.6999999999999993</v>
      </c>
      <c r="N275" s="552">
        <v>41791</v>
      </c>
      <c r="O275" s="205">
        <f t="shared" si="20"/>
        <v>0</v>
      </c>
      <c r="P275" s="555">
        <f>(1+$R$1)*Table33[[#This Row],[Hours]]</f>
        <v>0</v>
      </c>
      <c r="Q275" s="207">
        <f t="shared" si="24"/>
        <v>0</v>
      </c>
      <c r="R275" s="208">
        <f t="shared" si="21"/>
        <v>0</v>
      </c>
      <c r="S275" s="208">
        <f t="shared" si="22"/>
        <v>0</v>
      </c>
      <c r="T275" s="208" t="str">
        <f t="shared" si="23"/>
        <v/>
      </c>
      <c r="U275" s="195">
        <f>Table33[[#This Row],[gal/100ft]]*Table33[[#This Row],[QTY]]/100</f>
        <v>0</v>
      </c>
      <c r="V275" s="195"/>
      <c r="W275" s="195"/>
      <c r="X275" s="195"/>
      <c r="Y275" s="195"/>
    </row>
    <row r="276" spans="1:25" ht="12.75" x14ac:dyDescent="0.2">
      <c r="A276" s="195" t="s">
        <v>602</v>
      </c>
      <c r="B276" s="536" t="s">
        <v>874</v>
      </c>
      <c r="C276" s="195" t="s">
        <v>656</v>
      </c>
      <c r="D276" s="195" t="s">
        <v>657</v>
      </c>
      <c r="E276" s="288"/>
      <c r="F276" s="204">
        <v>3.5</v>
      </c>
      <c r="G276" s="204"/>
      <c r="H276" s="197"/>
      <c r="I276" s="198"/>
      <c r="J276" s="205">
        <v>3.22</v>
      </c>
      <c r="K276" s="287">
        <v>3.22</v>
      </c>
      <c r="L276" s="206"/>
      <c r="M276" s="286"/>
      <c r="N276" s="552">
        <v>41791</v>
      </c>
      <c r="O276" s="205">
        <f t="shared" si="20"/>
        <v>0</v>
      </c>
      <c r="P276" s="555">
        <f>(1+$R$1)*Table33[[#This Row],[Hours]]</f>
        <v>0</v>
      </c>
      <c r="Q276" s="207">
        <f t="shared" si="24"/>
        <v>0</v>
      </c>
      <c r="R276" s="208">
        <f t="shared" si="21"/>
        <v>0</v>
      </c>
      <c r="S276" s="208">
        <f t="shared" si="22"/>
        <v>0</v>
      </c>
      <c r="T276" s="208" t="str">
        <f t="shared" si="23"/>
        <v/>
      </c>
      <c r="U276" s="195">
        <f>Table33[[#This Row],[gal/100ft]]*Table33[[#This Row],[QTY]]/100</f>
        <v>0</v>
      </c>
      <c r="V276" s="195"/>
      <c r="W276" s="195"/>
      <c r="X276" s="195"/>
      <c r="Y276" s="195"/>
    </row>
    <row r="277" spans="1:25" ht="12.75" x14ac:dyDescent="0.2">
      <c r="A277" s="195" t="s">
        <v>602</v>
      </c>
      <c r="B277" s="536" t="s">
        <v>874</v>
      </c>
      <c r="C277" s="195" t="s">
        <v>656</v>
      </c>
      <c r="D277" s="195" t="s">
        <v>657</v>
      </c>
      <c r="E277" s="288"/>
      <c r="F277" s="204">
        <v>4</v>
      </c>
      <c r="G277" s="204"/>
      <c r="H277" s="197"/>
      <c r="I277" s="198"/>
      <c r="J277" s="205">
        <v>3.42</v>
      </c>
      <c r="K277" s="287">
        <v>3.42</v>
      </c>
      <c r="L277" s="206">
        <v>10.91</v>
      </c>
      <c r="M277" s="286">
        <v>10.91</v>
      </c>
      <c r="N277" s="552">
        <v>41791</v>
      </c>
      <c r="O277" s="205">
        <f t="shared" si="20"/>
        <v>0</v>
      </c>
      <c r="P277" s="555">
        <f>(1+$R$1)*Table33[[#This Row],[Hours]]</f>
        <v>0</v>
      </c>
      <c r="Q277" s="207">
        <f t="shared" si="24"/>
        <v>0</v>
      </c>
      <c r="R277" s="208">
        <f t="shared" si="21"/>
        <v>0</v>
      </c>
      <c r="S277" s="208">
        <f t="shared" si="22"/>
        <v>0</v>
      </c>
      <c r="T277" s="208" t="str">
        <f t="shared" si="23"/>
        <v/>
      </c>
      <c r="U277" s="195">
        <f>Table33[[#This Row],[gal/100ft]]*Table33[[#This Row],[QTY]]/100</f>
        <v>0</v>
      </c>
      <c r="V277" s="195"/>
      <c r="W277" s="195"/>
      <c r="X277" s="195"/>
      <c r="Y277" s="195"/>
    </row>
    <row r="278" spans="1:25" ht="12.75" x14ac:dyDescent="0.2">
      <c r="A278" s="195" t="s">
        <v>602</v>
      </c>
      <c r="B278" s="536" t="s">
        <v>874</v>
      </c>
      <c r="C278" s="195" t="s">
        <v>656</v>
      </c>
      <c r="D278" s="195" t="s">
        <v>657</v>
      </c>
      <c r="E278" s="288"/>
      <c r="F278" s="204">
        <v>5</v>
      </c>
      <c r="G278" s="204"/>
      <c r="H278" s="197"/>
      <c r="I278" s="198"/>
      <c r="J278" s="205">
        <v>3.94</v>
      </c>
      <c r="K278" s="287">
        <v>3.94</v>
      </c>
      <c r="L278" s="206">
        <v>19</v>
      </c>
      <c r="M278" s="286">
        <v>19</v>
      </c>
      <c r="N278" s="552">
        <v>41791</v>
      </c>
      <c r="O278" s="205">
        <f t="shared" si="20"/>
        <v>0</v>
      </c>
      <c r="P278" s="555">
        <f>(1+$R$1)*Table33[[#This Row],[Hours]]</f>
        <v>0</v>
      </c>
      <c r="Q278" s="207">
        <f t="shared" si="24"/>
        <v>0</v>
      </c>
      <c r="R278" s="208">
        <f t="shared" si="21"/>
        <v>0</v>
      </c>
      <c r="S278" s="208">
        <f t="shared" si="22"/>
        <v>0</v>
      </c>
      <c r="T278" s="208" t="str">
        <f t="shared" si="23"/>
        <v/>
      </c>
      <c r="U278" s="195">
        <f>Table33[[#This Row],[gal/100ft]]*Table33[[#This Row],[QTY]]/100</f>
        <v>0</v>
      </c>
      <c r="V278" s="195"/>
      <c r="W278" s="195"/>
      <c r="X278" s="195"/>
      <c r="Y278" s="195"/>
    </row>
    <row r="279" spans="1:25" ht="12.75" x14ac:dyDescent="0.2">
      <c r="A279" s="195" t="s">
        <v>602</v>
      </c>
      <c r="B279" s="536" t="s">
        <v>874</v>
      </c>
      <c r="C279" s="195" t="s">
        <v>656</v>
      </c>
      <c r="D279" s="195" t="s">
        <v>657</v>
      </c>
      <c r="E279" s="288"/>
      <c r="F279" s="204">
        <v>6</v>
      </c>
      <c r="G279" s="204"/>
      <c r="H279" s="197"/>
      <c r="I279" s="198"/>
      <c r="J279" s="205">
        <v>4.17</v>
      </c>
      <c r="K279" s="287">
        <v>4.17</v>
      </c>
      <c r="L279" s="206">
        <v>17.93</v>
      </c>
      <c r="M279" s="286">
        <v>17.93</v>
      </c>
      <c r="N279" s="552">
        <v>41791</v>
      </c>
      <c r="O279" s="205">
        <f t="shared" ref="O279:O342" si="25">K279*E279</f>
        <v>0</v>
      </c>
      <c r="P279" s="555">
        <f>(1+$R$1)*Table33[[#This Row],[Hours]]</f>
        <v>0</v>
      </c>
      <c r="Q279" s="207">
        <f t="shared" si="24"/>
        <v>0</v>
      </c>
      <c r="R279" s="208">
        <f t="shared" ref="R279:R342" si="26">M279*E279</f>
        <v>0</v>
      </c>
      <c r="S279" s="208">
        <f t="shared" ref="S279:S342" si="27">R279+Q279</f>
        <v>0</v>
      </c>
      <c r="T279" s="208" t="str">
        <f t="shared" ref="T279:T342" si="28">IF(E279="","",S279/E279)</f>
        <v/>
      </c>
      <c r="U279" s="195">
        <f>Table33[[#This Row],[gal/100ft]]*Table33[[#This Row],[QTY]]/100</f>
        <v>0</v>
      </c>
      <c r="V279" s="195"/>
      <c r="W279" s="195"/>
      <c r="X279" s="195"/>
      <c r="Y279" s="195"/>
    </row>
    <row r="280" spans="1:25" ht="12.75" x14ac:dyDescent="0.2">
      <c r="A280" s="195" t="s">
        <v>602</v>
      </c>
      <c r="B280" s="536" t="s">
        <v>874</v>
      </c>
      <c r="C280" s="195" t="s">
        <v>656</v>
      </c>
      <c r="D280" s="195" t="s">
        <v>657</v>
      </c>
      <c r="E280" s="288"/>
      <c r="F280" s="204">
        <v>8</v>
      </c>
      <c r="G280" s="204"/>
      <c r="H280" s="197"/>
      <c r="I280" s="198"/>
      <c r="J280" s="205">
        <v>5.12</v>
      </c>
      <c r="K280" s="287">
        <v>5.12</v>
      </c>
      <c r="L280" s="206">
        <v>27.23</v>
      </c>
      <c r="M280" s="286">
        <v>27.23</v>
      </c>
      <c r="N280" s="552">
        <v>41791</v>
      </c>
      <c r="O280" s="205">
        <f t="shared" si="25"/>
        <v>0</v>
      </c>
      <c r="P280" s="555">
        <f>(1+$R$1)*Table33[[#This Row],[Hours]]</f>
        <v>0</v>
      </c>
      <c r="Q280" s="207">
        <f t="shared" si="24"/>
        <v>0</v>
      </c>
      <c r="R280" s="208">
        <f t="shared" si="26"/>
        <v>0</v>
      </c>
      <c r="S280" s="208">
        <f t="shared" si="27"/>
        <v>0</v>
      </c>
      <c r="T280" s="208" t="str">
        <f t="shared" si="28"/>
        <v/>
      </c>
      <c r="U280" s="195">
        <f>Table33[[#This Row],[gal/100ft]]*Table33[[#This Row],[QTY]]/100</f>
        <v>0</v>
      </c>
      <c r="V280" s="195"/>
      <c r="W280" s="195"/>
      <c r="X280" s="195"/>
      <c r="Y280" s="195"/>
    </row>
    <row r="281" spans="1:25" ht="12.75" x14ac:dyDescent="0.2">
      <c r="A281" s="195" t="s">
        <v>602</v>
      </c>
      <c r="B281" s="536" t="s">
        <v>874</v>
      </c>
      <c r="C281" s="195" t="s">
        <v>656</v>
      </c>
      <c r="D281" s="195" t="s">
        <v>657</v>
      </c>
      <c r="E281" s="288"/>
      <c r="F281" s="204">
        <v>10</v>
      </c>
      <c r="G281" s="204"/>
      <c r="H281" s="197"/>
      <c r="I281" s="198"/>
      <c r="J281" s="205">
        <v>6.75</v>
      </c>
      <c r="K281" s="287">
        <v>6.75</v>
      </c>
      <c r="L281" s="206">
        <v>46.99</v>
      </c>
      <c r="M281" s="286">
        <v>46.99</v>
      </c>
      <c r="N281" s="552">
        <v>41791</v>
      </c>
      <c r="O281" s="205">
        <f t="shared" si="25"/>
        <v>0</v>
      </c>
      <c r="P281" s="555">
        <f>(1+$R$1)*Table33[[#This Row],[Hours]]</f>
        <v>0</v>
      </c>
      <c r="Q281" s="207">
        <f t="shared" si="24"/>
        <v>0</v>
      </c>
      <c r="R281" s="208">
        <f t="shared" si="26"/>
        <v>0</v>
      </c>
      <c r="S281" s="208">
        <f t="shared" si="27"/>
        <v>0</v>
      </c>
      <c r="T281" s="208" t="str">
        <f t="shared" si="28"/>
        <v/>
      </c>
      <c r="U281" s="195">
        <f>Table33[[#This Row],[gal/100ft]]*Table33[[#This Row],[QTY]]/100</f>
        <v>0</v>
      </c>
      <c r="V281" s="195"/>
      <c r="W281" s="195"/>
      <c r="X281" s="195"/>
      <c r="Y281" s="195"/>
    </row>
    <row r="282" spans="1:25" ht="12.75" x14ac:dyDescent="0.2">
      <c r="A282" s="195" t="s">
        <v>602</v>
      </c>
      <c r="B282" s="536" t="s">
        <v>874</v>
      </c>
      <c r="C282" s="195" t="s">
        <v>656</v>
      </c>
      <c r="D282" s="195" t="s">
        <v>657</v>
      </c>
      <c r="E282" s="288"/>
      <c r="F282" s="204">
        <v>12</v>
      </c>
      <c r="G282" s="204"/>
      <c r="H282" s="197"/>
      <c r="I282" s="198"/>
      <c r="J282" s="205">
        <v>7.94</v>
      </c>
      <c r="K282" s="287">
        <v>7.94</v>
      </c>
      <c r="L282" s="206">
        <v>69.69</v>
      </c>
      <c r="M282" s="286">
        <v>69.69</v>
      </c>
      <c r="N282" s="552">
        <v>41791</v>
      </c>
      <c r="O282" s="205">
        <f t="shared" si="25"/>
        <v>0</v>
      </c>
      <c r="P282" s="555">
        <f>(1+$R$1)*Table33[[#This Row],[Hours]]</f>
        <v>0</v>
      </c>
      <c r="Q282" s="207">
        <f t="shared" si="24"/>
        <v>0</v>
      </c>
      <c r="R282" s="208">
        <f t="shared" si="26"/>
        <v>0</v>
      </c>
      <c r="S282" s="208">
        <f t="shared" si="27"/>
        <v>0</v>
      </c>
      <c r="T282" s="208" t="str">
        <f t="shared" si="28"/>
        <v/>
      </c>
      <c r="U282" s="195">
        <f>Table33[[#This Row],[gal/100ft]]*Table33[[#This Row],[QTY]]/100</f>
        <v>0</v>
      </c>
      <c r="V282" s="195"/>
      <c r="W282" s="195"/>
      <c r="X282" s="195"/>
      <c r="Y282" s="195"/>
    </row>
    <row r="283" spans="1:25" ht="12.75" x14ac:dyDescent="0.2">
      <c r="A283" s="195" t="s">
        <v>602</v>
      </c>
      <c r="B283" s="536" t="s">
        <v>874</v>
      </c>
      <c r="C283" s="195" t="s">
        <v>656</v>
      </c>
      <c r="D283" s="195" t="s">
        <v>657</v>
      </c>
      <c r="E283" s="288"/>
      <c r="F283" s="204">
        <v>14</v>
      </c>
      <c r="G283" s="204"/>
      <c r="H283" s="197"/>
      <c r="I283" s="198"/>
      <c r="J283" s="205">
        <v>9.4</v>
      </c>
      <c r="K283" s="287">
        <v>9.4</v>
      </c>
      <c r="L283" s="206">
        <v>92.59</v>
      </c>
      <c r="M283" s="286">
        <v>92.59</v>
      </c>
      <c r="N283" s="552">
        <v>41791</v>
      </c>
      <c r="O283" s="205">
        <f t="shared" si="25"/>
        <v>0</v>
      </c>
      <c r="P283" s="555">
        <f>(1+$R$1)*Table33[[#This Row],[Hours]]</f>
        <v>0</v>
      </c>
      <c r="Q283" s="207">
        <f t="shared" si="24"/>
        <v>0</v>
      </c>
      <c r="R283" s="208">
        <f t="shared" si="26"/>
        <v>0</v>
      </c>
      <c r="S283" s="208">
        <f t="shared" si="27"/>
        <v>0</v>
      </c>
      <c r="T283" s="208" t="str">
        <f t="shared" si="28"/>
        <v/>
      </c>
      <c r="U283" s="195">
        <f>Table33[[#This Row],[gal/100ft]]*Table33[[#This Row],[QTY]]/100</f>
        <v>0</v>
      </c>
      <c r="V283" s="195"/>
      <c r="W283" s="195"/>
      <c r="X283" s="195"/>
      <c r="Y283" s="195"/>
    </row>
    <row r="284" spans="1:25" ht="12.75" x14ac:dyDescent="0.2">
      <c r="A284" s="195" t="s">
        <v>602</v>
      </c>
      <c r="B284" s="536" t="s">
        <v>874</v>
      </c>
      <c r="C284" s="195" t="s">
        <v>656</v>
      </c>
      <c r="D284" s="195" t="s">
        <v>657</v>
      </c>
      <c r="E284" s="288"/>
      <c r="F284" s="204">
        <v>16</v>
      </c>
      <c r="G284" s="204"/>
      <c r="H284" s="197"/>
      <c r="I284" s="198"/>
      <c r="J284" s="205">
        <v>10.92</v>
      </c>
      <c r="K284" s="287">
        <v>10.92</v>
      </c>
      <c r="L284" s="206">
        <v>144.76</v>
      </c>
      <c r="M284" s="286">
        <v>144.76</v>
      </c>
      <c r="N284" s="552">
        <v>41791</v>
      </c>
      <c r="O284" s="205">
        <f t="shared" si="25"/>
        <v>0</v>
      </c>
      <c r="P284" s="555">
        <f>(1+$R$1)*Table33[[#This Row],[Hours]]</f>
        <v>0</v>
      </c>
      <c r="Q284" s="207">
        <f t="shared" si="24"/>
        <v>0</v>
      </c>
      <c r="R284" s="208">
        <f t="shared" si="26"/>
        <v>0</v>
      </c>
      <c r="S284" s="208">
        <f t="shared" si="27"/>
        <v>0</v>
      </c>
      <c r="T284" s="208" t="str">
        <f t="shared" si="28"/>
        <v/>
      </c>
      <c r="U284" s="195">
        <f>Table33[[#This Row],[gal/100ft]]*Table33[[#This Row],[QTY]]/100</f>
        <v>0</v>
      </c>
      <c r="V284" s="195"/>
      <c r="W284" s="195"/>
      <c r="X284" s="195"/>
      <c r="Y284" s="195"/>
    </row>
    <row r="285" spans="1:25" ht="12.75" x14ac:dyDescent="0.2">
      <c r="A285" s="195" t="s">
        <v>602</v>
      </c>
      <c r="B285" s="536" t="s">
        <v>874</v>
      </c>
      <c r="C285" s="195" t="s">
        <v>656</v>
      </c>
      <c r="D285" s="195" t="s">
        <v>657</v>
      </c>
      <c r="E285" s="288"/>
      <c r="F285" s="204">
        <v>18</v>
      </c>
      <c r="G285" s="204"/>
      <c r="H285" s="197"/>
      <c r="I285" s="198"/>
      <c r="J285" s="205">
        <v>12.21</v>
      </c>
      <c r="K285" s="287">
        <v>12.21</v>
      </c>
      <c r="L285" s="206">
        <v>179.86</v>
      </c>
      <c r="M285" s="286">
        <v>179.86</v>
      </c>
      <c r="N285" s="552">
        <v>41791</v>
      </c>
      <c r="O285" s="205">
        <f t="shared" si="25"/>
        <v>0</v>
      </c>
      <c r="P285" s="555">
        <f>(1+$R$1)*Table33[[#This Row],[Hours]]</f>
        <v>0</v>
      </c>
      <c r="Q285" s="207">
        <f t="shared" si="24"/>
        <v>0</v>
      </c>
      <c r="R285" s="208">
        <f t="shared" si="26"/>
        <v>0</v>
      </c>
      <c r="S285" s="208">
        <f t="shared" si="27"/>
        <v>0</v>
      </c>
      <c r="T285" s="208" t="str">
        <f t="shared" si="28"/>
        <v/>
      </c>
      <c r="U285" s="195">
        <f>Table33[[#This Row],[gal/100ft]]*Table33[[#This Row],[QTY]]/100</f>
        <v>0</v>
      </c>
      <c r="V285" s="195"/>
      <c r="W285" s="195"/>
      <c r="X285" s="195"/>
      <c r="Y285" s="195"/>
    </row>
    <row r="286" spans="1:25" ht="12.75" x14ac:dyDescent="0.2">
      <c r="A286" s="195" t="s">
        <v>602</v>
      </c>
      <c r="B286" s="536" t="s">
        <v>874</v>
      </c>
      <c r="C286" s="195" t="s">
        <v>656</v>
      </c>
      <c r="D286" s="195" t="s">
        <v>657</v>
      </c>
      <c r="E286" s="288"/>
      <c r="F286" s="204">
        <v>20</v>
      </c>
      <c r="G286" s="204"/>
      <c r="H286" s="197"/>
      <c r="I286" s="198"/>
      <c r="J286" s="205">
        <v>14.43</v>
      </c>
      <c r="K286" s="287">
        <v>14.43</v>
      </c>
      <c r="L286" s="206">
        <v>212.98</v>
      </c>
      <c r="M286" s="286">
        <v>212.98</v>
      </c>
      <c r="N286" s="552">
        <v>41791</v>
      </c>
      <c r="O286" s="205">
        <f t="shared" si="25"/>
        <v>0</v>
      </c>
      <c r="P286" s="555">
        <f>(1+$R$1)*Table33[[#This Row],[Hours]]</f>
        <v>0</v>
      </c>
      <c r="Q286" s="207">
        <f t="shared" si="24"/>
        <v>0</v>
      </c>
      <c r="R286" s="208">
        <f t="shared" si="26"/>
        <v>0</v>
      </c>
      <c r="S286" s="208">
        <f t="shared" si="27"/>
        <v>0</v>
      </c>
      <c r="T286" s="208" t="str">
        <f t="shared" si="28"/>
        <v/>
      </c>
      <c r="U286" s="195">
        <f>Table33[[#This Row],[gal/100ft]]*Table33[[#This Row],[QTY]]/100</f>
        <v>0</v>
      </c>
      <c r="V286" s="195"/>
      <c r="W286" s="195"/>
      <c r="X286" s="195"/>
      <c r="Y286" s="195"/>
    </row>
    <row r="287" spans="1:25" ht="12.75" x14ac:dyDescent="0.2">
      <c r="A287" s="195" t="s">
        <v>602</v>
      </c>
      <c r="B287" s="536" t="s">
        <v>874</v>
      </c>
      <c r="C287" s="195" t="s">
        <v>656</v>
      </c>
      <c r="D287" s="195" t="s">
        <v>657</v>
      </c>
      <c r="E287" s="288"/>
      <c r="F287" s="204">
        <v>24</v>
      </c>
      <c r="G287" s="204"/>
      <c r="H287" s="197"/>
      <c r="I287" s="198"/>
      <c r="J287" s="205">
        <v>17.739999999999998</v>
      </c>
      <c r="K287" s="287">
        <v>17.739999999999998</v>
      </c>
      <c r="L287" s="206">
        <v>329.01</v>
      </c>
      <c r="M287" s="286">
        <v>329.01</v>
      </c>
      <c r="N287" s="552">
        <v>41791</v>
      </c>
      <c r="O287" s="205">
        <f t="shared" si="25"/>
        <v>0</v>
      </c>
      <c r="P287" s="555">
        <f>(1+$R$1)*Table33[[#This Row],[Hours]]</f>
        <v>0</v>
      </c>
      <c r="Q287" s="207">
        <f t="shared" si="24"/>
        <v>0</v>
      </c>
      <c r="R287" s="208">
        <f t="shared" si="26"/>
        <v>0</v>
      </c>
      <c r="S287" s="208">
        <f t="shared" si="27"/>
        <v>0</v>
      </c>
      <c r="T287" s="208" t="str">
        <f t="shared" si="28"/>
        <v/>
      </c>
      <c r="U287" s="195">
        <f>Table33[[#This Row],[gal/100ft]]*Table33[[#This Row],[QTY]]/100</f>
        <v>0</v>
      </c>
      <c r="V287" s="195"/>
      <c r="W287" s="195"/>
      <c r="X287" s="195"/>
      <c r="Y287" s="195"/>
    </row>
    <row r="288" spans="1:25" ht="12.75" x14ac:dyDescent="0.2">
      <c r="A288" s="536" t="s">
        <v>585</v>
      </c>
      <c r="B288" s="195" t="s">
        <v>585</v>
      </c>
      <c r="C288" s="195" t="s">
        <v>600</v>
      </c>
      <c r="D288" s="195" t="s">
        <v>601</v>
      </c>
      <c r="E288" s="288"/>
      <c r="F288" s="204">
        <v>0.375</v>
      </c>
      <c r="G288" s="204"/>
      <c r="H288" s="197"/>
      <c r="I288" s="198"/>
      <c r="J288" s="205"/>
      <c r="K288" s="287"/>
      <c r="L288" s="206"/>
      <c r="M288" s="286">
        <v>0.04</v>
      </c>
      <c r="N288" s="552">
        <v>41791</v>
      </c>
      <c r="O288" s="205">
        <f t="shared" si="25"/>
        <v>0</v>
      </c>
      <c r="P288" s="555">
        <f>(1+$R$1)*Table33[[#This Row],[Hours]]</f>
        <v>0</v>
      </c>
      <c r="Q288" s="207">
        <f t="shared" si="24"/>
        <v>0</v>
      </c>
      <c r="R288" s="208">
        <f t="shared" si="26"/>
        <v>0</v>
      </c>
      <c r="S288" s="208">
        <f t="shared" si="27"/>
        <v>0</v>
      </c>
      <c r="T288" s="208" t="str">
        <f t="shared" si="28"/>
        <v/>
      </c>
      <c r="U288" s="195">
        <f>Table33[[#This Row],[gal/100ft]]*Table33[[#This Row],[QTY]]/100</f>
        <v>0</v>
      </c>
      <c r="V288" s="195"/>
      <c r="W288" s="195"/>
      <c r="X288" s="195"/>
      <c r="Y288" s="195"/>
    </row>
    <row r="289" spans="1:25" ht="12.75" x14ac:dyDescent="0.2">
      <c r="A289" s="275"/>
      <c r="B289" s="275" t="s">
        <v>693</v>
      </c>
      <c r="C289" s="275" t="s">
        <v>585</v>
      </c>
      <c r="D289" s="275" t="s">
        <v>697</v>
      </c>
      <c r="E289" s="288"/>
      <c r="F289" s="204">
        <v>0.5</v>
      </c>
      <c r="G289" s="272"/>
      <c r="H289" s="273"/>
      <c r="I289" s="274"/>
      <c r="J289" s="205">
        <v>0.21</v>
      </c>
      <c r="K289" s="287">
        <v>0.21</v>
      </c>
      <c r="L289" s="206">
        <v>1.1000000000000001</v>
      </c>
      <c r="M289" s="286">
        <v>1.1000000000000001</v>
      </c>
      <c r="N289" s="552">
        <v>41791</v>
      </c>
      <c r="O289" s="205">
        <f t="shared" si="25"/>
        <v>0</v>
      </c>
      <c r="P289" s="555">
        <f>(1+$R$1)*Table33[[#This Row],[Hours]]</f>
        <v>0</v>
      </c>
      <c r="Q289" s="207">
        <f t="shared" si="24"/>
        <v>0</v>
      </c>
      <c r="R289" s="208">
        <f t="shared" si="26"/>
        <v>0</v>
      </c>
      <c r="S289" s="208">
        <f t="shared" si="27"/>
        <v>0</v>
      </c>
      <c r="T289" s="208" t="str">
        <f t="shared" si="28"/>
        <v/>
      </c>
      <c r="U289" s="195">
        <f>Table33[[#This Row],[gal/100ft]]*Table33[[#This Row],[QTY]]/100</f>
        <v>0</v>
      </c>
      <c r="V289" s="195"/>
      <c r="W289" s="195"/>
      <c r="X289" s="195"/>
      <c r="Y289" s="195"/>
    </row>
    <row r="290" spans="1:25" ht="12.75" x14ac:dyDescent="0.2">
      <c r="A290" s="275"/>
      <c r="B290" s="275" t="s">
        <v>693</v>
      </c>
      <c r="C290" s="275" t="s">
        <v>585</v>
      </c>
      <c r="D290" s="275" t="s">
        <v>697</v>
      </c>
      <c r="E290" s="289"/>
      <c r="F290" s="272">
        <v>0.75</v>
      </c>
      <c r="G290" s="272"/>
      <c r="H290" s="273"/>
      <c r="I290" s="274"/>
      <c r="J290" s="205">
        <v>0.21</v>
      </c>
      <c r="K290" s="287">
        <v>0.21</v>
      </c>
      <c r="L290" s="206">
        <v>1.1000000000000001</v>
      </c>
      <c r="M290" s="286">
        <v>1.1000000000000001</v>
      </c>
      <c r="N290" s="552">
        <v>41791</v>
      </c>
      <c r="O290" s="205">
        <f t="shared" si="25"/>
        <v>0</v>
      </c>
      <c r="P290" s="555">
        <f>(1+$R$1)*Table33[[#This Row],[Hours]]</f>
        <v>0</v>
      </c>
      <c r="Q290" s="207">
        <f t="shared" si="24"/>
        <v>0</v>
      </c>
      <c r="R290" s="208">
        <f t="shared" si="26"/>
        <v>0</v>
      </c>
      <c r="S290" s="208">
        <f t="shared" si="27"/>
        <v>0</v>
      </c>
      <c r="T290" s="208" t="str">
        <f t="shared" si="28"/>
        <v/>
      </c>
      <c r="U290" s="195">
        <f>Table33[[#This Row],[gal/100ft]]*Table33[[#This Row],[QTY]]/100</f>
        <v>0</v>
      </c>
      <c r="V290" s="195"/>
      <c r="W290" s="195"/>
      <c r="X290" s="195"/>
      <c r="Y290" s="195"/>
    </row>
    <row r="291" spans="1:25" ht="12.75" x14ac:dyDescent="0.2">
      <c r="A291" s="275"/>
      <c r="B291" s="275" t="s">
        <v>693</v>
      </c>
      <c r="C291" s="275" t="s">
        <v>585</v>
      </c>
      <c r="D291" s="275" t="s">
        <v>697</v>
      </c>
      <c r="E291" s="289"/>
      <c r="F291" s="272">
        <v>1</v>
      </c>
      <c r="G291" s="272"/>
      <c r="H291" s="273"/>
      <c r="I291" s="274"/>
      <c r="J291" s="205">
        <v>0.21</v>
      </c>
      <c r="K291" s="287">
        <v>0.21</v>
      </c>
      <c r="L291" s="206">
        <v>1.1000000000000001</v>
      </c>
      <c r="M291" s="286">
        <v>1.1000000000000001</v>
      </c>
      <c r="N291" s="552">
        <v>41791</v>
      </c>
      <c r="O291" s="205">
        <f t="shared" si="25"/>
        <v>0</v>
      </c>
      <c r="P291" s="555">
        <f>(1+$R$1)*Table33[[#This Row],[Hours]]</f>
        <v>0</v>
      </c>
      <c r="Q291" s="207">
        <f t="shared" si="24"/>
        <v>0</v>
      </c>
      <c r="R291" s="208">
        <f t="shared" si="26"/>
        <v>0</v>
      </c>
      <c r="S291" s="208">
        <f t="shared" si="27"/>
        <v>0</v>
      </c>
      <c r="T291" s="208" t="str">
        <f t="shared" si="28"/>
        <v/>
      </c>
      <c r="U291" s="195">
        <f>Table33[[#This Row],[gal/100ft]]*Table33[[#This Row],[QTY]]/100</f>
        <v>0</v>
      </c>
      <c r="V291" s="195"/>
      <c r="W291" s="195"/>
      <c r="X291" s="195"/>
      <c r="Y291" s="195"/>
    </row>
    <row r="292" spans="1:25" ht="12.75" x14ac:dyDescent="0.2">
      <c r="A292" s="275"/>
      <c r="B292" s="275" t="s">
        <v>693</v>
      </c>
      <c r="C292" s="275" t="s">
        <v>585</v>
      </c>
      <c r="D292" s="275" t="s">
        <v>697</v>
      </c>
      <c r="E292" s="289"/>
      <c r="F292" s="272">
        <v>1.25</v>
      </c>
      <c r="G292" s="272"/>
      <c r="H292" s="273"/>
      <c r="I292" s="274"/>
      <c r="J292" s="205">
        <v>0.21</v>
      </c>
      <c r="K292" s="287">
        <v>0.21</v>
      </c>
      <c r="L292" s="206">
        <v>1.23</v>
      </c>
      <c r="M292" s="286">
        <v>1.23</v>
      </c>
      <c r="N292" s="552">
        <v>41791</v>
      </c>
      <c r="O292" s="205">
        <f t="shared" si="25"/>
        <v>0</v>
      </c>
      <c r="P292" s="555">
        <f>(1+$R$1)*Table33[[#This Row],[Hours]]</f>
        <v>0</v>
      </c>
      <c r="Q292" s="207">
        <f t="shared" si="24"/>
        <v>0</v>
      </c>
      <c r="R292" s="208">
        <f t="shared" si="26"/>
        <v>0</v>
      </c>
      <c r="S292" s="208">
        <f t="shared" si="27"/>
        <v>0</v>
      </c>
      <c r="T292" s="208" t="str">
        <f t="shared" si="28"/>
        <v/>
      </c>
      <c r="U292" s="195">
        <f>Table33[[#This Row],[gal/100ft]]*Table33[[#This Row],[QTY]]/100</f>
        <v>0</v>
      </c>
      <c r="V292" s="195"/>
      <c r="W292" s="195"/>
      <c r="X292" s="195"/>
      <c r="Y292" s="195"/>
    </row>
    <row r="293" spans="1:25" ht="12.75" x14ac:dyDescent="0.2">
      <c r="A293" s="275"/>
      <c r="B293" s="275" t="s">
        <v>693</v>
      </c>
      <c r="C293" s="275" t="s">
        <v>585</v>
      </c>
      <c r="D293" s="275" t="s">
        <v>697</v>
      </c>
      <c r="E293" s="289"/>
      <c r="F293" s="272">
        <v>1.5</v>
      </c>
      <c r="G293" s="272"/>
      <c r="H293" s="273"/>
      <c r="I293" s="274"/>
      <c r="J293" s="205">
        <v>0.21</v>
      </c>
      <c r="K293" s="287">
        <v>0.21</v>
      </c>
      <c r="L293" s="206">
        <v>1.26</v>
      </c>
      <c r="M293" s="286">
        <v>1.26</v>
      </c>
      <c r="N293" s="552">
        <v>41791</v>
      </c>
      <c r="O293" s="205">
        <f t="shared" si="25"/>
        <v>0</v>
      </c>
      <c r="P293" s="555">
        <f>(1+$R$1)*Table33[[#This Row],[Hours]]</f>
        <v>0</v>
      </c>
      <c r="Q293" s="207">
        <f t="shared" si="24"/>
        <v>0</v>
      </c>
      <c r="R293" s="208">
        <f t="shared" si="26"/>
        <v>0</v>
      </c>
      <c r="S293" s="208">
        <f t="shared" si="27"/>
        <v>0</v>
      </c>
      <c r="T293" s="208" t="str">
        <f t="shared" si="28"/>
        <v/>
      </c>
      <c r="U293" s="195">
        <f>Table33[[#This Row],[gal/100ft]]*Table33[[#This Row],[QTY]]/100</f>
        <v>0</v>
      </c>
      <c r="V293" s="195"/>
      <c r="W293" s="195"/>
      <c r="X293" s="195"/>
      <c r="Y293" s="195"/>
    </row>
    <row r="294" spans="1:25" ht="12.75" x14ac:dyDescent="0.2">
      <c r="A294" s="275"/>
      <c r="B294" s="275" t="s">
        <v>693</v>
      </c>
      <c r="C294" s="275" t="s">
        <v>585</v>
      </c>
      <c r="D294" s="275" t="s">
        <v>697</v>
      </c>
      <c r="E294" s="289"/>
      <c r="F294" s="272">
        <v>2</v>
      </c>
      <c r="G294" s="272"/>
      <c r="H294" s="273"/>
      <c r="I294" s="274"/>
      <c r="J294" s="205">
        <v>0.21</v>
      </c>
      <c r="K294" s="287">
        <v>0.21</v>
      </c>
      <c r="L294" s="206">
        <v>1.73</v>
      </c>
      <c r="M294" s="286">
        <v>1.73</v>
      </c>
      <c r="N294" s="552">
        <v>41791</v>
      </c>
      <c r="O294" s="205">
        <f t="shared" si="25"/>
        <v>0</v>
      </c>
      <c r="P294" s="555">
        <f>(1+$R$1)*Table33[[#This Row],[Hours]]</f>
        <v>0</v>
      </c>
      <c r="Q294" s="207">
        <f t="shared" si="24"/>
        <v>0</v>
      </c>
      <c r="R294" s="208">
        <f t="shared" si="26"/>
        <v>0</v>
      </c>
      <c r="S294" s="208">
        <f t="shared" si="27"/>
        <v>0</v>
      </c>
      <c r="T294" s="208" t="str">
        <f t="shared" si="28"/>
        <v/>
      </c>
      <c r="U294" s="195">
        <f>Table33[[#This Row],[gal/100ft]]*Table33[[#This Row],[QTY]]/100</f>
        <v>0</v>
      </c>
      <c r="V294" s="195"/>
      <c r="W294" s="195"/>
      <c r="X294" s="195"/>
      <c r="Y294" s="195"/>
    </row>
    <row r="295" spans="1:25" ht="12.75" x14ac:dyDescent="0.2">
      <c r="A295" s="536" t="s">
        <v>585</v>
      </c>
      <c r="B295" s="195" t="s">
        <v>585</v>
      </c>
      <c r="C295" s="195" t="s">
        <v>585</v>
      </c>
      <c r="D295" s="195" t="s">
        <v>611</v>
      </c>
      <c r="E295" s="288"/>
      <c r="F295" s="204">
        <v>0.5</v>
      </c>
      <c r="G295" s="204"/>
      <c r="H295" s="197"/>
      <c r="I295" s="198"/>
      <c r="J295" s="205">
        <v>0.5</v>
      </c>
      <c r="K295" s="287">
        <v>0.5</v>
      </c>
      <c r="L295" s="206">
        <v>0.79</v>
      </c>
      <c r="M295" s="286">
        <v>0.79</v>
      </c>
      <c r="N295" s="552">
        <v>42124</v>
      </c>
      <c r="O295" s="205">
        <f t="shared" si="25"/>
        <v>0</v>
      </c>
      <c r="P295" s="555">
        <f>(1+$R$1)*Table33[[#This Row],[Hours]]</f>
        <v>0</v>
      </c>
      <c r="Q295" s="207">
        <f t="shared" si="24"/>
        <v>0</v>
      </c>
      <c r="R295" s="208">
        <f t="shared" si="26"/>
        <v>0</v>
      </c>
      <c r="S295" s="208">
        <f t="shared" si="27"/>
        <v>0</v>
      </c>
      <c r="T295" s="208" t="str">
        <f t="shared" si="28"/>
        <v/>
      </c>
      <c r="U295" s="195">
        <f>Table33[[#This Row],[gal/100ft]]*Table33[[#This Row],[QTY]]/100</f>
        <v>0</v>
      </c>
      <c r="V295" s="195"/>
      <c r="W295" s="195"/>
      <c r="X295" s="195"/>
      <c r="Y295" s="195"/>
    </row>
    <row r="296" spans="1:25" ht="12.75" x14ac:dyDescent="0.2">
      <c r="A296" s="536" t="s">
        <v>585</v>
      </c>
      <c r="B296" s="195" t="s">
        <v>585</v>
      </c>
      <c r="C296" s="195" t="s">
        <v>585</v>
      </c>
      <c r="D296" s="195" t="s">
        <v>611</v>
      </c>
      <c r="E296" s="288"/>
      <c r="F296" s="204">
        <v>0.75</v>
      </c>
      <c r="G296" s="204"/>
      <c r="H296" s="197"/>
      <c r="I296" s="198"/>
      <c r="J296" s="205">
        <v>0.5</v>
      </c>
      <c r="K296" s="287">
        <v>0.5</v>
      </c>
      <c r="L296" s="206">
        <v>0.79</v>
      </c>
      <c r="M296" s="286">
        <v>0.79</v>
      </c>
      <c r="N296" s="552">
        <v>42124</v>
      </c>
      <c r="O296" s="205">
        <f t="shared" si="25"/>
        <v>0</v>
      </c>
      <c r="P296" s="555">
        <f>(1+$R$1)*Table33[[#This Row],[Hours]]</f>
        <v>0</v>
      </c>
      <c r="Q296" s="207">
        <f t="shared" si="24"/>
        <v>0</v>
      </c>
      <c r="R296" s="208">
        <f t="shared" si="26"/>
        <v>0</v>
      </c>
      <c r="S296" s="208">
        <f t="shared" si="27"/>
        <v>0</v>
      </c>
      <c r="T296" s="208" t="str">
        <f t="shared" si="28"/>
        <v/>
      </c>
      <c r="U296" s="195">
        <f>Table33[[#This Row],[gal/100ft]]*Table33[[#This Row],[QTY]]/100</f>
        <v>0</v>
      </c>
      <c r="V296" s="195"/>
      <c r="W296" s="195"/>
      <c r="X296" s="195"/>
      <c r="Y296" s="195"/>
    </row>
    <row r="297" spans="1:25" ht="12.75" x14ac:dyDescent="0.2">
      <c r="A297" s="536" t="s">
        <v>585</v>
      </c>
      <c r="B297" s="195" t="s">
        <v>585</v>
      </c>
      <c r="C297" s="195" t="s">
        <v>585</v>
      </c>
      <c r="D297" s="195" t="s">
        <v>611</v>
      </c>
      <c r="E297" s="288"/>
      <c r="F297" s="204">
        <v>1</v>
      </c>
      <c r="G297" s="204"/>
      <c r="H297" s="197"/>
      <c r="I297" s="198"/>
      <c r="J297" s="205">
        <v>0.5</v>
      </c>
      <c r="K297" s="287">
        <v>0.5</v>
      </c>
      <c r="L297" s="206">
        <v>0.82</v>
      </c>
      <c r="M297" s="286">
        <v>0.82</v>
      </c>
      <c r="N297" s="552">
        <v>42124</v>
      </c>
      <c r="O297" s="205">
        <f t="shared" si="25"/>
        <v>0</v>
      </c>
      <c r="P297" s="555">
        <f>(1+$R$1)*Table33[[#This Row],[Hours]]</f>
        <v>0</v>
      </c>
      <c r="Q297" s="207">
        <f t="shared" si="24"/>
        <v>0</v>
      </c>
      <c r="R297" s="208">
        <f t="shared" si="26"/>
        <v>0</v>
      </c>
      <c r="S297" s="208">
        <f t="shared" si="27"/>
        <v>0</v>
      </c>
      <c r="T297" s="208" t="str">
        <f t="shared" si="28"/>
        <v/>
      </c>
      <c r="U297" s="195">
        <f>Table33[[#This Row],[gal/100ft]]*Table33[[#This Row],[QTY]]/100</f>
        <v>0</v>
      </c>
      <c r="V297" s="195"/>
      <c r="W297" s="195"/>
      <c r="X297" s="195"/>
      <c r="Y297" s="195"/>
    </row>
    <row r="298" spans="1:25" ht="12.75" x14ac:dyDescent="0.2">
      <c r="A298" s="536" t="s">
        <v>585</v>
      </c>
      <c r="B298" s="195" t="s">
        <v>585</v>
      </c>
      <c r="C298" s="195" t="s">
        <v>585</v>
      </c>
      <c r="D298" s="195" t="s">
        <v>611</v>
      </c>
      <c r="E298" s="288"/>
      <c r="F298" s="204">
        <v>1.25</v>
      </c>
      <c r="G298" s="204"/>
      <c r="H298" s="197"/>
      <c r="I298" s="198"/>
      <c r="J298" s="205">
        <v>0.5</v>
      </c>
      <c r="K298" s="287">
        <v>0.5</v>
      </c>
      <c r="L298" s="206">
        <v>0.95</v>
      </c>
      <c r="M298" s="286">
        <v>0.95</v>
      </c>
      <c r="N298" s="552">
        <v>42124</v>
      </c>
      <c r="O298" s="205">
        <f t="shared" si="25"/>
        <v>0</v>
      </c>
      <c r="P298" s="555">
        <f>(1+$R$1)*Table33[[#This Row],[Hours]]</f>
        <v>0</v>
      </c>
      <c r="Q298" s="207">
        <f t="shared" si="24"/>
        <v>0</v>
      </c>
      <c r="R298" s="208">
        <f t="shared" si="26"/>
        <v>0</v>
      </c>
      <c r="S298" s="208">
        <f t="shared" si="27"/>
        <v>0</v>
      </c>
      <c r="T298" s="208" t="str">
        <f t="shared" si="28"/>
        <v/>
      </c>
      <c r="U298" s="195">
        <f>Table33[[#This Row],[gal/100ft]]*Table33[[#This Row],[QTY]]/100</f>
        <v>0</v>
      </c>
      <c r="V298" s="195"/>
      <c r="W298" s="195"/>
      <c r="X298" s="195"/>
      <c r="Y298" s="195"/>
    </row>
    <row r="299" spans="1:25" ht="12.75" x14ac:dyDescent="0.2">
      <c r="A299" s="536" t="s">
        <v>585</v>
      </c>
      <c r="B299" s="195" t="s">
        <v>585</v>
      </c>
      <c r="C299" s="195" t="s">
        <v>585</v>
      </c>
      <c r="D299" s="195" t="s">
        <v>611</v>
      </c>
      <c r="E299" s="288"/>
      <c r="F299" s="204">
        <v>1.5</v>
      </c>
      <c r="G299" s="204"/>
      <c r="H299" s="197"/>
      <c r="I299" s="198"/>
      <c r="J299" s="205">
        <v>0.5</v>
      </c>
      <c r="K299" s="287">
        <v>0.5</v>
      </c>
      <c r="L299" s="206">
        <v>1.05</v>
      </c>
      <c r="M299" s="286">
        <v>1.05</v>
      </c>
      <c r="N299" s="552">
        <v>42124</v>
      </c>
      <c r="O299" s="205">
        <f t="shared" si="25"/>
        <v>0</v>
      </c>
      <c r="P299" s="555">
        <f>(1+$R$1)*Table33[[#This Row],[Hours]]</f>
        <v>0</v>
      </c>
      <c r="Q299" s="207">
        <f t="shared" si="24"/>
        <v>0</v>
      </c>
      <c r="R299" s="208">
        <f t="shared" si="26"/>
        <v>0</v>
      </c>
      <c r="S299" s="208">
        <f t="shared" si="27"/>
        <v>0</v>
      </c>
      <c r="T299" s="208" t="str">
        <f t="shared" si="28"/>
        <v/>
      </c>
      <c r="U299" s="195">
        <f>Table33[[#This Row],[gal/100ft]]*Table33[[#This Row],[QTY]]/100</f>
        <v>0</v>
      </c>
      <c r="V299" s="195"/>
      <c r="W299" s="195"/>
      <c r="X299" s="195"/>
      <c r="Y299" s="195"/>
    </row>
    <row r="300" spans="1:25" ht="12.75" x14ac:dyDescent="0.2">
      <c r="A300" s="536" t="s">
        <v>585</v>
      </c>
      <c r="B300" s="195" t="s">
        <v>585</v>
      </c>
      <c r="C300" s="195" t="s">
        <v>585</v>
      </c>
      <c r="D300" s="195" t="s">
        <v>611</v>
      </c>
      <c r="E300" s="288"/>
      <c r="F300" s="204">
        <v>2</v>
      </c>
      <c r="G300" s="204"/>
      <c r="H300" s="197"/>
      <c r="I300" s="198"/>
      <c r="J300" s="205">
        <v>0.5</v>
      </c>
      <c r="K300" s="287">
        <v>0.5</v>
      </c>
      <c r="L300" s="206">
        <v>1.26</v>
      </c>
      <c r="M300" s="286">
        <v>1.26</v>
      </c>
      <c r="N300" s="552">
        <v>42124</v>
      </c>
      <c r="O300" s="205">
        <f t="shared" si="25"/>
        <v>0</v>
      </c>
      <c r="P300" s="555">
        <f>(1+$R$1)*Table33[[#This Row],[Hours]]</f>
        <v>0</v>
      </c>
      <c r="Q300" s="207">
        <f t="shared" si="24"/>
        <v>0</v>
      </c>
      <c r="R300" s="208">
        <f t="shared" si="26"/>
        <v>0</v>
      </c>
      <c r="S300" s="208">
        <f t="shared" si="27"/>
        <v>0</v>
      </c>
      <c r="T300" s="208" t="str">
        <f t="shared" si="28"/>
        <v/>
      </c>
      <c r="U300" s="195">
        <f>Table33[[#This Row],[gal/100ft]]*Table33[[#This Row],[QTY]]/100</f>
        <v>0</v>
      </c>
      <c r="V300" s="195"/>
      <c r="W300" s="195"/>
      <c r="X300" s="195"/>
      <c r="Y300" s="195"/>
    </row>
    <row r="301" spans="1:25" ht="12.75" x14ac:dyDescent="0.2">
      <c r="A301" s="536" t="s">
        <v>585</v>
      </c>
      <c r="B301" s="195" t="s">
        <v>585</v>
      </c>
      <c r="C301" s="195" t="s">
        <v>585</v>
      </c>
      <c r="D301" s="195" t="s">
        <v>611</v>
      </c>
      <c r="E301" s="288"/>
      <c r="F301" s="204">
        <v>2.5</v>
      </c>
      <c r="G301" s="204"/>
      <c r="H301" s="197"/>
      <c r="I301" s="198"/>
      <c r="J301" s="205">
        <v>0.5</v>
      </c>
      <c r="K301" s="287">
        <v>0.5</v>
      </c>
      <c r="L301" s="206">
        <v>2.0299999999999998</v>
      </c>
      <c r="M301" s="286">
        <v>2.0299999999999998</v>
      </c>
      <c r="N301" s="552">
        <v>42124</v>
      </c>
      <c r="O301" s="205">
        <f t="shared" si="25"/>
        <v>0</v>
      </c>
      <c r="P301" s="555">
        <f>(1+$R$1)*Table33[[#This Row],[Hours]]</f>
        <v>0</v>
      </c>
      <c r="Q301" s="207">
        <f t="shared" si="24"/>
        <v>0</v>
      </c>
      <c r="R301" s="208">
        <f t="shared" si="26"/>
        <v>0</v>
      </c>
      <c r="S301" s="208">
        <f t="shared" si="27"/>
        <v>0</v>
      </c>
      <c r="T301" s="208" t="str">
        <f t="shared" si="28"/>
        <v/>
      </c>
      <c r="U301" s="195">
        <f>Table33[[#This Row],[gal/100ft]]*Table33[[#This Row],[QTY]]/100</f>
        <v>0</v>
      </c>
      <c r="V301" s="195"/>
      <c r="W301" s="195"/>
      <c r="X301" s="195"/>
      <c r="Y301" s="195"/>
    </row>
    <row r="302" spans="1:25" ht="12.75" x14ac:dyDescent="0.2">
      <c r="A302" s="536" t="s">
        <v>585</v>
      </c>
      <c r="B302" s="195" t="s">
        <v>585</v>
      </c>
      <c r="C302" s="195" t="s">
        <v>585</v>
      </c>
      <c r="D302" s="195" t="s">
        <v>611</v>
      </c>
      <c r="E302" s="288"/>
      <c r="F302" s="204">
        <v>3</v>
      </c>
      <c r="G302" s="204"/>
      <c r="H302" s="197"/>
      <c r="I302" s="198"/>
      <c r="J302" s="205">
        <v>0.5</v>
      </c>
      <c r="K302" s="287">
        <v>0.5</v>
      </c>
      <c r="L302" s="206">
        <v>2.56</v>
      </c>
      <c r="M302" s="286">
        <v>2.56</v>
      </c>
      <c r="N302" s="552">
        <v>42124</v>
      </c>
      <c r="O302" s="205">
        <f t="shared" si="25"/>
        <v>0</v>
      </c>
      <c r="P302" s="555">
        <f>(1+$R$1)*Table33[[#This Row],[Hours]]</f>
        <v>0</v>
      </c>
      <c r="Q302" s="207">
        <f t="shared" si="24"/>
        <v>0</v>
      </c>
      <c r="R302" s="208">
        <f t="shared" si="26"/>
        <v>0</v>
      </c>
      <c r="S302" s="208">
        <f t="shared" si="27"/>
        <v>0</v>
      </c>
      <c r="T302" s="208" t="str">
        <f t="shared" si="28"/>
        <v/>
      </c>
      <c r="U302" s="195">
        <f>Table33[[#This Row],[gal/100ft]]*Table33[[#This Row],[QTY]]/100</f>
        <v>0</v>
      </c>
      <c r="V302" s="195"/>
      <c r="W302" s="195"/>
      <c r="X302" s="195"/>
      <c r="Y302" s="195"/>
    </row>
    <row r="303" spans="1:25" ht="12.75" x14ac:dyDescent="0.2">
      <c r="A303" s="536" t="s">
        <v>585</v>
      </c>
      <c r="B303" s="195" t="s">
        <v>585</v>
      </c>
      <c r="C303" s="195" t="s">
        <v>585</v>
      </c>
      <c r="D303" s="195" t="s">
        <v>611</v>
      </c>
      <c r="E303" s="288"/>
      <c r="F303" s="204">
        <v>4</v>
      </c>
      <c r="G303" s="204"/>
      <c r="H303" s="197"/>
      <c r="I303" s="198"/>
      <c r="J303" s="205">
        <v>0.5</v>
      </c>
      <c r="K303" s="287">
        <v>0.5</v>
      </c>
      <c r="L303" s="206">
        <v>3.08</v>
      </c>
      <c r="M303" s="286">
        <v>3.08</v>
      </c>
      <c r="N303" s="552">
        <v>42124</v>
      </c>
      <c r="O303" s="205">
        <f t="shared" si="25"/>
        <v>0</v>
      </c>
      <c r="P303" s="555">
        <f>(1+$R$1)*Table33[[#This Row],[Hours]]</f>
        <v>0</v>
      </c>
      <c r="Q303" s="207">
        <f t="shared" si="24"/>
        <v>0</v>
      </c>
      <c r="R303" s="208">
        <f t="shared" si="26"/>
        <v>0</v>
      </c>
      <c r="S303" s="208">
        <f t="shared" si="27"/>
        <v>0</v>
      </c>
      <c r="T303" s="208" t="str">
        <f t="shared" si="28"/>
        <v/>
      </c>
      <c r="U303" s="195">
        <f>Table33[[#This Row],[gal/100ft]]*Table33[[#This Row],[QTY]]/100</f>
        <v>0</v>
      </c>
      <c r="V303" s="195"/>
      <c r="W303" s="195"/>
      <c r="X303" s="195"/>
      <c r="Y303" s="195"/>
    </row>
    <row r="304" spans="1:25" ht="12.75" x14ac:dyDescent="0.2">
      <c r="A304" s="536" t="s">
        <v>585</v>
      </c>
      <c r="B304" s="195" t="s">
        <v>585</v>
      </c>
      <c r="C304" s="195" t="s">
        <v>585</v>
      </c>
      <c r="D304" s="195" t="s">
        <v>611</v>
      </c>
      <c r="E304" s="288"/>
      <c r="F304" s="204">
        <v>5</v>
      </c>
      <c r="G304" s="204"/>
      <c r="H304" s="197"/>
      <c r="I304" s="198"/>
      <c r="J304" s="205">
        <v>0.5</v>
      </c>
      <c r="K304" s="287">
        <v>0.5</v>
      </c>
      <c r="L304" s="206">
        <v>4.25</v>
      </c>
      <c r="M304" s="286">
        <v>4.25</v>
      </c>
      <c r="N304" s="552">
        <v>42124</v>
      </c>
      <c r="O304" s="205">
        <f t="shared" si="25"/>
        <v>0</v>
      </c>
      <c r="P304" s="555">
        <f>(1+$R$1)*Table33[[#This Row],[Hours]]</f>
        <v>0</v>
      </c>
      <c r="Q304" s="207">
        <f t="shared" si="24"/>
        <v>0</v>
      </c>
      <c r="R304" s="208">
        <f t="shared" si="26"/>
        <v>0</v>
      </c>
      <c r="S304" s="208">
        <f t="shared" si="27"/>
        <v>0</v>
      </c>
      <c r="T304" s="208" t="str">
        <f t="shared" si="28"/>
        <v/>
      </c>
      <c r="U304" s="195">
        <f>Table33[[#This Row],[gal/100ft]]*Table33[[#This Row],[QTY]]/100</f>
        <v>0</v>
      </c>
      <c r="V304" s="195"/>
      <c r="W304" s="195"/>
      <c r="X304" s="195"/>
      <c r="Y304" s="195"/>
    </row>
    <row r="305" spans="1:25" ht="12.75" x14ac:dyDescent="0.2">
      <c r="A305" s="536" t="s">
        <v>585</v>
      </c>
      <c r="B305" s="195" t="s">
        <v>585</v>
      </c>
      <c r="C305" s="195" t="s">
        <v>585</v>
      </c>
      <c r="D305" s="195" t="s">
        <v>611</v>
      </c>
      <c r="E305" s="288"/>
      <c r="F305" s="204">
        <v>6</v>
      </c>
      <c r="G305" s="204"/>
      <c r="H305" s="197"/>
      <c r="I305" s="198"/>
      <c r="J305" s="205">
        <v>0.5</v>
      </c>
      <c r="K305" s="287">
        <v>0.5</v>
      </c>
      <c r="L305" s="206">
        <v>5.25</v>
      </c>
      <c r="M305" s="286">
        <v>5.25</v>
      </c>
      <c r="N305" s="552">
        <v>42124</v>
      </c>
      <c r="O305" s="205">
        <f t="shared" si="25"/>
        <v>0</v>
      </c>
      <c r="P305" s="555">
        <f>(1+$R$1)*Table33[[#This Row],[Hours]]</f>
        <v>0</v>
      </c>
      <c r="Q305" s="207">
        <f t="shared" si="24"/>
        <v>0</v>
      </c>
      <c r="R305" s="208">
        <f t="shared" si="26"/>
        <v>0</v>
      </c>
      <c r="S305" s="208">
        <f t="shared" si="27"/>
        <v>0</v>
      </c>
      <c r="T305" s="208" t="str">
        <f t="shared" si="28"/>
        <v/>
      </c>
      <c r="U305" s="195">
        <f>Table33[[#This Row],[gal/100ft]]*Table33[[#This Row],[QTY]]/100</f>
        <v>0</v>
      </c>
      <c r="V305" s="195"/>
      <c r="W305" s="195"/>
      <c r="X305" s="195"/>
      <c r="Y305" s="195"/>
    </row>
    <row r="306" spans="1:25" ht="12.75" x14ac:dyDescent="0.2">
      <c r="A306" s="536" t="s">
        <v>585</v>
      </c>
      <c r="B306" s="195" t="s">
        <v>585</v>
      </c>
      <c r="C306" s="195" t="s">
        <v>585</v>
      </c>
      <c r="D306" s="195" t="s">
        <v>611</v>
      </c>
      <c r="E306" s="288"/>
      <c r="F306" s="204">
        <v>8</v>
      </c>
      <c r="G306" s="204"/>
      <c r="H306" s="197"/>
      <c r="I306" s="198"/>
      <c r="J306" s="205">
        <v>0.5</v>
      </c>
      <c r="K306" s="287">
        <v>0.5</v>
      </c>
      <c r="L306" s="206">
        <v>8.6999999999999993</v>
      </c>
      <c r="M306" s="286">
        <v>8.6999999999999993</v>
      </c>
      <c r="N306" s="552">
        <v>42124</v>
      </c>
      <c r="O306" s="205">
        <f t="shared" si="25"/>
        <v>0</v>
      </c>
      <c r="P306" s="555">
        <f>(1+$R$1)*Table33[[#This Row],[Hours]]</f>
        <v>0</v>
      </c>
      <c r="Q306" s="207">
        <f t="shared" si="24"/>
        <v>0</v>
      </c>
      <c r="R306" s="208">
        <f t="shared" si="26"/>
        <v>0</v>
      </c>
      <c r="S306" s="208">
        <f t="shared" si="27"/>
        <v>0</v>
      </c>
      <c r="T306" s="208" t="str">
        <f t="shared" si="28"/>
        <v/>
      </c>
      <c r="U306" s="195">
        <f>Table33[[#This Row],[gal/100ft]]*Table33[[#This Row],[QTY]]/100</f>
        <v>0</v>
      </c>
      <c r="V306" s="195"/>
      <c r="W306" s="195"/>
      <c r="X306" s="195"/>
      <c r="Y306" s="195"/>
    </row>
    <row r="307" spans="1:25" ht="12.75" x14ac:dyDescent="0.2">
      <c r="A307" s="536" t="s">
        <v>585</v>
      </c>
      <c r="B307" s="195" t="s">
        <v>585</v>
      </c>
      <c r="C307" s="195" t="s">
        <v>585</v>
      </c>
      <c r="D307" s="195" t="s">
        <v>611</v>
      </c>
      <c r="E307" s="288"/>
      <c r="F307" s="204">
        <v>10</v>
      </c>
      <c r="G307" s="204"/>
      <c r="H307" s="197"/>
      <c r="I307" s="198"/>
      <c r="J307" s="205">
        <v>0.5</v>
      </c>
      <c r="K307" s="287">
        <v>0.5</v>
      </c>
      <c r="L307" s="206">
        <v>15.51</v>
      </c>
      <c r="M307" s="286">
        <v>15.51</v>
      </c>
      <c r="N307" s="552">
        <v>42124</v>
      </c>
      <c r="O307" s="205">
        <f t="shared" si="25"/>
        <v>0</v>
      </c>
      <c r="P307" s="555">
        <f>(1+$R$1)*Table33[[#This Row],[Hours]]</f>
        <v>0</v>
      </c>
      <c r="Q307" s="207">
        <f t="shared" si="24"/>
        <v>0</v>
      </c>
      <c r="R307" s="208">
        <f t="shared" si="26"/>
        <v>0</v>
      </c>
      <c r="S307" s="208">
        <f t="shared" si="27"/>
        <v>0</v>
      </c>
      <c r="T307" s="208" t="str">
        <f t="shared" si="28"/>
        <v/>
      </c>
      <c r="U307" s="195">
        <f>Table33[[#This Row],[gal/100ft]]*Table33[[#This Row],[QTY]]/100</f>
        <v>0</v>
      </c>
      <c r="V307" s="195"/>
      <c r="W307" s="195"/>
      <c r="X307" s="195"/>
      <c r="Y307" s="195"/>
    </row>
    <row r="308" spans="1:25" ht="12.75" x14ac:dyDescent="0.2">
      <c r="A308" s="536" t="s">
        <v>585</v>
      </c>
      <c r="B308" s="195" t="s">
        <v>585</v>
      </c>
      <c r="C308" s="195" t="s">
        <v>585</v>
      </c>
      <c r="D308" s="216" t="s">
        <v>611</v>
      </c>
      <c r="E308" s="548"/>
      <c r="F308" s="540">
        <v>12</v>
      </c>
      <c r="G308" s="204"/>
      <c r="H308" s="197"/>
      <c r="I308" s="198"/>
      <c r="J308" s="205">
        <v>0.5</v>
      </c>
      <c r="K308" s="287">
        <v>0.5</v>
      </c>
      <c r="L308" s="206">
        <v>19.55</v>
      </c>
      <c r="M308" s="286">
        <v>19.55</v>
      </c>
      <c r="N308" s="552">
        <v>42124</v>
      </c>
      <c r="O308" s="205">
        <f t="shared" si="25"/>
        <v>0</v>
      </c>
      <c r="P308" s="555">
        <f>(1+$R$1)*Table33[[#This Row],[Hours]]</f>
        <v>0</v>
      </c>
      <c r="Q308" s="207">
        <f t="shared" si="24"/>
        <v>0</v>
      </c>
      <c r="R308" s="208">
        <f t="shared" si="26"/>
        <v>0</v>
      </c>
      <c r="S308" s="208">
        <f t="shared" si="27"/>
        <v>0</v>
      </c>
      <c r="T308" s="208" t="str">
        <f t="shared" si="28"/>
        <v/>
      </c>
      <c r="U308" s="195">
        <f>Table33[[#This Row],[gal/100ft]]*Table33[[#This Row],[QTY]]/100</f>
        <v>0</v>
      </c>
      <c r="V308" s="547"/>
      <c r="W308" s="195"/>
      <c r="X308" s="195"/>
      <c r="Y308" s="195"/>
    </row>
    <row r="309" spans="1:25" ht="12.75" x14ac:dyDescent="0.2">
      <c r="A309" s="536" t="s">
        <v>585</v>
      </c>
      <c r="B309" s="195" t="s">
        <v>585</v>
      </c>
      <c r="C309" s="195" t="s">
        <v>585</v>
      </c>
      <c r="D309" s="195" t="s">
        <v>611</v>
      </c>
      <c r="E309" s="288"/>
      <c r="F309" s="204">
        <v>14</v>
      </c>
      <c r="G309" s="204"/>
      <c r="H309" s="197"/>
      <c r="I309" s="198"/>
      <c r="J309" s="205">
        <v>0.5</v>
      </c>
      <c r="K309" s="287">
        <v>0.5</v>
      </c>
      <c r="L309" s="206">
        <v>26.04</v>
      </c>
      <c r="M309" s="286">
        <v>26.04</v>
      </c>
      <c r="N309" s="552">
        <v>42124</v>
      </c>
      <c r="O309" s="205">
        <f t="shared" si="25"/>
        <v>0</v>
      </c>
      <c r="P309" s="555">
        <f>(1+$R$1)*Table33[[#This Row],[Hours]]</f>
        <v>0</v>
      </c>
      <c r="Q309" s="207">
        <f t="shared" si="24"/>
        <v>0</v>
      </c>
      <c r="R309" s="208">
        <f t="shared" si="26"/>
        <v>0</v>
      </c>
      <c r="S309" s="208">
        <f t="shared" si="27"/>
        <v>0</v>
      </c>
      <c r="T309" s="208" t="str">
        <f t="shared" si="28"/>
        <v/>
      </c>
      <c r="U309" s="195">
        <f>Table33[[#This Row],[gal/100ft]]*Table33[[#This Row],[QTY]]/100</f>
        <v>0</v>
      </c>
      <c r="V309" s="195"/>
      <c r="W309" s="195"/>
      <c r="X309" s="195"/>
      <c r="Y309" s="195"/>
    </row>
    <row r="310" spans="1:25" ht="12.75" x14ac:dyDescent="0.2">
      <c r="A310" s="311" t="s">
        <v>711</v>
      </c>
      <c r="B310" s="311" t="s">
        <v>711</v>
      </c>
      <c r="C310" s="311" t="s">
        <v>720</v>
      </c>
      <c r="D310" s="311" t="s">
        <v>721</v>
      </c>
      <c r="E310" s="288"/>
      <c r="F310" s="297">
        <v>0.5</v>
      </c>
      <c r="G310" s="312"/>
      <c r="H310" s="313"/>
      <c r="I310" s="314"/>
      <c r="J310" s="205">
        <v>0.09</v>
      </c>
      <c r="K310" s="287">
        <v>0.09</v>
      </c>
      <c r="L310" s="206">
        <v>1.78</v>
      </c>
      <c r="M310" s="286">
        <v>1.78</v>
      </c>
      <c r="N310" s="552">
        <v>41791</v>
      </c>
      <c r="O310" s="205">
        <f t="shared" si="25"/>
        <v>0</v>
      </c>
      <c r="P310" s="555">
        <f>(1+$R$1)*Table33[[#This Row],[Hours]]</f>
        <v>0</v>
      </c>
      <c r="Q310" s="207">
        <f t="shared" si="24"/>
        <v>0</v>
      </c>
      <c r="R310" s="208">
        <f t="shared" si="26"/>
        <v>0</v>
      </c>
      <c r="S310" s="208">
        <f t="shared" si="27"/>
        <v>0</v>
      </c>
      <c r="T310" s="208" t="str">
        <f t="shared" si="28"/>
        <v/>
      </c>
      <c r="U310" s="195">
        <f>Table33[[#This Row],[gal/100ft]]*Table33[[#This Row],[QTY]]/100</f>
        <v>0</v>
      </c>
      <c r="V310" s="195"/>
      <c r="W310" s="195"/>
      <c r="X310" s="195"/>
      <c r="Y310" s="195"/>
    </row>
    <row r="311" spans="1:25" ht="12.75" x14ac:dyDescent="0.2">
      <c r="A311" s="311" t="s">
        <v>711</v>
      </c>
      <c r="B311" s="311" t="s">
        <v>711</v>
      </c>
      <c r="C311" s="311" t="s">
        <v>720</v>
      </c>
      <c r="D311" s="311" t="s">
        <v>721</v>
      </c>
      <c r="E311" s="288"/>
      <c r="F311" s="297">
        <v>0.75</v>
      </c>
      <c r="G311" s="312"/>
      <c r="H311" s="313"/>
      <c r="I311" s="314"/>
      <c r="J311" s="205">
        <v>0.11</v>
      </c>
      <c r="K311" s="287">
        <v>0.11</v>
      </c>
      <c r="L311" s="206">
        <v>3.21</v>
      </c>
      <c r="M311" s="286">
        <v>3.21</v>
      </c>
      <c r="N311" s="552">
        <v>41791</v>
      </c>
      <c r="O311" s="205">
        <f t="shared" si="25"/>
        <v>0</v>
      </c>
      <c r="P311" s="555">
        <f>(1+$R$1)*Table33[[#This Row],[Hours]]</f>
        <v>0</v>
      </c>
      <c r="Q311" s="207">
        <f t="shared" si="24"/>
        <v>0</v>
      </c>
      <c r="R311" s="208">
        <f t="shared" si="26"/>
        <v>0</v>
      </c>
      <c r="S311" s="208">
        <f t="shared" si="27"/>
        <v>0</v>
      </c>
      <c r="T311" s="208" t="str">
        <f t="shared" si="28"/>
        <v/>
      </c>
      <c r="U311" s="195">
        <f>Table33[[#This Row],[gal/100ft]]*Table33[[#This Row],[QTY]]/100</f>
        <v>0</v>
      </c>
      <c r="V311" s="195"/>
      <c r="W311" s="195"/>
      <c r="X311" s="195"/>
      <c r="Y311" s="195"/>
    </row>
    <row r="312" spans="1:25" ht="12.75" x14ac:dyDescent="0.2">
      <c r="A312" s="311" t="s">
        <v>711</v>
      </c>
      <c r="B312" s="311" t="s">
        <v>711</v>
      </c>
      <c r="C312" s="311" t="s">
        <v>720</v>
      </c>
      <c r="D312" s="311" t="s">
        <v>721</v>
      </c>
      <c r="E312" s="288"/>
      <c r="F312" s="297">
        <v>1</v>
      </c>
      <c r="G312" s="312"/>
      <c r="H312" s="313"/>
      <c r="I312" s="314"/>
      <c r="J312" s="205">
        <v>0.11</v>
      </c>
      <c r="K312" s="287">
        <v>0.11</v>
      </c>
      <c r="L312" s="206">
        <v>5.89</v>
      </c>
      <c r="M312" s="286">
        <v>5.89</v>
      </c>
      <c r="N312" s="552">
        <v>41791</v>
      </c>
      <c r="O312" s="205">
        <f t="shared" si="25"/>
        <v>0</v>
      </c>
      <c r="P312" s="555">
        <f>(1+$R$1)*Table33[[#This Row],[Hours]]</f>
        <v>0</v>
      </c>
      <c r="Q312" s="207">
        <f t="shared" si="24"/>
        <v>0</v>
      </c>
      <c r="R312" s="208">
        <f t="shared" si="26"/>
        <v>0</v>
      </c>
      <c r="S312" s="208">
        <f t="shared" si="27"/>
        <v>0</v>
      </c>
      <c r="T312" s="208" t="str">
        <f t="shared" si="28"/>
        <v/>
      </c>
      <c r="U312" s="195">
        <f>Table33[[#This Row],[gal/100ft]]*Table33[[#This Row],[QTY]]/100</f>
        <v>0</v>
      </c>
      <c r="V312" s="195"/>
      <c r="W312" s="195"/>
      <c r="X312" s="195"/>
      <c r="Y312" s="195"/>
    </row>
    <row r="313" spans="1:25" ht="12.75" x14ac:dyDescent="0.2">
      <c r="A313" s="311" t="s">
        <v>711</v>
      </c>
      <c r="B313" s="311" t="s">
        <v>711</v>
      </c>
      <c r="C313" s="311" t="s">
        <v>720</v>
      </c>
      <c r="D313" s="311" t="s">
        <v>721</v>
      </c>
      <c r="E313" s="288"/>
      <c r="F313" s="204">
        <v>1.25</v>
      </c>
      <c r="G313" s="312"/>
      <c r="H313" s="313"/>
      <c r="I313" s="314"/>
      <c r="J313" s="205">
        <v>0.13</v>
      </c>
      <c r="K313" s="287">
        <v>0.13</v>
      </c>
      <c r="L313" s="206">
        <v>12.88</v>
      </c>
      <c r="M313" s="286">
        <v>12.88</v>
      </c>
      <c r="N313" s="552">
        <v>41791</v>
      </c>
      <c r="O313" s="205">
        <f t="shared" si="25"/>
        <v>0</v>
      </c>
      <c r="P313" s="555">
        <f>(1+$R$1)*Table33[[#This Row],[Hours]]</f>
        <v>0</v>
      </c>
      <c r="Q313" s="207">
        <f t="shared" si="24"/>
        <v>0</v>
      </c>
      <c r="R313" s="208">
        <f t="shared" si="26"/>
        <v>0</v>
      </c>
      <c r="S313" s="208">
        <f t="shared" si="27"/>
        <v>0</v>
      </c>
      <c r="T313" s="208" t="str">
        <f t="shared" si="28"/>
        <v/>
      </c>
      <c r="U313" s="195">
        <f>Table33[[#This Row],[gal/100ft]]*Table33[[#This Row],[QTY]]/100</f>
        <v>0</v>
      </c>
      <c r="V313" s="195"/>
      <c r="W313" s="195"/>
      <c r="X313" s="195"/>
      <c r="Y313" s="195"/>
    </row>
    <row r="314" spans="1:25" ht="12.75" x14ac:dyDescent="0.2">
      <c r="A314" s="311" t="s">
        <v>711</v>
      </c>
      <c r="B314" s="311" t="s">
        <v>711</v>
      </c>
      <c r="C314" s="311" t="s">
        <v>720</v>
      </c>
      <c r="D314" s="311" t="s">
        <v>721</v>
      </c>
      <c r="E314" s="288"/>
      <c r="F314" s="204">
        <v>1.5</v>
      </c>
      <c r="G314" s="312"/>
      <c r="H314" s="313"/>
      <c r="I314" s="314"/>
      <c r="J314" s="205">
        <v>0.15</v>
      </c>
      <c r="K314" s="287">
        <v>0.15</v>
      </c>
      <c r="L314" s="206">
        <v>18.059999999999999</v>
      </c>
      <c r="M314" s="286">
        <v>18.059999999999999</v>
      </c>
      <c r="N314" s="552">
        <v>41791</v>
      </c>
      <c r="O314" s="205">
        <f t="shared" si="25"/>
        <v>0</v>
      </c>
      <c r="P314" s="555">
        <f>(1+$R$1)*Table33[[#This Row],[Hours]]</f>
        <v>0</v>
      </c>
      <c r="Q314" s="207">
        <f t="shared" si="24"/>
        <v>0</v>
      </c>
      <c r="R314" s="208">
        <f t="shared" si="26"/>
        <v>0</v>
      </c>
      <c r="S314" s="208">
        <f t="shared" si="27"/>
        <v>0</v>
      </c>
      <c r="T314" s="208" t="str">
        <f t="shared" si="28"/>
        <v/>
      </c>
      <c r="U314" s="195">
        <f>Table33[[#This Row],[gal/100ft]]*Table33[[#This Row],[QTY]]/100</f>
        <v>0</v>
      </c>
      <c r="V314" s="195"/>
      <c r="W314" s="195"/>
      <c r="X314" s="195"/>
      <c r="Y314" s="195"/>
    </row>
    <row r="315" spans="1:25" ht="12.75" x14ac:dyDescent="0.2">
      <c r="A315" s="311" t="s">
        <v>711</v>
      </c>
      <c r="B315" s="311" t="s">
        <v>711</v>
      </c>
      <c r="C315" s="311" t="s">
        <v>720</v>
      </c>
      <c r="D315" s="311" t="s">
        <v>721</v>
      </c>
      <c r="E315" s="288"/>
      <c r="F315" s="204">
        <v>2</v>
      </c>
      <c r="G315" s="312"/>
      <c r="H315" s="313"/>
      <c r="I315" s="314"/>
      <c r="J315" s="205">
        <v>0.17</v>
      </c>
      <c r="K315" s="287">
        <v>0.17</v>
      </c>
      <c r="L315" s="206">
        <v>34.770000000000003</v>
      </c>
      <c r="M315" s="286">
        <v>34.770000000000003</v>
      </c>
      <c r="N315" s="552">
        <v>41791</v>
      </c>
      <c r="O315" s="205">
        <f t="shared" si="25"/>
        <v>0</v>
      </c>
      <c r="P315" s="555">
        <f>(1+$R$1)*Table33[[#This Row],[Hours]]</f>
        <v>0</v>
      </c>
      <c r="Q315" s="207">
        <f t="shared" si="24"/>
        <v>0</v>
      </c>
      <c r="R315" s="208">
        <f t="shared" si="26"/>
        <v>0</v>
      </c>
      <c r="S315" s="208">
        <f t="shared" si="27"/>
        <v>0</v>
      </c>
      <c r="T315" s="208" t="str">
        <f t="shared" si="28"/>
        <v/>
      </c>
      <c r="U315" s="195">
        <f>Table33[[#This Row],[gal/100ft]]*Table33[[#This Row],[QTY]]/100</f>
        <v>0</v>
      </c>
      <c r="V315" s="195"/>
      <c r="W315" s="195"/>
      <c r="X315" s="195"/>
      <c r="Y315" s="195"/>
    </row>
    <row r="316" spans="1:25" ht="12.75" x14ac:dyDescent="0.2">
      <c r="A316" s="311" t="s">
        <v>711</v>
      </c>
      <c r="B316" s="311" t="s">
        <v>711</v>
      </c>
      <c r="C316" s="311" t="s">
        <v>720</v>
      </c>
      <c r="D316" s="311" t="s">
        <v>721</v>
      </c>
      <c r="E316" s="288"/>
      <c r="F316" s="204">
        <v>2.5</v>
      </c>
      <c r="G316" s="312"/>
      <c r="H316" s="313"/>
      <c r="I316" s="314"/>
      <c r="J316" s="205">
        <v>0.2</v>
      </c>
      <c r="K316" s="287">
        <v>0.2</v>
      </c>
      <c r="L316" s="206">
        <v>89.25</v>
      </c>
      <c r="M316" s="286">
        <v>89.25</v>
      </c>
      <c r="N316" s="552">
        <v>41791</v>
      </c>
      <c r="O316" s="205">
        <f t="shared" si="25"/>
        <v>0</v>
      </c>
      <c r="P316" s="555">
        <f>(1+$R$1)*Table33[[#This Row],[Hours]]</f>
        <v>0</v>
      </c>
      <c r="Q316" s="207">
        <f t="shared" si="24"/>
        <v>0</v>
      </c>
      <c r="R316" s="208">
        <f t="shared" si="26"/>
        <v>0</v>
      </c>
      <c r="S316" s="208">
        <f t="shared" si="27"/>
        <v>0</v>
      </c>
      <c r="T316" s="208" t="str">
        <f t="shared" si="28"/>
        <v/>
      </c>
      <c r="U316" s="195">
        <f>Table33[[#This Row],[gal/100ft]]*Table33[[#This Row],[QTY]]/100</f>
        <v>0</v>
      </c>
      <c r="V316" s="195"/>
      <c r="W316" s="195"/>
      <c r="X316" s="195"/>
      <c r="Y316" s="195"/>
    </row>
    <row r="317" spans="1:25" ht="12.75" x14ac:dyDescent="0.2">
      <c r="A317" s="311" t="s">
        <v>711</v>
      </c>
      <c r="B317" s="311" t="s">
        <v>711</v>
      </c>
      <c r="C317" s="311" t="s">
        <v>720</v>
      </c>
      <c r="D317" s="311" t="s">
        <v>721</v>
      </c>
      <c r="E317" s="288"/>
      <c r="F317" s="204">
        <v>3</v>
      </c>
      <c r="G317" s="312"/>
      <c r="H317" s="313"/>
      <c r="I317" s="314"/>
      <c r="J317" s="205">
        <v>0.23</v>
      </c>
      <c r="K317" s="287">
        <v>0.23</v>
      </c>
      <c r="L317" s="206">
        <v>99.8</v>
      </c>
      <c r="M317" s="286">
        <v>99.8</v>
      </c>
      <c r="N317" s="552">
        <v>41791</v>
      </c>
      <c r="O317" s="205">
        <f t="shared" si="25"/>
        <v>0</v>
      </c>
      <c r="P317" s="555">
        <f>(1+$R$1)*Table33[[#This Row],[Hours]]</f>
        <v>0</v>
      </c>
      <c r="Q317" s="207">
        <f t="shared" si="24"/>
        <v>0</v>
      </c>
      <c r="R317" s="208">
        <f t="shared" si="26"/>
        <v>0</v>
      </c>
      <c r="S317" s="208">
        <f t="shared" si="27"/>
        <v>0</v>
      </c>
      <c r="T317" s="208" t="str">
        <f t="shared" si="28"/>
        <v/>
      </c>
      <c r="U317" s="195">
        <f>Table33[[#This Row],[gal/100ft]]*Table33[[#This Row],[QTY]]/100</f>
        <v>0</v>
      </c>
      <c r="V317" s="195"/>
      <c r="W317" s="195"/>
      <c r="X317" s="195"/>
      <c r="Y317" s="195"/>
    </row>
    <row r="318" spans="1:25" ht="12.75" x14ac:dyDescent="0.2">
      <c r="A318" s="311" t="s">
        <v>711</v>
      </c>
      <c r="B318" s="311" t="s">
        <v>711</v>
      </c>
      <c r="C318" s="311" t="s">
        <v>720</v>
      </c>
      <c r="D318" s="311" t="s">
        <v>721</v>
      </c>
      <c r="E318" s="288"/>
      <c r="F318" s="204">
        <v>4</v>
      </c>
      <c r="G318" s="312"/>
      <c r="H318" s="313"/>
      <c r="I318" s="314"/>
      <c r="J318" s="205">
        <v>0.28999999999999998</v>
      </c>
      <c r="K318" s="287">
        <v>0.28999999999999998</v>
      </c>
      <c r="L318" s="206">
        <v>115.5</v>
      </c>
      <c r="M318" s="286">
        <v>115.5</v>
      </c>
      <c r="N318" s="552">
        <v>41791</v>
      </c>
      <c r="O318" s="205">
        <f t="shared" si="25"/>
        <v>0</v>
      </c>
      <c r="P318" s="555">
        <f>(1+$R$1)*Table33[[#This Row],[Hours]]</f>
        <v>0</v>
      </c>
      <c r="Q318" s="207">
        <f t="shared" si="24"/>
        <v>0</v>
      </c>
      <c r="R318" s="208">
        <f t="shared" si="26"/>
        <v>0</v>
      </c>
      <c r="S318" s="208">
        <f t="shared" si="27"/>
        <v>0</v>
      </c>
      <c r="T318" s="208" t="str">
        <f t="shared" si="28"/>
        <v/>
      </c>
      <c r="U318" s="195">
        <f>Table33[[#This Row],[gal/100ft]]*Table33[[#This Row],[QTY]]/100</f>
        <v>0</v>
      </c>
      <c r="V318" s="195"/>
      <c r="W318" s="195"/>
      <c r="X318" s="195"/>
      <c r="Y318" s="195"/>
    </row>
    <row r="319" spans="1:25" ht="12.75" x14ac:dyDescent="0.2">
      <c r="A319" s="195" t="s">
        <v>593</v>
      </c>
      <c r="B319" s="195" t="s">
        <v>613</v>
      </c>
      <c r="C319" s="195" t="s">
        <v>622</v>
      </c>
      <c r="D319" s="216" t="s">
        <v>623</v>
      </c>
      <c r="E319" s="548"/>
      <c r="F319" s="540">
        <v>1.5</v>
      </c>
      <c r="G319" s="204"/>
      <c r="H319" s="197"/>
      <c r="I319" s="198"/>
      <c r="J319" s="205">
        <v>0.06</v>
      </c>
      <c r="K319" s="287">
        <v>0.06</v>
      </c>
      <c r="L319" s="206">
        <v>4.3600000000000003</v>
      </c>
      <c r="M319" s="286">
        <v>4.3600000000000003</v>
      </c>
      <c r="N319" s="552">
        <v>41791</v>
      </c>
      <c r="O319" s="205">
        <f t="shared" si="25"/>
        <v>0</v>
      </c>
      <c r="P319" s="555">
        <f>(1+$R$1)*Table33[[#This Row],[Hours]]</f>
        <v>0</v>
      </c>
      <c r="Q319" s="207">
        <f t="shared" si="24"/>
        <v>0</v>
      </c>
      <c r="R319" s="208">
        <f t="shared" si="26"/>
        <v>0</v>
      </c>
      <c r="S319" s="208">
        <f t="shared" si="27"/>
        <v>0</v>
      </c>
      <c r="T319" s="208" t="str">
        <f t="shared" si="28"/>
        <v/>
      </c>
      <c r="U319" s="195">
        <f>Table33[[#This Row],[gal/100ft]]*Table33[[#This Row],[QTY]]/100</f>
        <v>0</v>
      </c>
      <c r="V319" s="547"/>
      <c r="W319" s="195"/>
      <c r="X319" s="195"/>
      <c r="Y319" s="195"/>
    </row>
    <row r="320" spans="1:25" ht="12.75" x14ac:dyDescent="0.2">
      <c r="A320" s="195" t="s">
        <v>593</v>
      </c>
      <c r="B320" s="195" t="s">
        <v>613</v>
      </c>
      <c r="C320" s="195" t="s">
        <v>622</v>
      </c>
      <c r="D320" s="216" t="s">
        <v>623</v>
      </c>
      <c r="E320" s="548"/>
      <c r="F320" s="540">
        <v>2</v>
      </c>
      <c r="G320" s="204"/>
      <c r="H320" s="197"/>
      <c r="I320" s="198"/>
      <c r="J320" s="205">
        <v>0.06</v>
      </c>
      <c r="K320" s="287">
        <v>0.06</v>
      </c>
      <c r="L320" s="206">
        <v>5.23</v>
      </c>
      <c r="M320" s="286">
        <v>5.23</v>
      </c>
      <c r="N320" s="552">
        <v>41791</v>
      </c>
      <c r="O320" s="205">
        <f t="shared" si="25"/>
        <v>0</v>
      </c>
      <c r="P320" s="555">
        <f>(1+$R$1)*Table33[[#This Row],[Hours]]</f>
        <v>0</v>
      </c>
      <c r="Q320" s="207">
        <f t="shared" si="24"/>
        <v>0</v>
      </c>
      <c r="R320" s="208">
        <f t="shared" si="26"/>
        <v>0</v>
      </c>
      <c r="S320" s="208">
        <f t="shared" si="27"/>
        <v>0</v>
      </c>
      <c r="T320" s="208" t="str">
        <f t="shared" si="28"/>
        <v/>
      </c>
      <c r="U320" s="195">
        <f>Table33[[#This Row],[gal/100ft]]*Table33[[#This Row],[QTY]]/100</f>
        <v>0</v>
      </c>
      <c r="V320" s="547"/>
      <c r="W320" s="195"/>
      <c r="X320" s="195"/>
      <c r="Y320" s="195"/>
    </row>
    <row r="321" spans="1:28" ht="12.75" x14ac:dyDescent="0.2">
      <c r="A321" s="195" t="s">
        <v>593</v>
      </c>
      <c r="B321" s="195" t="s">
        <v>613</v>
      </c>
      <c r="C321" s="195" t="s">
        <v>622</v>
      </c>
      <c r="D321" s="216" t="s">
        <v>623</v>
      </c>
      <c r="E321" s="548"/>
      <c r="F321" s="540" t="s">
        <v>596</v>
      </c>
      <c r="G321" s="204"/>
      <c r="H321" s="197"/>
      <c r="I321" s="198"/>
      <c r="J321" s="205">
        <v>0.05</v>
      </c>
      <c r="K321" s="287">
        <v>0.05</v>
      </c>
      <c r="L321" s="206">
        <v>1.72</v>
      </c>
      <c r="M321" s="286">
        <v>1.72</v>
      </c>
      <c r="N321" s="552">
        <v>41791</v>
      </c>
      <c r="O321" s="205">
        <f t="shared" si="25"/>
        <v>0</v>
      </c>
      <c r="P321" s="555">
        <f>(1+$R$1)*Table33[[#This Row],[Hours]]</f>
        <v>0</v>
      </c>
      <c r="Q321" s="207">
        <f t="shared" si="24"/>
        <v>0</v>
      </c>
      <c r="R321" s="208">
        <f t="shared" si="26"/>
        <v>0</v>
      </c>
      <c r="S321" s="208">
        <f t="shared" si="27"/>
        <v>0</v>
      </c>
      <c r="T321" s="208" t="str">
        <f t="shared" si="28"/>
        <v/>
      </c>
      <c r="U321" s="195">
        <f>Table33[[#This Row],[gal/100ft]]*Table33[[#This Row],[QTY]]/100</f>
        <v>0</v>
      </c>
      <c r="V321" s="547"/>
      <c r="W321" s="195"/>
      <c r="X321" s="195"/>
      <c r="Y321" s="195"/>
    </row>
    <row r="322" spans="1:28" ht="12.75" x14ac:dyDescent="0.2">
      <c r="A322" s="195" t="s">
        <v>593</v>
      </c>
      <c r="B322" s="195" t="s">
        <v>613</v>
      </c>
      <c r="C322" s="195" t="s">
        <v>622</v>
      </c>
      <c r="D322" s="216" t="s">
        <v>623</v>
      </c>
      <c r="E322" s="548"/>
      <c r="F322" s="540">
        <v>0.75</v>
      </c>
      <c r="G322" s="204"/>
      <c r="H322" s="197"/>
      <c r="I322" s="198"/>
      <c r="J322" s="205">
        <v>0.05</v>
      </c>
      <c r="K322" s="287">
        <v>0.05</v>
      </c>
      <c r="L322" s="206">
        <v>1.84</v>
      </c>
      <c r="M322" s="286">
        <v>1.84</v>
      </c>
      <c r="N322" s="552">
        <v>41791</v>
      </c>
      <c r="O322" s="205">
        <f t="shared" si="25"/>
        <v>0</v>
      </c>
      <c r="P322" s="555">
        <f>(1+$R$1)*Table33[[#This Row],[Hours]]</f>
        <v>0</v>
      </c>
      <c r="Q322" s="207">
        <f t="shared" si="24"/>
        <v>0</v>
      </c>
      <c r="R322" s="208">
        <f t="shared" si="26"/>
        <v>0</v>
      </c>
      <c r="S322" s="208">
        <f t="shared" si="27"/>
        <v>0</v>
      </c>
      <c r="T322" s="208" t="str">
        <f t="shared" si="28"/>
        <v/>
      </c>
      <c r="U322" s="195">
        <f>Table33[[#This Row],[gal/100ft]]*Table33[[#This Row],[QTY]]/100</f>
        <v>0</v>
      </c>
      <c r="V322" s="547"/>
      <c r="W322" s="195"/>
      <c r="X322" s="195"/>
      <c r="Y322" s="195"/>
    </row>
    <row r="323" spans="1:28" ht="12.75" x14ac:dyDescent="0.2">
      <c r="A323" s="195" t="s">
        <v>593</v>
      </c>
      <c r="B323" s="195" t="s">
        <v>613</v>
      </c>
      <c r="C323" s="195" t="s">
        <v>622</v>
      </c>
      <c r="D323" s="216" t="s">
        <v>623</v>
      </c>
      <c r="E323" s="548"/>
      <c r="F323" s="540">
        <v>1.25</v>
      </c>
      <c r="G323" s="204"/>
      <c r="H323" s="197"/>
      <c r="I323" s="198"/>
      <c r="J323" s="205">
        <v>0.06</v>
      </c>
      <c r="K323" s="287">
        <v>0.06</v>
      </c>
      <c r="L323" s="206">
        <v>3.65</v>
      </c>
      <c r="M323" s="286">
        <v>3.65</v>
      </c>
      <c r="N323" s="552">
        <v>41791</v>
      </c>
      <c r="O323" s="205">
        <f t="shared" si="25"/>
        <v>0</v>
      </c>
      <c r="P323" s="555">
        <f>(1+$R$1)*Table33[[#This Row],[Hours]]</f>
        <v>0</v>
      </c>
      <c r="Q323" s="207">
        <f t="shared" si="24"/>
        <v>0</v>
      </c>
      <c r="R323" s="208">
        <f t="shared" si="26"/>
        <v>0</v>
      </c>
      <c r="S323" s="208">
        <f t="shared" si="27"/>
        <v>0</v>
      </c>
      <c r="T323" s="208" t="str">
        <f t="shared" si="28"/>
        <v/>
      </c>
      <c r="U323" s="195">
        <f>Table33[[#This Row],[gal/100ft]]*Table33[[#This Row],[QTY]]/100</f>
        <v>0</v>
      </c>
      <c r="V323" s="547"/>
      <c r="W323" s="195"/>
      <c r="X323" s="195"/>
      <c r="Y323" s="195"/>
    </row>
    <row r="324" spans="1:28" ht="12.75" x14ac:dyDescent="0.2">
      <c r="A324" s="195" t="s">
        <v>593</v>
      </c>
      <c r="B324" s="195" t="s">
        <v>613</v>
      </c>
      <c r="C324" s="195" t="s">
        <v>622</v>
      </c>
      <c r="D324" s="195" t="s">
        <v>623</v>
      </c>
      <c r="E324" s="288"/>
      <c r="F324" s="204">
        <v>1</v>
      </c>
      <c r="G324" s="204"/>
      <c r="H324" s="197"/>
      <c r="I324" s="198"/>
      <c r="J324" s="205">
        <v>0.05</v>
      </c>
      <c r="K324" s="287">
        <v>0.05</v>
      </c>
      <c r="L324" s="206">
        <v>5.26</v>
      </c>
      <c r="M324" s="286">
        <v>5.26</v>
      </c>
      <c r="N324" s="552">
        <v>41791</v>
      </c>
      <c r="O324" s="205">
        <f t="shared" si="25"/>
        <v>0</v>
      </c>
      <c r="P324" s="555">
        <f>(1+$R$1)*Table33[[#This Row],[Hours]]</f>
        <v>0</v>
      </c>
      <c r="Q324" s="207">
        <f t="shared" si="24"/>
        <v>0</v>
      </c>
      <c r="R324" s="208">
        <f t="shared" si="26"/>
        <v>0</v>
      </c>
      <c r="S324" s="208">
        <f t="shared" si="27"/>
        <v>0</v>
      </c>
      <c r="T324" s="208" t="str">
        <f t="shared" si="28"/>
        <v/>
      </c>
      <c r="U324" s="195">
        <f>Table33[[#This Row],[gal/100ft]]*Table33[[#This Row],[QTY]]/100</f>
        <v>0</v>
      </c>
      <c r="V324" s="195"/>
      <c r="W324" s="195"/>
      <c r="X324" s="195"/>
      <c r="Y324" s="195"/>
    </row>
    <row r="325" spans="1:28" ht="12.75" x14ac:dyDescent="0.2">
      <c r="A325" s="195" t="s">
        <v>593</v>
      </c>
      <c r="B325" s="536" t="s">
        <v>874</v>
      </c>
      <c r="C325" s="195" t="s">
        <v>622</v>
      </c>
      <c r="D325" s="195" t="s">
        <v>634</v>
      </c>
      <c r="E325" s="288"/>
      <c r="F325" s="204">
        <v>1.5</v>
      </c>
      <c r="G325" s="204"/>
      <c r="H325" s="197"/>
      <c r="I325" s="198"/>
      <c r="J325" s="205">
        <v>0.06</v>
      </c>
      <c r="K325" s="287">
        <v>0.06</v>
      </c>
      <c r="L325" s="206">
        <v>2.52</v>
      </c>
      <c r="M325" s="286">
        <v>2.52</v>
      </c>
      <c r="N325" s="552">
        <v>41791</v>
      </c>
      <c r="O325" s="205">
        <f t="shared" si="25"/>
        <v>0</v>
      </c>
      <c r="P325" s="555">
        <f>(1+$R$1)*Table33[[#This Row],[Hours]]</f>
        <v>0</v>
      </c>
      <c r="Q325" s="207">
        <f t="shared" si="24"/>
        <v>0</v>
      </c>
      <c r="R325" s="208">
        <f t="shared" si="26"/>
        <v>0</v>
      </c>
      <c r="S325" s="208">
        <f t="shared" si="27"/>
        <v>0</v>
      </c>
      <c r="T325" s="208" t="str">
        <f t="shared" si="28"/>
        <v/>
      </c>
      <c r="U325" s="195">
        <f>Table33[[#This Row],[gal/100ft]]*Table33[[#This Row],[QTY]]/100</f>
        <v>0</v>
      </c>
      <c r="V325" s="195"/>
      <c r="W325" s="195"/>
      <c r="X325" s="195"/>
      <c r="Y325" s="195"/>
    </row>
    <row r="326" spans="1:28" ht="12.75" x14ac:dyDescent="0.2">
      <c r="A326" s="195" t="s">
        <v>593</v>
      </c>
      <c r="B326" s="536" t="s">
        <v>874</v>
      </c>
      <c r="C326" s="195" t="s">
        <v>622</v>
      </c>
      <c r="D326" s="195" t="s">
        <v>634</v>
      </c>
      <c r="E326" s="288"/>
      <c r="F326" s="204">
        <v>0.75</v>
      </c>
      <c r="G326" s="204"/>
      <c r="H326" s="197"/>
      <c r="I326" s="198"/>
      <c r="J326" s="205">
        <v>0.05</v>
      </c>
      <c r="K326" s="287">
        <v>0.05</v>
      </c>
      <c r="L326" s="206">
        <v>1.24</v>
      </c>
      <c r="M326" s="286">
        <v>1.24</v>
      </c>
      <c r="N326" s="552">
        <v>41791</v>
      </c>
      <c r="O326" s="205">
        <f t="shared" si="25"/>
        <v>0</v>
      </c>
      <c r="P326" s="555">
        <f>(1+$R$1)*Table33[[#This Row],[Hours]]</f>
        <v>0</v>
      </c>
      <c r="Q326" s="207">
        <f t="shared" si="24"/>
        <v>0</v>
      </c>
      <c r="R326" s="208">
        <f t="shared" si="26"/>
        <v>0</v>
      </c>
      <c r="S326" s="208">
        <f t="shared" si="27"/>
        <v>0</v>
      </c>
      <c r="T326" s="208" t="str">
        <f t="shared" si="28"/>
        <v/>
      </c>
      <c r="U326" s="195">
        <f>Table33[[#This Row],[gal/100ft]]*Table33[[#This Row],[QTY]]/100</f>
        <v>0</v>
      </c>
      <c r="V326" s="195"/>
      <c r="W326" s="195"/>
      <c r="X326" s="195"/>
      <c r="Y326" s="195"/>
    </row>
    <row r="327" spans="1:28" ht="12.75" x14ac:dyDescent="0.2">
      <c r="A327" s="195" t="s">
        <v>593</v>
      </c>
      <c r="B327" s="536" t="s">
        <v>874</v>
      </c>
      <c r="C327" s="195" t="s">
        <v>622</v>
      </c>
      <c r="D327" s="195" t="s">
        <v>634</v>
      </c>
      <c r="E327" s="288"/>
      <c r="F327" s="204">
        <v>1.25</v>
      </c>
      <c r="G327" s="204"/>
      <c r="H327" s="197"/>
      <c r="I327" s="198"/>
      <c r="J327" s="205">
        <v>0.06</v>
      </c>
      <c r="K327" s="287">
        <v>0.06</v>
      </c>
      <c r="L327" s="206">
        <v>2.15</v>
      </c>
      <c r="M327" s="286">
        <v>2.15</v>
      </c>
      <c r="N327" s="552">
        <v>41791</v>
      </c>
      <c r="O327" s="205">
        <f t="shared" si="25"/>
        <v>0</v>
      </c>
      <c r="P327" s="555">
        <f>(1+$R$1)*Table33[[#This Row],[Hours]]</f>
        <v>0</v>
      </c>
      <c r="Q327" s="207">
        <f t="shared" ref="Q327:Q390" si="29">P327*$O$1</f>
        <v>0</v>
      </c>
      <c r="R327" s="208">
        <f t="shared" si="26"/>
        <v>0</v>
      </c>
      <c r="S327" s="208">
        <f t="shared" si="27"/>
        <v>0</v>
      </c>
      <c r="T327" s="208" t="str">
        <f t="shared" si="28"/>
        <v/>
      </c>
      <c r="U327" s="195">
        <f>Table33[[#This Row],[gal/100ft]]*Table33[[#This Row],[QTY]]/100</f>
        <v>0</v>
      </c>
      <c r="V327" s="195"/>
      <c r="W327" s="195"/>
      <c r="X327" s="195"/>
      <c r="Y327" s="195"/>
    </row>
    <row r="328" spans="1:28" ht="12.75" x14ac:dyDescent="0.2">
      <c r="A328" s="195" t="s">
        <v>593</v>
      </c>
      <c r="B328" s="536" t="s">
        <v>874</v>
      </c>
      <c r="C328" s="195" t="s">
        <v>622</v>
      </c>
      <c r="D328" s="195" t="s">
        <v>634</v>
      </c>
      <c r="E328" s="288"/>
      <c r="F328" s="204">
        <v>2</v>
      </c>
      <c r="G328" s="204"/>
      <c r="H328" s="197"/>
      <c r="I328" s="198"/>
      <c r="J328" s="205">
        <v>0.06</v>
      </c>
      <c r="K328" s="287">
        <v>0.06</v>
      </c>
      <c r="L328" s="206">
        <v>3.53</v>
      </c>
      <c r="M328" s="286">
        <v>3.53</v>
      </c>
      <c r="N328" s="552">
        <v>41791</v>
      </c>
      <c r="O328" s="205">
        <f t="shared" si="25"/>
        <v>0</v>
      </c>
      <c r="P328" s="555">
        <f>(1+$R$1)*Table33[[#This Row],[Hours]]</f>
        <v>0</v>
      </c>
      <c r="Q328" s="207">
        <f t="shared" si="29"/>
        <v>0</v>
      </c>
      <c r="R328" s="208">
        <f t="shared" si="26"/>
        <v>0</v>
      </c>
      <c r="S328" s="208">
        <f t="shared" si="27"/>
        <v>0</v>
      </c>
      <c r="T328" s="208" t="str">
        <f t="shared" si="28"/>
        <v/>
      </c>
      <c r="U328" s="195">
        <f>Table33[[#This Row],[gal/100ft]]*Table33[[#This Row],[QTY]]/100</f>
        <v>0</v>
      </c>
      <c r="V328" s="195"/>
      <c r="W328" s="195"/>
      <c r="X328" s="195"/>
      <c r="Y328" s="195"/>
    </row>
    <row r="329" spans="1:28" ht="12.75" x14ac:dyDescent="0.2">
      <c r="A329" s="195" t="s">
        <v>593</v>
      </c>
      <c r="B329" s="536" t="s">
        <v>874</v>
      </c>
      <c r="C329" s="195" t="s">
        <v>622</v>
      </c>
      <c r="D329" s="195" t="s">
        <v>634</v>
      </c>
      <c r="E329" s="288"/>
      <c r="F329" s="204">
        <v>1</v>
      </c>
      <c r="G329" s="204"/>
      <c r="H329" s="197"/>
      <c r="I329" s="198"/>
      <c r="J329" s="205">
        <v>0.05</v>
      </c>
      <c r="K329" s="287">
        <v>0.05</v>
      </c>
      <c r="L329" s="206">
        <v>1.72</v>
      </c>
      <c r="M329" s="286">
        <v>1.72</v>
      </c>
      <c r="N329" s="552">
        <v>41791</v>
      </c>
      <c r="O329" s="205">
        <f t="shared" si="25"/>
        <v>0</v>
      </c>
      <c r="P329" s="555">
        <f>(1+$R$1)*Table33[[#This Row],[Hours]]</f>
        <v>0</v>
      </c>
      <c r="Q329" s="207">
        <f t="shared" si="29"/>
        <v>0</v>
      </c>
      <c r="R329" s="208">
        <f t="shared" si="26"/>
        <v>0</v>
      </c>
      <c r="S329" s="208">
        <f t="shared" si="27"/>
        <v>0</v>
      </c>
      <c r="T329" s="208" t="str">
        <f t="shared" si="28"/>
        <v/>
      </c>
      <c r="U329" s="195">
        <f>Table33[[#This Row],[gal/100ft]]*Table33[[#This Row],[QTY]]/100</f>
        <v>0</v>
      </c>
      <c r="V329" s="195"/>
      <c r="W329" s="195"/>
      <c r="X329" s="195"/>
      <c r="Y329" s="195"/>
    </row>
    <row r="330" spans="1:28" ht="12.75" x14ac:dyDescent="0.2">
      <c r="A330" s="195" t="s">
        <v>593</v>
      </c>
      <c r="B330" s="536" t="s">
        <v>874</v>
      </c>
      <c r="C330" s="195" t="s">
        <v>622</v>
      </c>
      <c r="D330" s="195" t="s">
        <v>634</v>
      </c>
      <c r="E330" s="288"/>
      <c r="F330" s="204" t="s">
        <v>596</v>
      </c>
      <c r="G330" s="204"/>
      <c r="H330" s="197"/>
      <c r="I330" s="198"/>
      <c r="J330" s="205">
        <v>0.05</v>
      </c>
      <c r="K330" s="287">
        <v>0.05</v>
      </c>
      <c r="L330" s="206">
        <v>1.02</v>
      </c>
      <c r="M330" s="286">
        <v>1.02</v>
      </c>
      <c r="N330" s="552">
        <v>41791</v>
      </c>
      <c r="O330" s="205">
        <f t="shared" si="25"/>
        <v>0</v>
      </c>
      <c r="P330" s="555">
        <f>(1+$R$1)*Table33[[#This Row],[Hours]]</f>
        <v>0</v>
      </c>
      <c r="Q330" s="207">
        <f t="shared" si="29"/>
        <v>0</v>
      </c>
      <c r="R330" s="208">
        <f t="shared" si="26"/>
        <v>0</v>
      </c>
      <c r="S330" s="208">
        <f t="shared" si="27"/>
        <v>0</v>
      </c>
      <c r="T330" s="208" t="str">
        <f t="shared" si="28"/>
        <v/>
      </c>
      <c r="U330" s="195">
        <f>Table33[[#This Row],[gal/100ft]]*Table33[[#This Row],[QTY]]/100</f>
        <v>0</v>
      </c>
      <c r="V330" s="195"/>
      <c r="W330" s="195"/>
      <c r="X330" s="195"/>
      <c r="Y330" s="195"/>
    </row>
    <row r="331" spans="1:28" ht="12.75" x14ac:dyDescent="0.2">
      <c r="A331" s="536" t="s">
        <v>585</v>
      </c>
      <c r="B331" s="195" t="s">
        <v>585</v>
      </c>
      <c r="C331" s="195" t="s">
        <v>589</v>
      </c>
      <c r="D331" s="195" t="s">
        <v>590</v>
      </c>
      <c r="E331" s="288"/>
      <c r="F331" s="204" t="s">
        <v>588</v>
      </c>
      <c r="G331" s="204"/>
      <c r="H331" s="197"/>
      <c r="I331" s="198"/>
      <c r="J331" s="205"/>
      <c r="K331" s="287"/>
      <c r="L331" s="206"/>
      <c r="M331" s="286">
        <v>9.5000000000000001E-2</v>
      </c>
      <c r="N331" s="552">
        <v>41791</v>
      </c>
      <c r="O331" s="205">
        <f t="shared" si="25"/>
        <v>0</v>
      </c>
      <c r="P331" s="555">
        <f>(1+$R$1)*Table33[[#This Row],[Hours]]</f>
        <v>0</v>
      </c>
      <c r="Q331" s="207">
        <f t="shared" si="29"/>
        <v>0</v>
      </c>
      <c r="R331" s="208">
        <f t="shared" si="26"/>
        <v>0</v>
      </c>
      <c r="S331" s="208">
        <f t="shared" si="27"/>
        <v>0</v>
      </c>
      <c r="T331" s="208" t="str">
        <f t="shared" si="28"/>
        <v/>
      </c>
      <c r="U331" s="195">
        <f>Table33[[#This Row],[gal/100ft]]*Table33[[#This Row],[QTY]]/100</f>
        <v>0</v>
      </c>
      <c r="V331" s="195"/>
      <c r="W331" s="195"/>
      <c r="X331" s="195"/>
      <c r="Y331" s="195"/>
    </row>
    <row r="332" spans="1:28" ht="12.75" x14ac:dyDescent="0.2">
      <c r="A332" s="536" t="s">
        <v>585</v>
      </c>
      <c r="B332" s="195" t="s">
        <v>585</v>
      </c>
      <c r="C332" s="195" t="s">
        <v>589</v>
      </c>
      <c r="D332" s="195" t="s">
        <v>601</v>
      </c>
      <c r="E332" s="288"/>
      <c r="F332" s="204">
        <v>0.375</v>
      </c>
      <c r="G332" s="204"/>
      <c r="H332" s="197"/>
      <c r="I332" s="198"/>
      <c r="J332" s="205"/>
      <c r="K332" s="287"/>
      <c r="L332" s="206"/>
      <c r="M332" s="286">
        <v>0.04</v>
      </c>
      <c r="N332" s="552">
        <v>41791</v>
      </c>
      <c r="O332" s="205">
        <f t="shared" si="25"/>
        <v>0</v>
      </c>
      <c r="P332" s="555">
        <f>(1+$R$1)*Table33[[#This Row],[Hours]]</f>
        <v>0</v>
      </c>
      <c r="Q332" s="207">
        <f t="shared" si="29"/>
        <v>0</v>
      </c>
      <c r="R332" s="208">
        <f t="shared" si="26"/>
        <v>0</v>
      </c>
      <c r="S332" s="208">
        <f t="shared" si="27"/>
        <v>0</v>
      </c>
      <c r="T332" s="208" t="str">
        <f t="shared" si="28"/>
        <v/>
      </c>
      <c r="U332" s="195">
        <f>Table33[[#This Row],[gal/100ft]]*Table33[[#This Row],[QTY]]/100</f>
        <v>0</v>
      </c>
      <c r="V332" s="195"/>
      <c r="W332" s="195"/>
      <c r="X332" s="195"/>
      <c r="Y332" s="195"/>
    </row>
    <row r="333" spans="1:28" ht="12.75" x14ac:dyDescent="0.2">
      <c r="A333" s="195" t="s">
        <v>606</v>
      </c>
      <c r="B333" s="195" t="s">
        <v>605</v>
      </c>
      <c r="C333" s="218" t="s">
        <v>684</v>
      </c>
      <c r="D333" s="218" t="s">
        <v>683</v>
      </c>
      <c r="E333" s="288"/>
      <c r="F333" s="204">
        <v>2.5</v>
      </c>
      <c r="G333" s="204" t="s">
        <v>576</v>
      </c>
      <c r="H333" s="197">
        <v>0.75</v>
      </c>
      <c r="I333" s="198"/>
      <c r="J333" s="205">
        <v>1</v>
      </c>
      <c r="K333" s="287">
        <v>0.11600000000000001</v>
      </c>
      <c r="L333" s="206"/>
      <c r="M333" s="286">
        <v>15.25</v>
      </c>
      <c r="N333" s="552">
        <v>41791</v>
      </c>
      <c r="O333" s="205">
        <f t="shared" si="25"/>
        <v>0</v>
      </c>
      <c r="P333" s="555">
        <f>(1+$R$1)*Table33[[#This Row],[Hours]]</f>
        <v>0</v>
      </c>
      <c r="Q333" s="207">
        <f t="shared" si="29"/>
        <v>0</v>
      </c>
      <c r="R333" s="208">
        <f t="shared" si="26"/>
        <v>0</v>
      </c>
      <c r="S333" s="208">
        <f t="shared" si="27"/>
        <v>0</v>
      </c>
      <c r="T333" s="208" t="str">
        <f t="shared" si="28"/>
        <v/>
      </c>
      <c r="U333" s="195">
        <f>Table33[[#This Row],[gal/100ft]]*Table33[[#This Row],[QTY]]/100</f>
        <v>0</v>
      </c>
      <c r="V333" s="195"/>
      <c r="W333" s="195"/>
      <c r="X333" s="195"/>
      <c r="Y333" s="195"/>
    </row>
    <row r="334" spans="1:28" ht="12.75" x14ac:dyDescent="0.2">
      <c r="A334" s="195" t="s">
        <v>606</v>
      </c>
      <c r="B334" s="195" t="s">
        <v>605</v>
      </c>
      <c r="C334" s="218" t="s">
        <v>684</v>
      </c>
      <c r="D334" s="218" t="s">
        <v>685</v>
      </c>
      <c r="E334" s="288"/>
      <c r="F334" s="204">
        <v>4</v>
      </c>
      <c r="G334" s="204" t="s">
        <v>576</v>
      </c>
      <c r="H334" s="197">
        <v>0.75</v>
      </c>
      <c r="I334" s="198"/>
      <c r="J334" s="205">
        <v>1</v>
      </c>
      <c r="K334" s="287">
        <v>0.11600000000000001</v>
      </c>
      <c r="L334" s="206">
        <v>16.63</v>
      </c>
      <c r="M334" s="286">
        <v>16.63</v>
      </c>
      <c r="N334" s="552">
        <v>41791</v>
      </c>
      <c r="O334" s="205">
        <f t="shared" si="25"/>
        <v>0</v>
      </c>
      <c r="P334" s="555">
        <f>(1+$R$1)*Table33[[#This Row],[Hours]]</f>
        <v>0</v>
      </c>
      <c r="Q334" s="207">
        <f t="shared" si="29"/>
        <v>0</v>
      </c>
      <c r="R334" s="208">
        <f t="shared" si="26"/>
        <v>0</v>
      </c>
      <c r="S334" s="208">
        <f t="shared" si="27"/>
        <v>0</v>
      </c>
      <c r="T334" s="208" t="str">
        <f t="shared" si="28"/>
        <v/>
      </c>
      <c r="U334" s="195">
        <f>Table33[[#This Row],[gal/100ft]]*Table33[[#This Row],[QTY]]/100</f>
        <v>0</v>
      </c>
      <c r="V334" s="195"/>
      <c r="W334" s="195"/>
      <c r="X334" s="195"/>
      <c r="Y334" s="195"/>
    </row>
    <row r="335" spans="1:28" ht="12.75" x14ac:dyDescent="0.2">
      <c r="A335" s="195" t="s">
        <v>606</v>
      </c>
      <c r="B335" s="195" t="s">
        <v>605</v>
      </c>
      <c r="C335" s="218" t="s">
        <v>684</v>
      </c>
      <c r="D335" s="218" t="s">
        <v>685</v>
      </c>
      <c r="E335" s="288"/>
      <c r="F335" s="204">
        <v>4</v>
      </c>
      <c r="G335" s="204" t="s">
        <v>576</v>
      </c>
      <c r="H335" s="197">
        <v>0.5</v>
      </c>
      <c r="I335" s="198"/>
      <c r="J335" s="205">
        <v>1</v>
      </c>
      <c r="K335" s="287">
        <v>0.11</v>
      </c>
      <c r="L335" s="206">
        <v>16.63</v>
      </c>
      <c r="M335" s="286">
        <v>16.63</v>
      </c>
      <c r="N335" s="552">
        <v>41791</v>
      </c>
      <c r="O335" s="205">
        <f t="shared" si="25"/>
        <v>0</v>
      </c>
      <c r="P335" s="555">
        <f>(1+$R$1)*Table33[[#This Row],[Hours]]</f>
        <v>0</v>
      </c>
      <c r="Q335" s="207">
        <f t="shared" si="29"/>
        <v>0</v>
      </c>
      <c r="R335" s="208">
        <f t="shared" si="26"/>
        <v>0</v>
      </c>
      <c r="S335" s="208">
        <f t="shared" si="27"/>
        <v>0</v>
      </c>
      <c r="T335" s="208" t="str">
        <f t="shared" si="28"/>
        <v/>
      </c>
      <c r="U335" s="195">
        <f>Table33[[#This Row],[gal/100ft]]*Table33[[#This Row],[QTY]]/100</f>
        <v>0</v>
      </c>
      <c r="V335" s="195"/>
      <c r="W335" s="195"/>
      <c r="X335" s="197"/>
      <c r="Y335" s="197"/>
      <c r="Z335" s="197"/>
      <c r="AA335" s="211"/>
      <c r="AB335" s="212"/>
    </row>
    <row r="336" spans="1:28" ht="12.75" x14ac:dyDescent="0.2">
      <c r="A336" s="195" t="s">
        <v>606</v>
      </c>
      <c r="B336" s="195" t="s">
        <v>605</v>
      </c>
      <c r="C336" s="218" t="s">
        <v>684</v>
      </c>
      <c r="D336" s="218" t="s">
        <v>685</v>
      </c>
      <c r="E336" s="288"/>
      <c r="F336" s="204">
        <v>4</v>
      </c>
      <c r="G336" s="204" t="s">
        <v>576</v>
      </c>
      <c r="H336" s="197">
        <v>1</v>
      </c>
      <c r="I336" s="198"/>
      <c r="J336" s="205">
        <v>1</v>
      </c>
      <c r="K336" s="287">
        <v>0.13800000000000001</v>
      </c>
      <c r="L336" s="206">
        <v>16.63</v>
      </c>
      <c r="M336" s="286">
        <v>16.63</v>
      </c>
      <c r="N336" s="552">
        <v>41791</v>
      </c>
      <c r="O336" s="205">
        <f t="shared" si="25"/>
        <v>0</v>
      </c>
      <c r="P336" s="555">
        <f>(1+$R$1)*Table33[[#This Row],[Hours]]</f>
        <v>0</v>
      </c>
      <c r="Q336" s="207">
        <f t="shared" si="29"/>
        <v>0</v>
      </c>
      <c r="R336" s="208">
        <f t="shared" si="26"/>
        <v>0</v>
      </c>
      <c r="S336" s="208">
        <f t="shared" si="27"/>
        <v>0</v>
      </c>
      <c r="T336" s="208" t="str">
        <f t="shared" si="28"/>
        <v/>
      </c>
      <c r="U336" s="195">
        <f>Table33[[#This Row],[gal/100ft]]*Table33[[#This Row],[QTY]]/100</f>
        <v>0</v>
      </c>
      <c r="V336" s="195"/>
      <c r="W336" s="195"/>
      <c r="X336" s="197"/>
      <c r="Y336" s="197"/>
      <c r="Z336" s="197"/>
      <c r="AA336" s="211"/>
      <c r="AB336" s="212"/>
    </row>
    <row r="337" spans="1:28" ht="12.75" x14ac:dyDescent="0.2">
      <c r="A337" s="195" t="s">
        <v>606</v>
      </c>
      <c r="B337" s="195" t="s">
        <v>605</v>
      </c>
      <c r="C337" s="218" t="s">
        <v>684</v>
      </c>
      <c r="D337" s="218" t="s">
        <v>685</v>
      </c>
      <c r="E337" s="288"/>
      <c r="F337" s="204">
        <v>4</v>
      </c>
      <c r="G337" s="204" t="s">
        <v>576</v>
      </c>
      <c r="H337" s="197">
        <v>1</v>
      </c>
      <c r="I337" s="198"/>
      <c r="J337" s="205">
        <v>1</v>
      </c>
      <c r="K337" s="287">
        <v>0.13800000000000001</v>
      </c>
      <c r="L337" s="206">
        <v>16.63</v>
      </c>
      <c r="M337" s="286">
        <v>16.63</v>
      </c>
      <c r="N337" s="552">
        <v>41791</v>
      </c>
      <c r="O337" s="205">
        <f t="shared" si="25"/>
        <v>0</v>
      </c>
      <c r="P337" s="555">
        <f>(1+$R$1)*Table33[[#This Row],[Hours]]</f>
        <v>0</v>
      </c>
      <c r="Q337" s="207">
        <f t="shared" si="29"/>
        <v>0</v>
      </c>
      <c r="R337" s="208">
        <f t="shared" si="26"/>
        <v>0</v>
      </c>
      <c r="S337" s="208">
        <f t="shared" si="27"/>
        <v>0</v>
      </c>
      <c r="T337" s="208" t="str">
        <f t="shared" si="28"/>
        <v/>
      </c>
      <c r="U337" s="195">
        <f>Table33[[#This Row],[gal/100ft]]*Table33[[#This Row],[QTY]]/100</f>
        <v>0</v>
      </c>
      <c r="V337" s="195"/>
      <c r="W337" s="195"/>
      <c r="X337" s="197"/>
      <c r="Y337" s="197"/>
      <c r="Z337" s="197"/>
      <c r="AA337" s="211"/>
      <c r="AB337" s="212"/>
    </row>
    <row r="338" spans="1:28" ht="12.75" x14ac:dyDescent="0.2">
      <c r="A338" s="195" t="s">
        <v>606</v>
      </c>
      <c r="B338" s="195" t="s">
        <v>605</v>
      </c>
      <c r="C338" s="218" t="s">
        <v>684</v>
      </c>
      <c r="D338" s="218" t="s">
        <v>685</v>
      </c>
      <c r="E338" s="288"/>
      <c r="F338" s="204">
        <v>4</v>
      </c>
      <c r="G338" s="204" t="s">
        <v>576</v>
      </c>
      <c r="H338" s="197">
        <v>1</v>
      </c>
      <c r="I338" s="198"/>
      <c r="J338" s="205">
        <v>1</v>
      </c>
      <c r="K338" s="287">
        <v>0.13800000000000001</v>
      </c>
      <c r="L338" s="206">
        <v>16.63</v>
      </c>
      <c r="M338" s="286">
        <v>16.63</v>
      </c>
      <c r="N338" s="552">
        <v>41791</v>
      </c>
      <c r="O338" s="205">
        <f t="shared" si="25"/>
        <v>0</v>
      </c>
      <c r="P338" s="555">
        <f>(1+$R$1)*Table33[[#This Row],[Hours]]</f>
        <v>0</v>
      </c>
      <c r="Q338" s="207">
        <f t="shared" si="29"/>
        <v>0</v>
      </c>
      <c r="R338" s="208">
        <f t="shared" si="26"/>
        <v>0</v>
      </c>
      <c r="S338" s="208">
        <f t="shared" si="27"/>
        <v>0</v>
      </c>
      <c r="T338" s="208" t="str">
        <f t="shared" si="28"/>
        <v/>
      </c>
      <c r="U338" s="195">
        <f>Table33[[#This Row],[gal/100ft]]*Table33[[#This Row],[QTY]]/100</f>
        <v>0</v>
      </c>
      <c r="V338" s="195"/>
      <c r="W338" s="195"/>
      <c r="X338" s="197"/>
      <c r="Y338" s="197"/>
      <c r="Z338" s="197"/>
      <c r="AA338" s="211"/>
      <c r="AB338" s="212"/>
    </row>
    <row r="339" spans="1:28" ht="12.75" x14ac:dyDescent="0.2">
      <c r="A339" s="195" t="s">
        <v>643</v>
      </c>
      <c r="B339" s="195" t="s">
        <v>643</v>
      </c>
      <c r="C339" s="195" t="s">
        <v>643</v>
      </c>
      <c r="D339" s="195" t="s">
        <v>655</v>
      </c>
      <c r="E339" s="288"/>
      <c r="F339" s="204">
        <v>0.5</v>
      </c>
      <c r="G339" s="204"/>
      <c r="H339" s="197"/>
      <c r="I339" s="198"/>
      <c r="J339" s="205">
        <v>7.0000000000000007E-2</v>
      </c>
      <c r="K339" s="287">
        <v>7.0000000000000007E-2</v>
      </c>
      <c r="L339" s="206">
        <v>2.54</v>
      </c>
      <c r="M339" s="286">
        <v>2.54</v>
      </c>
      <c r="N339" s="552">
        <v>41791</v>
      </c>
      <c r="O339" s="205">
        <f t="shared" si="25"/>
        <v>0</v>
      </c>
      <c r="P339" s="555">
        <f>(1+$R$1)*Table33[[#This Row],[Hours]]</f>
        <v>0</v>
      </c>
      <c r="Q339" s="207">
        <f t="shared" si="29"/>
        <v>0</v>
      </c>
      <c r="R339" s="208">
        <f t="shared" si="26"/>
        <v>0</v>
      </c>
      <c r="S339" s="208">
        <f t="shared" si="27"/>
        <v>0</v>
      </c>
      <c r="T339" s="208" t="str">
        <f t="shared" si="28"/>
        <v/>
      </c>
      <c r="U339" s="195">
        <f>Table33[[#This Row],[gal/100ft]]*Table33[[#This Row],[QTY]]/100</f>
        <v>0</v>
      </c>
      <c r="V339" s="195"/>
      <c r="W339" s="195"/>
      <c r="X339" s="197"/>
      <c r="Y339" s="197"/>
      <c r="Z339" s="197"/>
      <c r="AA339" s="211"/>
      <c r="AB339" s="212"/>
    </row>
    <row r="340" spans="1:28" ht="12.75" x14ac:dyDescent="0.2">
      <c r="A340" s="195" t="s">
        <v>643</v>
      </c>
      <c r="B340" s="195" t="s">
        <v>643</v>
      </c>
      <c r="C340" s="195" t="s">
        <v>643</v>
      </c>
      <c r="D340" s="195" t="s">
        <v>655</v>
      </c>
      <c r="E340" s="288"/>
      <c r="F340" s="204">
        <v>0.75</v>
      </c>
      <c r="G340" s="204"/>
      <c r="H340" s="197"/>
      <c r="I340" s="198"/>
      <c r="J340" s="205">
        <v>0.08</v>
      </c>
      <c r="K340" s="287">
        <v>0.08</v>
      </c>
      <c r="L340" s="206">
        <v>4.6100000000000003</v>
      </c>
      <c r="M340" s="286">
        <v>4.6100000000000003</v>
      </c>
      <c r="N340" s="552">
        <v>41791</v>
      </c>
      <c r="O340" s="205">
        <f t="shared" si="25"/>
        <v>0</v>
      </c>
      <c r="P340" s="555">
        <f>(1+$R$1)*Table33[[#This Row],[Hours]]</f>
        <v>0</v>
      </c>
      <c r="Q340" s="207">
        <f t="shared" si="29"/>
        <v>0</v>
      </c>
      <c r="R340" s="208">
        <f t="shared" si="26"/>
        <v>0</v>
      </c>
      <c r="S340" s="208">
        <f t="shared" si="27"/>
        <v>0</v>
      </c>
      <c r="T340" s="208" t="str">
        <f t="shared" si="28"/>
        <v/>
      </c>
      <c r="U340" s="195">
        <f>Table33[[#This Row],[gal/100ft]]*Table33[[#This Row],[QTY]]/100</f>
        <v>0</v>
      </c>
      <c r="V340" s="195"/>
      <c r="W340" s="195"/>
      <c r="X340" s="197"/>
      <c r="Y340" s="197"/>
      <c r="Z340" s="197"/>
      <c r="AA340" s="211"/>
      <c r="AB340" s="212"/>
    </row>
    <row r="341" spans="1:28" ht="12.75" x14ac:dyDescent="0.2">
      <c r="A341" s="195" t="s">
        <v>643</v>
      </c>
      <c r="B341" s="195" t="s">
        <v>643</v>
      </c>
      <c r="C341" s="195" t="s">
        <v>643</v>
      </c>
      <c r="D341" s="195" t="s">
        <v>655</v>
      </c>
      <c r="E341" s="288"/>
      <c r="F341" s="204">
        <v>1</v>
      </c>
      <c r="G341" s="204"/>
      <c r="H341" s="197"/>
      <c r="I341" s="198"/>
      <c r="J341" s="205">
        <v>0.1</v>
      </c>
      <c r="K341" s="287">
        <v>0.1</v>
      </c>
      <c r="L341" s="206">
        <v>9.52</v>
      </c>
      <c r="M341" s="286">
        <v>9.52</v>
      </c>
      <c r="N341" s="552">
        <v>41791</v>
      </c>
      <c r="O341" s="205">
        <f t="shared" si="25"/>
        <v>0</v>
      </c>
      <c r="P341" s="555">
        <f>(1+$R$1)*Table33[[#This Row],[Hours]]</f>
        <v>0</v>
      </c>
      <c r="Q341" s="207">
        <f t="shared" si="29"/>
        <v>0</v>
      </c>
      <c r="R341" s="208">
        <f t="shared" si="26"/>
        <v>0</v>
      </c>
      <c r="S341" s="208">
        <f t="shared" si="27"/>
        <v>0</v>
      </c>
      <c r="T341" s="208" t="str">
        <f t="shared" si="28"/>
        <v/>
      </c>
      <c r="U341" s="195">
        <f>Table33[[#This Row],[gal/100ft]]*Table33[[#This Row],[QTY]]/100</f>
        <v>0</v>
      </c>
      <c r="V341" s="195"/>
      <c r="W341" s="195"/>
      <c r="X341" s="197"/>
      <c r="Y341" s="197"/>
      <c r="Z341" s="197"/>
      <c r="AA341" s="211"/>
      <c r="AB341" s="212"/>
    </row>
    <row r="342" spans="1:28" ht="12.75" x14ac:dyDescent="0.2">
      <c r="A342" s="195" t="s">
        <v>643</v>
      </c>
      <c r="B342" s="195" t="s">
        <v>643</v>
      </c>
      <c r="C342" s="195" t="s">
        <v>643</v>
      </c>
      <c r="D342" s="195" t="s">
        <v>655</v>
      </c>
      <c r="E342" s="288"/>
      <c r="F342" s="204">
        <v>1.25</v>
      </c>
      <c r="G342" s="204"/>
      <c r="H342" s="197"/>
      <c r="I342" s="198"/>
      <c r="J342" s="205">
        <v>0.12</v>
      </c>
      <c r="K342" s="287">
        <v>0.12</v>
      </c>
      <c r="L342" s="206">
        <v>30</v>
      </c>
      <c r="M342" s="286">
        <v>30</v>
      </c>
      <c r="N342" s="552">
        <v>41791</v>
      </c>
      <c r="O342" s="205">
        <f t="shared" si="25"/>
        <v>0</v>
      </c>
      <c r="P342" s="555">
        <f>(1+$R$1)*Table33[[#This Row],[Hours]]</f>
        <v>0</v>
      </c>
      <c r="Q342" s="207">
        <f t="shared" si="29"/>
        <v>0</v>
      </c>
      <c r="R342" s="208">
        <f t="shared" si="26"/>
        <v>0</v>
      </c>
      <c r="S342" s="208">
        <f t="shared" si="27"/>
        <v>0</v>
      </c>
      <c r="T342" s="208" t="str">
        <f t="shared" si="28"/>
        <v/>
      </c>
      <c r="U342" s="195">
        <f>Table33[[#This Row],[gal/100ft]]*Table33[[#This Row],[QTY]]/100</f>
        <v>0</v>
      </c>
      <c r="V342" s="195"/>
      <c r="W342" s="195"/>
      <c r="X342" s="197"/>
      <c r="Y342" s="197"/>
      <c r="Z342" s="197"/>
      <c r="AA342" s="211"/>
      <c r="AB342" s="212"/>
    </row>
    <row r="343" spans="1:28" ht="12.75" x14ac:dyDescent="0.2">
      <c r="A343" s="195" t="s">
        <v>643</v>
      </c>
      <c r="B343" s="195" t="s">
        <v>643</v>
      </c>
      <c r="C343" s="195" t="s">
        <v>643</v>
      </c>
      <c r="D343" s="195" t="s">
        <v>655</v>
      </c>
      <c r="E343" s="288"/>
      <c r="F343" s="204">
        <v>1.5</v>
      </c>
      <c r="G343" s="204"/>
      <c r="H343" s="197"/>
      <c r="I343" s="198"/>
      <c r="J343" s="205">
        <v>0.13</v>
      </c>
      <c r="K343" s="287">
        <v>0.13</v>
      </c>
      <c r="L343" s="206">
        <v>40</v>
      </c>
      <c r="M343" s="286">
        <v>40</v>
      </c>
      <c r="N343" s="552">
        <v>41791</v>
      </c>
      <c r="O343" s="205">
        <f t="shared" ref="O343:O406" si="30">K343*E343</f>
        <v>0</v>
      </c>
      <c r="P343" s="555">
        <f>(1+$R$1)*Table33[[#This Row],[Hours]]</f>
        <v>0</v>
      </c>
      <c r="Q343" s="207">
        <f t="shared" si="29"/>
        <v>0</v>
      </c>
      <c r="R343" s="208">
        <f t="shared" ref="R343:R406" si="31">M343*E343</f>
        <v>0</v>
      </c>
      <c r="S343" s="208">
        <f t="shared" ref="S343:S406" si="32">R343+Q343</f>
        <v>0</v>
      </c>
      <c r="T343" s="208" t="str">
        <f t="shared" ref="T343:T406" si="33">IF(E343="","",S343/E343)</f>
        <v/>
      </c>
      <c r="U343" s="195">
        <f>Table33[[#This Row],[gal/100ft]]*Table33[[#This Row],[QTY]]/100</f>
        <v>0</v>
      </c>
      <c r="V343" s="195"/>
      <c r="W343" s="195"/>
      <c r="X343" s="197"/>
      <c r="Y343" s="197"/>
      <c r="Z343" s="197"/>
      <c r="AA343" s="211"/>
      <c r="AB343" s="212"/>
    </row>
    <row r="344" spans="1:28" ht="12.75" x14ac:dyDescent="0.2">
      <c r="A344" s="195" t="s">
        <v>643</v>
      </c>
      <c r="B344" s="195" t="s">
        <v>643</v>
      </c>
      <c r="C344" s="195" t="s">
        <v>643</v>
      </c>
      <c r="D344" s="195" t="s">
        <v>655</v>
      </c>
      <c r="E344" s="288"/>
      <c r="F344" s="204">
        <v>2</v>
      </c>
      <c r="G344" s="204"/>
      <c r="H344" s="197"/>
      <c r="I344" s="198"/>
      <c r="J344" s="205">
        <v>0.16</v>
      </c>
      <c r="K344" s="287">
        <v>0.16</v>
      </c>
      <c r="L344" s="206">
        <v>101.7</v>
      </c>
      <c r="M344" s="286">
        <v>101.7</v>
      </c>
      <c r="N344" s="552">
        <v>41791</v>
      </c>
      <c r="O344" s="205">
        <f t="shared" si="30"/>
        <v>0</v>
      </c>
      <c r="P344" s="555">
        <f>(1+$R$1)*Table33[[#This Row],[Hours]]</f>
        <v>0</v>
      </c>
      <c r="Q344" s="207">
        <f t="shared" si="29"/>
        <v>0</v>
      </c>
      <c r="R344" s="208">
        <f t="shared" si="31"/>
        <v>0</v>
      </c>
      <c r="S344" s="208">
        <f t="shared" si="32"/>
        <v>0</v>
      </c>
      <c r="T344" s="208" t="str">
        <f t="shared" si="33"/>
        <v/>
      </c>
      <c r="U344" s="195">
        <f>Table33[[#This Row],[gal/100ft]]*Table33[[#This Row],[QTY]]/100</f>
        <v>0</v>
      </c>
      <c r="V344" s="195"/>
      <c r="W344" s="195"/>
      <c r="X344" s="197"/>
      <c r="Y344" s="197"/>
      <c r="Z344" s="197"/>
      <c r="AA344" s="211"/>
      <c r="AB344" s="212"/>
    </row>
    <row r="345" spans="1:28" ht="12.75" x14ac:dyDescent="0.2">
      <c r="A345" s="195" t="s">
        <v>643</v>
      </c>
      <c r="B345" s="195" t="s">
        <v>652</v>
      </c>
      <c r="C345" s="195" t="s">
        <v>653</v>
      </c>
      <c r="D345" s="195" t="s">
        <v>654</v>
      </c>
      <c r="E345" s="288"/>
      <c r="F345" s="204">
        <v>0.75</v>
      </c>
      <c r="G345" s="204"/>
      <c r="H345" s="197"/>
      <c r="I345" s="198"/>
      <c r="J345" s="205"/>
      <c r="K345" s="287"/>
      <c r="L345" s="206"/>
      <c r="M345" s="286">
        <v>20</v>
      </c>
      <c r="N345" s="552">
        <v>41791</v>
      </c>
      <c r="O345" s="205">
        <f t="shared" si="30"/>
        <v>0</v>
      </c>
      <c r="P345" s="555">
        <f>(1+$R$1)*Table33[[#This Row],[Hours]]</f>
        <v>0</v>
      </c>
      <c r="Q345" s="207">
        <f t="shared" si="29"/>
        <v>0</v>
      </c>
      <c r="R345" s="208">
        <f t="shared" si="31"/>
        <v>0</v>
      </c>
      <c r="S345" s="208">
        <f t="shared" si="32"/>
        <v>0</v>
      </c>
      <c r="T345" s="208" t="str">
        <f t="shared" si="33"/>
        <v/>
      </c>
      <c r="U345" s="195">
        <f>Table33[[#This Row],[gal/100ft]]*Table33[[#This Row],[QTY]]/100</f>
        <v>0</v>
      </c>
      <c r="V345" s="195"/>
      <c r="W345" s="195"/>
      <c r="X345" s="197"/>
      <c r="Y345" s="197"/>
      <c r="Z345" s="197"/>
      <c r="AA345" s="211"/>
      <c r="AB345" s="212"/>
    </row>
    <row r="346" spans="1:28" ht="12.75" x14ac:dyDescent="0.2">
      <c r="A346" s="195" t="s">
        <v>643</v>
      </c>
      <c r="B346" s="195" t="s">
        <v>652</v>
      </c>
      <c r="C346" s="195" t="s">
        <v>653</v>
      </c>
      <c r="D346" s="195" t="s">
        <v>654</v>
      </c>
      <c r="E346" s="288"/>
      <c r="F346" s="204">
        <v>1</v>
      </c>
      <c r="G346" s="204"/>
      <c r="H346" s="197"/>
      <c r="I346" s="198"/>
      <c r="J346" s="205"/>
      <c r="K346" s="287"/>
      <c r="L346" s="206"/>
      <c r="M346" s="286">
        <v>21</v>
      </c>
      <c r="N346" s="552">
        <v>41791</v>
      </c>
      <c r="O346" s="205">
        <f t="shared" si="30"/>
        <v>0</v>
      </c>
      <c r="P346" s="555">
        <f>(1+$R$1)*Table33[[#This Row],[Hours]]</f>
        <v>0</v>
      </c>
      <c r="Q346" s="207">
        <f t="shared" si="29"/>
        <v>0</v>
      </c>
      <c r="R346" s="208">
        <f t="shared" si="31"/>
        <v>0</v>
      </c>
      <c r="S346" s="208">
        <f t="shared" si="32"/>
        <v>0</v>
      </c>
      <c r="T346" s="208" t="str">
        <f t="shared" si="33"/>
        <v/>
      </c>
      <c r="U346" s="195">
        <f>Table33[[#This Row],[gal/100ft]]*Table33[[#This Row],[QTY]]/100</f>
        <v>0</v>
      </c>
      <c r="V346" s="195"/>
      <c r="W346" s="195"/>
      <c r="X346" s="197"/>
      <c r="Y346" s="197"/>
      <c r="Z346" s="197"/>
      <c r="AA346" s="211"/>
      <c r="AB346" s="212"/>
    </row>
    <row r="347" spans="1:28" ht="12.75" x14ac:dyDescent="0.2">
      <c r="A347" s="195" t="s">
        <v>606</v>
      </c>
      <c r="B347" s="195" t="s">
        <v>605</v>
      </c>
      <c r="C347" s="536" t="s">
        <v>604</v>
      </c>
      <c r="D347" s="195" t="s">
        <v>607</v>
      </c>
      <c r="E347" s="288"/>
      <c r="F347" s="204">
        <v>1</v>
      </c>
      <c r="G347" s="204"/>
      <c r="H347" s="197"/>
      <c r="I347" s="198">
        <v>4.5</v>
      </c>
      <c r="J347" s="205">
        <v>7.0000000000000007E-2</v>
      </c>
      <c r="K347" s="287">
        <v>7.0000000000000007E-2</v>
      </c>
      <c r="L347" s="206">
        <v>2.1</v>
      </c>
      <c r="M347" s="286">
        <v>2.1</v>
      </c>
      <c r="N347" s="552">
        <v>41791</v>
      </c>
      <c r="O347" s="205">
        <f t="shared" si="30"/>
        <v>0</v>
      </c>
      <c r="P347" s="555">
        <f>(1+$R$1)*Table33[[#This Row],[Hours]]</f>
        <v>0</v>
      </c>
      <c r="Q347" s="207">
        <f t="shared" si="29"/>
        <v>0</v>
      </c>
      <c r="R347" s="208">
        <f t="shared" si="31"/>
        <v>0</v>
      </c>
      <c r="S347" s="208">
        <f t="shared" si="32"/>
        <v>0</v>
      </c>
      <c r="T347" s="208" t="str">
        <f t="shared" si="33"/>
        <v/>
      </c>
      <c r="U347" s="195">
        <f>Table33[[#This Row],[gal/100ft]]*Table33[[#This Row],[QTY]]/100</f>
        <v>0</v>
      </c>
      <c r="V347" s="195"/>
      <c r="W347" s="195"/>
      <c r="X347" s="197"/>
      <c r="Y347" s="197"/>
      <c r="Z347" s="197"/>
      <c r="AA347" s="211"/>
      <c r="AB347" s="212"/>
    </row>
    <row r="348" spans="1:28" ht="12.75" x14ac:dyDescent="0.2">
      <c r="A348" s="195" t="s">
        <v>606</v>
      </c>
      <c r="B348" s="195" t="s">
        <v>605</v>
      </c>
      <c r="C348" s="536" t="s">
        <v>604</v>
      </c>
      <c r="D348" s="195" t="s">
        <v>607</v>
      </c>
      <c r="E348" s="288"/>
      <c r="F348" s="204">
        <v>1.25</v>
      </c>
      <c r="G348" s="204"/>
      <c r="H348" s="197"/>
      <c r="I348" s="198">
        <v>7.8</v>
      </c>
      <c r="J348" s="205">
        <v>7.0000000000000007E-2</v>
      </c>
      <c r="K348" s="287">
        <v>7.0000000000000007E-2</v>
      </c>
      <c r="L348" s="206">
        <v>3.17</v>
      </c>
      <c r="M348" s="286">
        <v>3.17</v>
      </c>
      <c r="N348" s="552">
        <v>41791</v>
      </c>
      <c r="O348" s="205">
        <f t="shared" si="30"/>
        <v>0</v>
      </c>
      <c r="P348" s="555">
        <f>(1+$R$1)*Table33[[#This Row],[Hours]]</f>
        <v>0</v>
      </c>
      <c r="Q348" s="207">
        <f t="shared" si="29"/>
        <v>0</v>
      </c>
      <c r="R348" s="208">
        <f t="shared" si="31"/>
        <v>0</v>
      </c>
      <c r="S348" s="208">
        <f t="shared" si="32"/>
        <v>0</v>
      </c>
      <c r="T348" s="208" t="str">
        <f t="shared" si="33"/>
        <v/>
      </c>
      <c r="U348" s="195">
        <f>Table33[[#This Row],[gal/100ft]]*Table33[[#This Row],[QTY]]/100</f>
        <v>0</v>
      </c>
      <c r="V348" s="195"/>
      <c r="W348" s="195"/>
      <c r="X348" s="197"/>
      <c r="Y348" s="197"/>
      <c r="Z348" s="197"/>
      <c r="AA348" s="211"/>
      <c r="AB348" s="212"/>
    </row>
    <row r="349" spans="1:28" ht="12.75" x14ac:dyDescent="0.2">
      <c r="A349" s="195" t="s">
        <v>606</v>
      </c>
      <c r="B349" s="195" t="s">
        <v>605</v>
      </c>
      <c r="C349" s="536" t="s">
        <v>604</v>
      </c>
      <c r="D349" s="195" t="s">
        <v>607</v>
      </c>
      <c r="E349" s="288"/>
      <c r="F349" s="204">
        <v>1.5</v>
      </c>
      <c r="G349" s="204"/>
      <c r="H349" s="197"/>
      <c r="I349" s="198">
        <v>10.5</v>
      </c>
      <c r="J349" s="205">
        <v>0.08</v>
      </c>
      <c r="K349" s="287">
        <v>7.0000000000000007E-2</v>
      </c>
      <c r="L349" s="206">
        <v>3.2</v>
      </c>
      <c r="M349" s="286">
        <v>3.2</v>
      </c>
      <c r="N349" s="552">
        <v>41791</v>
      </c>
      <c r="O349" s="205">
        <f t="shared" si="30"/>
        <v>0</v>
      </c>
      <c r="P349" s="555">
        <f>(1+$R$1)*Table33[[#This Row],[Hours]]</f>
        <v>0</v>
      </c>
      <c r="Q349" s="207">
        <f t="shared" si="29"/>
        <v>0</v>
      </c>
      <c r="R349" s="208">
        <f t="shared" si="31"/>
        <v>0</v>
      </c>
      <c r="S349" s="208">
        <f t="shared" si="32"/>
        <v>0</v>
      </c>
      <c r="T349" s="208" t="str">
        <f t="shared" si="33"/>
        <v/>
      </c>
      <c r="U349" s="195">
        <f>Table33[[#This Row],[gal/100ft]]*Table33[[#This Row],[QTY]]/100</f>
        <v>0</v>
      </c>
      <c r="V349" s="195"/>
      <c r="W349" s="195"/>
      <c r="X349" s="197"/>
      <c r="Y349" s="197"/>
      <c r="Z349" s="197"/>
      <c r="AA349" s="211"/>
      <c r="AB349" s="212"/>
    </row>
    <row r="350" spans="1:28" ht="12.75" x14ac:dyDescent="0.2">
      <c r="A350" s="195" t="s">
        <v>606</v>
      </c>
      <c r="B350" s="195" t="s">
        <v>605</v>
      </c>
      <c r="C350" s="536" t="s">
        <v>604</v>
      </c>
      <c r="D350" s="195" t="s">
        <v>607</v>
      </c>
      <c r="E350" s="288"/>
      <c r="F350" s="204">
        <v>2</v>
      </c>
      <c r="G350" s="204"/>
      <c r="H350" s="197"/>
      <c r="I350" s="198">
        <v>17</v>
      </c>
      <c r="J350" s="205">
        <v>0.08</v>
      </c>
      <c r="K350" s="287">
        <v>0.09</v>
      </c>
      <c r="L350" s="206">
        <v>5.17</v>
      </c>
      <c r="M350" s="286">
        <v>5.17</v>
      </c>
      <c r="N350" s="552">
        <v>41791</v>
      </c>
      <c r="O350" s="205">
        <f t="shared" si="30"/>
        <v>0</v>
      </c>
      <c r="P350" s="555">
        <f>(1+$R$1)*Table33[[#This Row],[Hours]]</f>
        <v>0</v>
      </c>
      <c r="Q350" s="207">
        <f t="shared" si="29"/>
        <v>0</v>
      </c>
      <c r="R350" s="208">
        <f t="shared" si="31"/>
        <v>0</v>
      </c>
      <c r="S350" s="208">
        <f t="shared" si="32"/>
        <v>0</v>
      </c>
      <c r="T350" s="208" t="str">
        <f t="shared" si="33"/>
        <v/>
      </c>
      <c r="U350" s="195">
        <f>Table33[[#This Row],[gal/100ft]]*Table33[[#This Row],[QTY]]/100</f>
        <v>0</v>
      </c>
      <c r="V350" s="195"/>
      <c r="W350" s="195"/>
      <c r="X350" s="197"/>
      <c r="Y350" s="197"/>
      <c r="Z350" s="197"/>
      <c r="AA350" s="211"/>
      <c r="AB350" s="212"/>
    </row>
    <row r="351" spans="1:28" ht="12.75" x14ac:dyDescent="0.2">
      <c r="A351" s="195" t="s">
        <v>606</v>
      </c>
      <c r="B351" s="195" t="s">
        <v>605</v>
      </c>
      <c r="C351" s="536" t="s">
        <v>604</v>
      </c>
      <c r="D351" s="218" t="s">
        <v>682</v>
      </c>
      <c r="E351" s="288"/>
      <c r="F351" s="204">
        <v>2.5</v>
      </c>
      <c r="G351" s="204"/>
      <c r="H351" s="197"/>
      <c r="I351" s="198">
        <v>25</v>
      </c>
      <c r="J351" s="205">
        <v>0.09</v>
      </c>
      <c r="K351" s="287">
        <v>0.09</v>
      </c>
      <c r="L351" s="206">
        <v>11.51</v>
      </c>
      <c r="M351" s="286">
        <v>11.51</v>
      </c>
      <c r="N351" s="552">
        <v>41791</v>
      </c>
      <c r="O351" s="205">
        <f t="shared" si="30"/>
        <v>0</v>
      </c>
      <c r="P351" s="555">
        <f>(1+$R$1)*Table33[[#This Row],[Hours]]</f>
        <v>0</v>
      </c>
      <c r="Q351" s="207">
        <f t="shared" si="29"/>
        <v>0</v>
      </c>
      <c r="R351" s="208">
        <f t="shared" si="31"/>
        <v>0</v>
      </c>
      <c r="S351" s="208">
        <f t="shared" si="32"/>
        <v>0</v>
      </c>
      <c r="T351" s="208" t="str">
        <f t="shared" si="33"/>
        <v/>
      </c>
      <c r="U351" s="195">
        <f>Table33[[#This Row],[gal/100ft]]*Table33[[#This Row],[QTY]]/100</f>
        <v>0</v>
      </c>
      <c r="V351" s="195"/>
      <c r="W351" s="195"/>
      <c r="X351" s="197"/>
      <c r="Y351" s="197"/>
      <c r="Z351" s="197"/>
      <c r="AA351" s="211"/>
      <c r="AB351" s="212"/>
    </row>
    <row r="352" spans="1:28" ht="12.75" x14ac:dyDescent="0.2">
      <c r="A352" s="195" t="s">
        <v>606</v>
      </c>
      <c r="B352" s="195" t="s">
        <v>605</v>
      </c>
      <c r="C352" s="536" t="s">
        <v>604</v>
      </c>
      <c r="D352" s="195" t="s">
        <v>607</v>
      </c>
      <c r="E352" s="288"/>
      <c r="F352" s="204">
        <v>2.5</v>
      </c>
      <c r="G352" s="204"/>
      <c r="H352" s="197"/>
      <c r="I352" s="198">
        <v>25</v>
      </c>
      <c r="J352" s="205">
        <v>0.09</v>
      </c>
      <c r="K352" s="287">
        <v>0.09</v>
      </c>
      <c r="L352" s="206">
        <v>11.51</v>
      </c>
      <c r="M352" s="286">
        <v>11.51</v>
      </c>
      <c r="N352" s="552">
        <v>41791</v>
      </c>
      <c r="O352" s="205">
        <f t="shared" si="30"/>
        <v>0</v>
      </c>
      <c r="P352" s="555">
        <f>(1+$R$1)*Table33[[#This Row],[Hours]]</f>
        <v>0</v>
      </c>
      <c r="Q352" s="207">
        <f t="shared" si="29"/>
        <v>0</v>
      </c>
      <c r="R352" s="208">
        <f t="shared" si="31"/>
        <v>0</v>
      </c>
      <c r="S352" s="208">
        <f t="shared" si="32"/>
        <v>0</v>
      </c>
      <c r="T352" s="208" t="str">
        <f t="shared" si="33"/>
        <v/>
      </c>
      <c r="U352" s="195">
        <f>Table33[[#This Row],[gal/100ft]]*Table33[[#This Row],[QTY]]/100</f>
        <v>0</v>
      </c>
      <c r="V352" s="195"/>
      <c r="W352" s="195"/>
      <c r="X352" s="197"/>
      <c r="Y352" s="197"/>
      <c r="Z352" s="197"/>
      <c r="AA352" s="211"/>
      <c r="AB352" s="212"/>
    </row>
    <row r="353" spans="1:28" ht="12.75" x14ac:dyDescent="0.2">
      <c r="A353" s="195" t="s">
        <v>606</v>
      </c>
      <c r="B353" s="195" t="s">
        <v>605</v>
      </c>
      <c r="C353" s="536" t="s">
        <v>604</v>
      </c>
      <c r="D353" s="195" t="s">
        <v>607</v>
      </c>
      <c r="E353" s="288"/>
      <c r="F353" s="204">
        <v>3</v>
      </c>
      <c r="G353" s="204"/>
      <c r="H353" s="197"/>
      <c r="I353" s="198">
        <v>38</v>
      </c>
      <c r="J353" s="205">
        <v>0.11</v>
      </c>
      <c r="K353" s="287">
        <v>0.11</v>
      </c>
      <c r="L353" s="206">
        <v>10.16</v>
      </c>
      <c r="M353" s="286">
        <v>10.16</v>
      </c>
      <c r="N353" s="552">
        <v>41791</v>
      </c>
      <c r="O353" s="205">
        <f t="shared" si="30"/>
        <v>0</v>
      </c>
      <c r="P353" s="555">
        <f>(1+$R$1)*Table33[[#This Row],[Hours]]</f>
        <v>0</v>
      </c>
      <c r="Q353" s="207">
        <f t="shared" si="29"/>
        <v>0</v>
      </c>
      <c r="R353" s="208">
        <f t="shared" si="31"/>
        <v>0</v>
      </c>
      <c r="S353" s="208">
        <f t="shared" si="32"/>
        <v>0</v>
      </c>
      <c r="T353" s="208" t="str">
        <f t="shared" si="33"/>
        <v/>
      </c>
      <c r="U353" s="195">
        <f>Table33[[#This Row],[gal/100ft]]*Table33[[#This Row],[QTY]]/100</f>
        <v>0</v>
      </c>
      <c r="V353" s="195"/>
      <c r="W353" s="195"/>
      <c r="X353" s="197"/>
      <c r="Y353" s="197"/>
      <c r="Z353" s="197"/>
      <c r="AA353" s="211"/>
      <c r="AB353" s="212"/>
    </row>
    <row r="354" spans="1:28" ht="12.75" x14ac:dyDescent="0.2">
      <c r="A354" s="195" t="s">
        <v>606</v>
      </c>
      <c r="B354" s="195" t="s">
        <v>605</v>
      </c>
      <c r="C354" s="536" t="s">
        <v>604</v>
      </c>
      <c r="D354" s="195" t="s">
        <v>607</v>
      </c>
      <c r="E354" s="288"/>
      <c r="F354" s="204">
        <v>3.5</v>
      </c>
      <c r="G354" s="204"/>
      <c r="H354" s="197"/>
      <c r="I354" s="198"/>
      <c r="J354" s="205">
        <v>0.12</v>
      </c>
      <c r="K354" s="287">
        <v>0.12</v>
      </c>
      <c r="L354" s="206">
        <v>21.7</v>
      </c>
      <c r="M354" s="286">
        <v>21.7</v>
      </c>
      <c r="N354" s="552">
        <v>41791</v>
      </c>
      <c r="O354" s="205">
        <f t="shared" si="30"/>
        <v>0</v>
      </c>
      <c r="P354" s="555">
        <f>(1+$R$1)*Table33[[#This Row],[Hours]]</f>
        <v>0</v>
      </c>
      <c r="Q354" s="207">
        <f t="shared" si="29"/>
        <v>0</v>
      </c>
      <c r="R354" s="208">
        <f t="shared" si="31"/>
        <v>0</v>
      </c>
      <c r="S354" s="208">
        <f t="shared" si="32"/>
        <v>0</v>
      </c>
      <c r="T354" s="208" t="str">
        <f t="shared" si="33"/>
        <v/>
      </c>
      <c r="U354" s="195">
        <f>Table33[[#This Row],[gal/100ft]]*Table33[[#This Row],[QTY]]/100</f>
        <v>0</v>
      </c>
      <c r="V354" s="195"/>
      <c r="W354" s="195"/>
      <c r="X354" s="197"/>
      <c r="Y354" s="197"/>
      <c r="Z354" s="197"/>
      <c r="AA354" s="211"/>
      <c r="AB354" s="212"/>
    </row>
    <row r="355" spans="1:28" ht="12.75" x14ac:dyDescent="0.2">
      <c r="A355" s="195" t="s">
        <v>606</v>
      </c>
      <c r="B355" s="195" t="s">
        <v>605</v>
      </c>
      <c r="C355" s="536" t="s">
        <v>604</v>
      </c>
      <c r="D355" s="195" t="s">
        <v>607</v>
      </c>
      <c r="E355" s="288"/>
      <c r="F355" s="204">
        <v>4</v>
      </c>
      <c r="G355" s="204"/>
      <c r="H355" s="197"/>
      <c r="I355" s="198">
        <v>66</v>
      </c>
      <c r="J355" s="205">
        <v>0.14000000000000001</v>
      </c>
      <c r="K355" s="287">
        <v>0.14000000000000001</v>
      </c>
      <c r="L355" s="206">
        <v>18.920000000000002</v>
      </c>
      <c r="M355" s="286">
        <v>18.920000000000002</v>
      </c>
      <c r="N355" s="552">
        <v>41791</v>
      </c>
      <c r="O355" s="205">
        <f t="shared" si="30"/>
        <v>0</v>
      </c>
      <c r="P355" s="555">
        <f>(1+$R$1)*Table33[[#This Row],[Hours]]</f>
        <v>0</v>
      </c>
      <c r="Q355" s="207">
        <f t="shared" si="29"/>
        <v>0</v>
      </c>
      <c r="R355" s="208">
        <f t="shared" si="31"/>
        <v>0</v>
      </c>
      <c r="S355" s="208">
        <f t="shared" si="32"/>
        <v>0</v>
      </c>
      <c r="T355" s="208" t="str">
        <f t="shared" si="33"/>
        <v/>
      </c>
      <c r="U355" s="195">
        <f>Table33[[#This Row],[gal/100ft]]*Table33[[#This Row],[QTY]]/100</f>
        <v>0</v>
      </c>
      <c r="V355" s="195"/>
      <c r="W355" s="195"/>
      <c r="X355" s="197"/>
      <c r="Y355" s="197"/>
      <c r="Z355" s="197"/>
      <c r="AA355" s="211"/>
      <c r="AB355" s="212"/>
    </row>
    <row r="356" spans="1:28" ht="12.75" x14ac:dyDescent="0.2">
      <c r="A356" s="195" t="s">
        <v>606</v>
      </c>
      <c r="B356" s="195" t="s">
        <v>605</v>
      </c>
      <c r="C356" s="536" t="s">
        <v>604</v>
      </c>
      <c r="D356" s="195" t="s">
        <v>607</v>
      </c>
      <c r="E356" s="288"/>
      <c r="F356" s="204">
        <v>6</v>
      </c>
      <c r="G356" s="204"/>
      <c r="H356" s="197"/>
      <c r="I356" s="198">
        <v>147</v>
      </c>
      <c r="J356" s="205"/>
      <c r="K356" s="287">
        <v>0.15</v>
      </c>
      <c r="L356" s="206">
        <v>23.046600000000002</v>
      </c>
      <c r="M356" s="286">
        <v>23.046600000000002</v>
      </c>
      <c r="N356" s="552">
        <v>41791</v>
      </c>
      <c r="O356" s="205">
        <f t="shared" si="30"/>
        <v>0</v>
      </c>
      <c r="P356" s="555">
        <f>(1+$R$1)*Table33[[#This Row],[Hours]]</f>
        <v>0</v>
      </c>
      <c r="Q356" s="207">
        <f t="shared" si="29"/>
        <v>0</v>
      </c>
      <c r="R356" s="208">
        <f t="shared" si="31"/>
        <v>0</v>
      </c>
      <c r="S356" s="208">
        <f t="shared" si="32"/>
        <v>0</v>
      </c>
      <c r="T356" s="208" t="str">
        <f t="shared" si="33"/>
        <v/>
      </c>
      <c r="U356" s="195">
        <f>Table33[[#This Row],[gal/100ft]]*Table33[[#This Row],[QTY]]/100</f>
        <v>0</v>
      </c>
      <c r="V356" s="195"/>
      <c r="W356" s="195"/>
      <c r="X356" s="197"/>
      <c r="Y356" s="197"/>
      <c r="Z356" s="197"/>
      <c r="AA356" s="211"/>
      <c r="AB356" s="212"/>
    </row>
    <row r="357" spans="1:28" ht="12.75" x14ac:dyDescent="0.2">
      <c r="A357" s="195" t="s">
        <v>606</v>
      </c>
      <c r="B357" s="195" t="s">
        <v>605</v>
      </c>
      <c r="C357" s="536" t="s">
        <v>604</v>
      </c>
      <c r="D357" s="195" t="s">
        <v>607</v>
      </c>
      <c r="E357" s="288"/>
      <c r="F357" s="204">
        <v>8</v>
      </c>
      <c r="G357" s="204"/>
      <c r="H357" s="197"/>
      <c r="I357" s="198">
        <v>261</v>
      </c>
      <c r="J357" s="205"/>
      <c r="K357" s="287">
        <v>0.2</v>
      </c>
      <c r="L357" s="206">
        <v>40.172999999999995</v>
      </c>
      <c r="M357" s="286">
        <v>40.172999999999995</v>
      </c>
      <c r="N357" s="552">
        <v>41791</v>
      </c>
      <c r="O357" s="205">
        <f t="shared" si="30"/>
        <v>0</v>
      </c>
      <c r="P357" s="555">
        <f>(1+$R$1)*Table33[[#This Row],[Hours]]</f>
        <v>0</v>
      </c>
      <c r="Q357" s="207">
        <f t="shared" si="29"/>
        <v>0</v>
      </c>
      <c r="R357" s="208">
        <f t="shared" si="31"/>
        <v>0</v>
      </c>
      <c r="S357" s="208">
        <f t="shared" si="32"/>
        <v>0</v>
      </c>
      <c r="T357" s="208" t="str">
        <f t="shared" si="33"/>
        <v/>
      </c>
      <c r="U357" s="195">
        <f>Table33[[#This Row],[gal/100ft]]*Table33[[#This Row],[QTY]]/100</f>
        <v>0</v>
      </c>
      <c r="V357" s="195"/>
      <c r="W357" s="195"/>
      <c r="X357" s="197"/>
      <c r="Y357" s="197"/>
      <c r="Z357" s="197"/>
      <c r="AA357" s="211"/>
      <c r="AB357" s="212"/>
    </row>
    <row r="358" spans="1:28" ht="12.75" x14ac:dyDescent="0.2">
      <c r="A358" s="195" t="s">
        <v>606</v>
      </c>
      <c r="B358" s="195" t="s">
        <v>605</v>
      </c>
      <c r="C358" s="536" t="s">
        <v>604</v>
      </c>
      <c r="D358" s="195" t="s">
        <v>607</v>
      </c>
      <c r="E358" s="288"/>
      <c r="F358" s="204">
        <v>10</v>
      </c>
      <c r="G358" s="204"/>
      <c r="H358" s="197"/>
      <c r="I358" s="198">
        <v>408</v>
      </c>
      <c r="J358" s="205"/>
      <c r="K358" s="287">
        <v>0.25</v>
      </c>
      <c r="L358" s="206">
        <v>60.474599999999995</v>
      </c>
      <c r="M358" s="286">
        <v>60.474599999999995</v>
      </c>
      <c r="N358" s="552">
        <v>41791</v>
      </c>
      <c r="O358" s="205">
        <f t="shared" si="30"/>
        <v>0</v>
      </c>
      <c r="P358" s="555">
        <f>(1+$R$1)*Table33[[#This Row],[Hours]]</f>
        <v>0</v>
      </c>
      <c r="Q358" s="207">
        <f t="shared" si="29"/>
        <v>0</v>
      </c>
      <c r="R358" s="208">
        <f t="shared" si="31"/>
        <v>0</v>
      </c>
      <c r="S358" s="208">
        <f t="shared" si="32"/>
        <v>0</v>
      </c>
      <c r="T358" s="208" t="str">
        <f t="shared" si="33"/>
        <v/>
      </c>
      <c r="U358" s="195">
        <f>Table33[[#This Row],[gal/100ft]]*Table33[[#This Row],[QTY]]/100</f>
        <v>0</v>
      </c>
      <c r="V358" s="195"/>
      <c r="W358" s="195"/>
      <c r="X358" s="197"/>
      <c r="Y358" s="197"/>
      <c r="Z358" s="197"/>
      <c r="AA358" s="211"/>
      <c r="AB358" s="212"/>
    </row>
    <row r="359" spans="1:28" ht="12.75" x14ac:dyDescent="0.2">
      <c r="A359" s="195" t="s">
        <v>606</v>
      </c>
      <c r="B359" s="195" t="s">
        <v>605</v>
      </c>
      <c r="C359" s="536" t="s">
        <v>604</v>
      </c>
      <c r="D359" s="195" t="s">
        <v>607</v>
      </c>
      <c r="E359" s="288"/>
      <c r="F359" s="204">
        <v>12</v>
      </c>
      <c r="G359" s="204"/>
      <c r="H359" s="197"/>
      <c r="I359" s="198">
        <v>588</v>
      </c>
      <c r="J359" s="205"/>
      <c r="K359" s="287">
        <v>0.25</v>
      </c>
      <c r="L359" s="206">
        <v>100.2642</v>
      </c>
      <c r="M359" s="286">
        <v>100.2642</v>
      </c>
      <c r="N359" s="552">
        <v>41791</v>
      </c>
      <c r="O359" s="205">
        <f t="shared" si="30"/>
        <v>0</v>
      </c>
      <c r="P359" s="555">
        <f>(1+$R$1)*Table33[[#This Row],[Hours]]</f>
        <v>0</v>
      </c>
      <c r="Q359" s="207">
        <f t="shared" si="29"/>
        <v>0</v>
      </c>
      <c r="R359" s="208">
        <f t="shared" si="31"/>
        <v>0</v>
      </c>
      <c r="S359" s="208">
        <f t="shared" si="32"/>
        <v>0</v>
      </c>
      <c r="T359" s="208" t="str">
        <f t="shared" si="33"/>
        <v/>
      </c>
      <c r="U359" s="195">
        <f>Table33[[#This Row],[gal/100ft]]*Table33[[#This Row],[QTY]]/100</f>
        <v>0</v>
      </c>
      <c r="V359" s="195"/>
      <c r="W359" s="195"/>
      <c r="X359" s="197"/>
      <c r="Y359" s="197"/>
      <c r="Z359" s="197"/>
      <c r="AA359" s="211"/>
      <c r="AB359" s="212"/>
    </row>
    <row r="360" spans="1:28" ht="12.75" x14ac:dyDescent="0.2">
      <c r="A360" s="195" t="s">
        <v>606</v>
      </c>
      <c r="B360" s="195" t="s">
        <v>605</v>
      </c>
      <c r="C360" s="536" t="s">
        <v>604</v>
      </c>
      <c r="D360" s="195" t="s">
        <v>607</v>
      </c>
      <c r="E360" s="288"/>
      <c r="F360" s="204">
        <v>14</v>
      </c>
      <c r="G360" s="204"/>
      <c r="H360" s="197"/>
      <c r="I360" s="198">
        <v>716</v>
      </c>
      <c r="J360" s="205"/>
      <c r="K360" s="287">
        <v>0.28999999999999998</v>
      </c>
      <c r="L360" s="206">
        <v>145.37819999999999</v>
      </c>
      <c r="M360" s="286">
        <v>145.37819999999999</v>
      </c>
      <c r="N360" s="552">
        <v>41791</v>
      </c>
      <c r="O360" s="205">
        <f t="shared" si="30"/>
        <v>0</v>
      </c>
      <c r="P360" s="555">
        <f>(1+$R$1)*Table33[[#This Row],[Hours]]</f>
        <v>0</v>
      </c>
      <c r="Q360" s="207">
        <f t="shared" si="29"/>
        <v>0</v>
      </c>
      <c r="R360" s="208">
        <f t="shared" si="31"/>
        <v>0</v>
      </c>
      <c r="S360" s="208">
        <f t="shared" si="32"/>
        <v>0</v>
      </c>
      <c r="T360" s="208" t="str">
        <f t="shared" si="33"/>
        <v/>
      </c>
      <c r="U360" s="195">
        <f>Table33[[#This Row],[gal/100ft]]*Table33[[#This Row],[QTY]]/100</f>
        <v>0</v>
      </c>
      <c r="V360" s="195"/>
      <c r="W360" s="195"/>
      <c r="X360" s="197"/>
      <c r="Y360" s="197"/>
      <c r="Z360" s="197"/>
      <c r="AA360" s="211"/>
      <c r="AB360" s="212"/>
    </row>
    <row r="361" spans="1:28" ht="12.75" x14ac:dyDescent="0.2">
      <c r="A361" s="195" t="s">
        <v>606</v>
      </c>
      <c r="B361" s="195" t="s">
        <v>605</v>
      </c>
      <c r="C361" s="536" t="s">
        <v>604</v>
      </c>
      <c r="D361" s="195" t="s">
        <v>607</v>
      </c>
      <c r="E361" s="288"/>
      <c r="F361" s="204">
        <v>16</v>
      </c>
      <c r="G361" s="204"/>
      <c r="H361" s="197"/>
      <c r="I361" s="198">
        <v>950</v>
      </c>
      <c r="J361" s="205"/>
      <c r="K361" s="287">
        <v>0.37</v>
      </c>
      <c r="L361" s="206">
        <v>232.43999999999997</v>
      </c>
      <c r="M361" s="286">
        <v>232.43999999999997</v>
      </c>
      <c r="N361" s="552">
        <v>41791</v>
      </c>
      <c r="O361" s="205">
        <f t="shared" si="30"/>
        <v>0</v>
      </c>
      <c r="P361" s="555">
        <f>(1+$R$1)*Table33[[#This Row],[Hours]]</f>
        <v>0</v>
      </c>
      <c r="Q361" s="207">
        <f t="shared" si="29"/>
        <v>0</v>
      </c>
      <c r="R361" s="208">
        <f t="shared" si="31"/>
        <v>0</v>
      </c>
      <c r="S361" s="208">
        <f t="shared" si="32"/>
        <v>0</v>
      </c>
      <c r="T361" s="208" t="str">
        <f t="shared" si="33"/>
        <v/>
      </c>
      <c r="U361" s="195">
        <f>Table33[[#This Row],[gal/100ft]]*Table33[[#This Row],[QTY]]/100</f>
        <v>0</v>
      </c>
      <c r="V361" s="195"/>
      <c r="W361" s="195"/>
      <c r="X361" s="197"/>
      <c r="Y361" s="197"/>
      <c r="Z361" s="197"/>
      <c r="AA361" s="211"/>
      <c r="AB361" s="212"/>
    </row>
    <row r="362" spans="1:28" ht="12.75" x14ac:dyDescent="0.2">
      <c r="A362" s="195" t="s">
        <v>606</v>
      </c>
      <c r="B362" s="195" t="s">
        <v>605</v>
      </c>
      <c r="C362" s="536" t="s">
        <v>604</v>
      </c>
      <c r="D362" s="195" t="s">
        <v>607</v>
      </c>
      <c r="E362" s="288"/>
      <c r="F362" s="204">
        <v>18</v>
      </c>
      <c r="G362" s="204"/>
      <c r="H362" s="197"/>
      <c r="I362" s="198">
        <v>1200</v>
      </c>
      <c r="J362" s="205"/>
      <c r="K362" s="287">
        <v>0.41</v>
      </c>
      <c r="L362" s="206">
        <v>273.53579999999999</v>
      </c>
      <c r="M362" s="286">
        <v>273.53579999999999</v>
      </c>
      <c r="N362" s="552">
        <v>41791</v>
      </c>
      <c r="O362" s="205">
        <f t="shared" si="30"/>
        <v>0</v>
      </c>
      <c r="P362" s="555">
        <f>(1+$R$1)*Table33[[#This Row],[Hours]]</f>
        <v>0</v>
      </c>
      <c r="Q362" s="207">
        <f t="shared" si="29"/>
        <v>0</v>
      </c>
      <c r="R362" s="208">
        <f t="shared" si="31"/>
        <v>0</v>
      </c>
      <c r="S362" s="208">
        <f t="shared" si="32"/>
        <v>0</v>
      </c>
      <c r="T362" s="208" t="str">
        <f t="shared" si="33"/>
        <v/>
      </c>
      <c r="U362" s="195">
        <f>Table33[[#This Row],[gal/100ft]]*Table33[[#This Row],[QTY]]/100</f>
        <v>0</v>
      </c>
      <c r="V362" s="195"/>
      <c r="W362" s="195"/>
      <c r="X362" s="197"/>
      <c r="Y362" s="197"/>
      <c r="Z362" s="197"/>
      <c r="AA362" s="211"/>
      <c r="AB362" s="212"/>
    </row>
    <row r="363" spans="1:28" ht="12.75" x14ac:dyDescent="0.2">
      <c r="A363" s="195" t="s">
        <v>606</v>
      </c>
      <c r="B363" s="195" t="s">
        <v>605</v>
      </c>
      <c r="C363" s="536" t="s">
        <v>604</v>
      </c>
      <c r="D363" s="296" t="s">
        <v>608</v>
      </c>
      <c r="E363" s="288"/>
      <c r="F363" s="204">
        <v>0.5</v>
      </c>
      <c r="G363" s="204"/>
      <c r="H363" s="197"/>
      <c r="I363" s="198">
        <v>1.6</v>
      </c>
      <c r="J363" s="205">
        <v>0.06</v>
      </c>
      <c r="K363" s="287">
        <v>0.04</v>
      </c>
      <c r="L363" s="206">
        <v>0.85</v>
      </c>
      <c r="M363" s="286">
        <v>0.85</v>
      </c>
      <c r="N363" s="552">
        <v>41791</v>
      </c>
      <c r="O363" s="205">
        <f t="shared" si="30"/>
        <v>0</v>
      </c>
      <c r="P363" s="555">
        <f>(1+$R$1)*Table33[[#This Row],[Hours]]</f>
        <v>0</v>
      </c>
      <c r="Q363" s="207">
        <f t="shared" si="29"/>
        <v>0</v>
      </c>
      <c r="R363" s="208">
        <f t="shared" si="31"/>
        <v>0</v>
      </c>
      <c r="S363" s="208">
        <f t="shared" si="32"/>
        <v>0</v>
      </c>
      <c r="T363" s="208" t="str">
        <f t="shared" si="33"/>
        <v/>
      </c>
      <c r="U363" s="195">
        <f>Table33[[#This Row],[gal/100ft]]*Table33[[#This Row],[QTY]]/100</f>
        <v>0</v>
      </c>
      <c r="V363" s="195"/>
      <c r="W363" s="195"/>
      <c r="X363" s="197"/>
      <c r="Y363" s="197"/>
      <c r="Z363" s="197"/>
      <c r="AA363" s="211"/>
      <c r="AB363" s="212"/>
    </row>
    <row r="364" spans="1:28" ht="12.75" x14ac:dyDescent="0.2">
      <c r="A364" s="195" t="s">
        <v>606</v>
      </c>
      <c r="B364" s="195" t="s">
        <v>605</v>
      </c>
      <c r="C364" s="536" t="s">
        <v>604</v>
      </c>
      <c r="D364" s="195" t="s">
        <v>608</v>
      </c>
      <c r="E364" s="288"/>
      <c r="F364" s="204">
        <v>0.75</v>
      </c>
      <c r="G364" s="204"/>
      <c r="H364" s="197"/>
      <c r="I364" s="198">
        <v>2.8</v>
      </c>
      <c r="J364" s="205">
        <v>7.0000000000000007E-2</v>
      </c>
      <c r="K364" s="287">
        <v>0.05</v>
      </c>
      <c r="L364" s="206">
        <v>1.28</v>
      </c>
      <c r="M364" s="286">
        <v>1.28</v>
      </c>
      <c r="N364" s="552">
        <v>41791</v>
      </c>
      <c r="O364" s="205">
        <f t="shared" si="30"/>
        <v>0</v>
      </c>
      <c r="P364" s="555">
        <f>(1+$R$1)*Table33[[#This Row],[Hours]]</f>
        <v>0</v>
      </c>
      <c r="Q364" s="207">
        <f t="shared" si="29"/>
        <v>0</v>
      </c>
      <c r="R364" s="208">
        <f t="shared" si="31"/>
        <v>0</v>
      </c>
      <c r="S364" s="208">
        <f t="shared" si="32"/>
        <v>0</v>
      </c>
      <c r="T364" s="208" t="str">
        <f t="shared" si="33"/>
        <v/>
      </c>
      <c r="U364" s="195">
        <f>Table33[[#This Row],[gal/100ft]]*Table33[[#This Row],[QTY]]/100</f>
        <v>0</v>
      </c>
      <c r="V364" s="195"/>
      <c r="W364" s="195"/>
      <c r="X364" s="197"/>
      <c r="Y364" s="197"/>
      <c r="Z364" s="197"/>
      <c r="AA364" s="211"/>
      <c r="AB364" s="212"/>
    </row>
    <row r="365" spans="1:28" ht="12.75" x14ac:dyDescent="0.2">
      <c r="A365" s="296" t="s">
        <v>606</v>
      </c>
      <c r="B365" s="296" t="s">
        <v>605</v>
      </c>
      <c r="C365" s="536" t="s">
        <v>604</v>
      </c>
      <c r="D365" s="301" t="s">
        <v>710</v>
      </c>
      <c r="E365" s="288"/>
      <c r="F365" s="297">
        <v>0.5</v>
      </c>
      <c r="G365" s="297"/>
      <c r="H365" s="298"/>
      <c r="I365" s="198">
        <v>1.6</v>
      </c>
      <c r="J365" s="205"/>
      <c r="K365" s="287">
        <v>0.04</v>
      </c>
      <c r="L365" s="206">
        <v>0.55000000000000004</v>
      </c>
      <c r="M365" s="286">
        <v>0.55000000000000004</v>
      </c>
      <c r="N365" s="552">
        <v>41791</v>
      </c>
      <c r="O365" s="205">
        <f t="shared" si="30"/>
        <v>0</v>
      </c>
      <c r="P365" s="555">
        <f>(1+$R$1)*Table33[[#This Row],[Hours]]</f>
        <v>0</v>
      </c>
      <c r="Q365" s="207">
        <f t="shared" si="29"/>
        <v>0</v>
      </c>
      <c r="R365" s="208">
        <f t="shared" si="31"/>
        <v>0</v>
      </c>
      <c r="S365" s="208">
        <f t="shared" si="32"/>
        <v>0</v>
      </c>
      <c r="T365" s="208" t="str">
        <f t="shared" si="33"/>
        <v/>
      </c>
      <c r="U365" s="195">
        <f>Table33[[#This Row],[gal/100ft]]*Table33[[#This Row],[QTY]]/100</f>
        <v>0</v>
      </c>
      <c r="V365" s="195"/>
      <c r="W365" s="195"/>
      <c r="X365" s="197"/>
      <c r="Y365" s="197"/>
      <c r="Z365" s="197"/>
      <c r="AA365" s="211"/>
      <c r="AB365" s="212"/>
    </row>
    <row r="366" spans="1:28" ht="12.75" x14ac:dyDescent="0.2">
      <c r="A366" s="296" t="s">
        <v>606</v>
      </c>
      <c r="B366" s="296" t="s">
        <v>605</v>
      </c>
      <c r="C366" s="536" t="s">
        <v>604</v>
      </c>
      <c r="D366" s="301" t="s">
        <v>710</v>
      </c>
      <c r="E366" s="288"/>
      <c r="F366" s="297">
        <v>0.75</v>
      </c>
      <c r="G366" s="297"/>
      <c r="H366" s="298"/>
      <c r="I366" s="198">
        <v>2.8</v>
      </c>
      <c r="J366" s="205"/>
      <c r="K366" s="287">
        <v>0.05</v>
      </c>
      <c r="L366" s="206">
        <v>0.75</v>
      </c>
      <c r="M366" s="286">
        <v>0.75</v>
      </c>
      <c r="N366" s="552">
        <v>41791</v>
      </c>
      <c r="O366" s="205">
        <f t="shared" si="30"/>
        <v>0</v>
      </c>
      <c r="P366" s="555">
        <f>(1+$R$1)*Table33[[#This Row],[Hours]]</f>
        <v>0</v>
      </c>
      <c r="Q366" s="207">
        <f t="shared" si="29"/>
        <v>0</v>
      </c>
      <c r="R366" s="208">
        <f t="shared" si="31"/>
        <v>0</v>
      </c>
      <c r="S366" s="208">
        <f t="shared" si="32"/>
        <v>0</v>
      </c>
      <c r="T366" s="208" t="str">
        <f t="shared" si="33"/>
        <v/>
      </c>
      <c r="U366" s="195">
        <f>Table33[[#This Row],[gal/100ft]]*Table33[[#This Row],[QTY]]/100</f>
        <v>0</v>
      </c>
      <c r="V366" s="195"/>
      <c r="W366" s="195"/>
      <c r="X366" s="197"/>
      <c r="Y366" s="197"/>
      <c r="Z366" s="197"/>
      <c r="AA366" s="211"/>
      <c r="AB366" s="212"/>
    </row>
    <row r="367" spans="1:28" ht="12.75" x14ac:dyDescent="0.2">
      <c r="A367" s="296" t="s">
        <v>606</v>
      </c>
      <c r="B367" s="296" t="s">
        <v>605</v>
      </c>
      <c r="C367" s="536" t="s">
        <v>604</v>
      </c>
      <c r="D367" s="301" t="s">
        <v>710</v>
      </c>
      <c r="E367" s="288"/>
      <c r="F367" s="297">
        <v>1</v>
      </c>
      <c r="G367" s="297"/>
      <c r="H367" s="298"/>
      <c r="I367" s="198">
        <v>4.5</v>
      </c>
      <c r="J367" s="205"/>
      <c r="K367" s="287">
        <v>7.0000000000000007E-2</v>
      </c>
      <c r="L367" s="206">
        <v>1.25</v>
      </c>
      <c r="M367" s="286">
        <v>1.25</v>
      </c>
      <c r="N367" s="552">
        <v>41791</v>
      </c>
      <c r="O367" s="205">
        <f t="shared" si="30"/>
        <v>0</v>
      </c>
      <c r="P367" s="555">
        <f>(1+$R$1)*Table33[[#This Row],[Hours]]</f>
        <v>0</v>
      </c>
      <c r="Q367" s="207">
        <f t="shared" si="29"/>
        <v>0</v>
      </c>
      <c r="R367" s="208">
        <f t="shared" si="31"/>
        <v>0</v>
      </c>
      <c r="S367" s="208">
        <f t="shared" si="32"/>
        <v>0</v>
      </c>
      <c r="T367" s="208" t="str">
        <f t="shared" si="33"/>
        <v/>
      </c>
      <c r="U367" s="195">
        <f>Table33[[#This Row],[gal/100ft]]*Table33[[#This Row],[QTY]]/100</f>
        <v>0</v>
      </c>
      <c r="V367" s="195"/>
      <c r="W367" s="195"/>
      <c r="X367" s="197"/>
      <c r="Y367" s="197"/>
      <c r="Z367" s="197"/>
      <c r="AA367" s="211"/>
      <c r="AB367" s="212"/>
    </row>
    <row r="368" spans="1:28" ht="12.75" x14ac:dyDescent="0.2">
      <c r="A368" s="195" t="s">
        <v>612</v>
      </c>
      <c r="B368" s="536" t="s">
        <v>875</v>
      </c>
      <c r="C368" s="536" t="s">
        <v>604</v>
      </c>
      <c r="D368" s="536" t="s">
        <v>873</v>
      </c>
      <c r="E368" s="288"/>
      <c r="F368" s="204">
        <v>0.5</v>
      </c>
      <c r="G368" s="204"/>
      <c r="H368" s="197"/>
      <c r="I368" s="198">
        <v>1.6</v>
      </c>
      <c r="J368" s="205"/>
      <c r="K368" s="287"/>
      <c r="L368" s="206">
        <v>2.09</v>
      </c>
      <c r="M368" s="286">
        <v>2.09</v>
      </c>
      <c r="N368" s="552">
        <v>41791</v>
      </c>
      <c r="O368" s="205">
        <f t="shared" si="30"/>
        <v>0</v>
      </c>
      <c r="P368" s="555">
        <f>(1+$R$1)*Table33[[#This Row],[Hours]]</f>
        <v>0</v>
      </c>
      <c r="Q368" s="207">
        <f t="shared" si="29"/>
        <v>0</v>
      </c>
      <c r="R368" s="208">
        <f t="shared" si="31"/>
        <v>0</v>
      </c>
      <c r="S368" s="208">
        <f t="shared" si="32"/>
        <v>0</v>
      </c>
      <c r="T368" s="208" t="str">
        <f t="shared" si="33"/>
        <v/>
      </c>
      <c r="U368" s="195">
        <f>Table33[[#This Row],[gal/100ft]]*Table33[[#This Row],[QTY]]/100</f>
        <v>0</v>
      </c>
      <c r="V368" s="195"/>
      <c r="W368" s="195"/>
      <c r="X368" s="197"/>
      <c r="Y368" s="197"/>
      <c r="Z368" s="197"/>
      <c r="AA368" s="211"/>
      <c r="AB368" s="212"/>
    </row>
    <row r="369" spans="1:28" ht="12.75" x14ac:dyDescent="0.2">
      <c r="A369" s="195" t="s">
        <v>612</v>
      </c>
      <c r="B369" s="536" t="s">
        <v>875</v>
      </c>
      <c r="C369" s="536" t="s">
        <v>604</v>
      </c>
      <c r="D369" s="536" t="s">
        <v>873</v>
      </c>
      <c r="E369" s="288"/>
      <c r="F369" s="204">
        <v>0.75</v>
      </c>
      <c r="G369" s="204"/>
      <c r="H369" s="197"/>
      <c r="I369" s="198">
        <v>2.8</v>
      </c>
      <c r="J369" s="205">
        <v>0.08</v>
      </c>
      <c r="K369" s="287">
        <v>0.08</v>
      </c>
      <c r="L369" s="206">
        <v>2.5299999999999998</v>
      </c>
      <c r="M369" s="286">
        <v>2.5299999999999998</v>
      </c>
      <c r="N369" s="552">
        <v>41791</v>
      </c>
      <c r="O369" s="205">
        <f t="shared" si="30"/>
        <v>0</v>
      </c>
      <c r="P369" s="555">
        <f>(1+$R$1)*Table33[[#This Row],[Hours]]</f>
        <v>0</v>
      </c>
      <c r="Q369" s="207">
        <f t="shared" si="29"/>
        <v>0</v>
      </c>
      <c r="R369" s="208">
        <f t="shared" si="31"/>
        <v>0</v>
      </c>
      <c r="S369" s="208">
        <f t="shared" si="32"/>
        <v>0</v>
      </c>
      <c r="T369" s="208" t="str">
        <f t="shared" si="33"/>
        <v/>
      </c>
      <c r="U369" s="195">
        <f>Table33[[#This Row],[gal/100ft]]*Table33[[#This Row],[QTY]]/100</f>
        <v>0</v>
      </c>
      <c r="V369" s="195"/>
      <c r="W369" s="195"/>
      <c r="X369" s="197"/>
      <c r="Y369" s="197"/>
      <c r="Z369" s="197"/>
      <c r="AA369" s="211"/>
      <c r="AB369" s="212"/>
    </row>
    <row r="370" spans="1:28" ht="12.75" x14ac:dyDescent="0.2">
      <c r="A370" s="195" t="s">
        <v>612</v>
      </c>
      <c r="B370" s="536" t="s">
        <v>875</v>
      </c>
      <c r="C370" s="536" t="s">
        <v>604</v>
      </c>
      <c r="D370" s="536" t="s">
        <v>873</v>
      </c>
      <c r="E370" s="288"/>
      <c r="F370" s="204">
        <v>1</v>
      </c>
      <c r="G370" s="204"/>
      <c r="H370" s="197"/>
      <c r="I370" s="198">
        <v>4.5</v>
      </c>
      <c r="J370" s="205">
        <v>0.09</v>
      </c>
      <c r="K370" s="287">
        <v>0.09</v>
      </c>
      <c r="L370" s="206">
        <v>3.55</v>
      </c>
      <c r="M370" s="286">
        <v>3.55</v>
      </c>
      <c r="N370" s="552">
        <v>41791</v>
      </c>
      <c r="O370" s="205">
        <f t="shared" si="30"/>
        <v>0</v>
      </c>
      <c r="P370" s="555">
        <f>(1+$R$1)*Table33[[#This Row],[Hours]]</f>
        <v>0</v>
      </c>
      <c r="Q370" s="207">
        <f t="shared" si="29"/>
        <v>0</v>
      </c>
      <c r="R370" s="208">
        <f t="shared" si="31"/>
        <v>0</v>
      </c>
      <c r="S370" s="208">
        <f t="shared" si="32"/>
        <v>0</v>
      </c>
      <c r="T370" s="208" t="str">
        <f t="shared" si="33"/>
        <v/>
      </c>
      <c r="U370" s="195">
        <f>Table33[[#This Row],[gal/100ft]]*Table33[[#This Row],[QTY]]/100</f>
        <v>0</v>
      </c>
      <c r="V370" s="195"/>
      <c r="W370" s="195"/>
      <c r="X370" s="197"/>
      <c r="Y370" s="197"/>
      <c r="Z370" s="197"/>
      <c r="AA370" s="211"/>
      <c r="AB370" s="212"/>
    </row>
    <row r="371" spans="1:28" ht="12.75" x14ac:dyDescent="0.2">
      <c r="A371" s="195" t="s">
        <v>612</v>
      </c>
      <c r="B371" s="536" t="s">
        <v>875</v>
      </c>
      <c r="C371" s="536" t="s">
        <v>604</v>
      </c>
      <c r="D371" s="536" t="s">
        <v>873</v>
      </c>
      <c r="E371" s="288"/>
      <c r="F371" s="204">
        <v>1.25</v>
      </c>
      <c r="G371" s="204"/>
      <c r="H371" s="197"/>
      <c r="I371" s="198">
        <v>7.8</v>
      </c>
      <c r="J371" s="205">
        <v>0.1</v>
      </c>
      <c r="K371" s="287">
        <v>0.1</v>
      </c>
      <c r="L371" s="206">
        <v>4.2</v>
      </c>
      <c r="M371" s="286">
        <v>4.2</v>
      </c>
      <c r="N371" s="552">
        <v>41791</v>
      </c>
      <c r="O371" s="205">
        <f t="shared" si="30"/>
        <v>0</v>
      </c>
      <c r="P371" s="555">
        <f>(1+$R$1)*Table33[[#This Row],[Hours]]</f>
        <v>0</v>
      </c>
      <c r="Q371" s="207">
        <f t="shared" si="29"/>
        <v>0</v>
      </c>
      <c r="R371" s="208">
        <f t="shared" si="31"/>
        <v>0</v>
      </c>
      <c r="S371" s="208">
        <f t="shared" si="32"/>
        <v>0</v>
      </c>
      <c r="T371" s="208" t="str">
        <f t="shared" si="33"/>
        <v/>
      </c>
      <c r="U371" s="195">
        <f>Table33[[#This Row],[gal/100ft]]*Table33[[#This Row],[QTY]]/100</f>
        <v>0</v>
      </c>
      <c r="V371" s="195"/>
      <c r="W371" s="195"/>
      <c r="X371" s="197"/>
      <c r="Y371" s="197"/>
      <c r="Z371" s="197"/>
      <c r="AA371" s="211"/>
      <c r="AB371" s="212"/>
    </row>
    <row r="372" spans="1:28" ht="12.75" x14ac:dyDescent="0.2">
      <c r="A372" s="195" t="s">
        <v>612</v>
      </c>
      <c r="B372" s="536" t="s">
        <v>875</v>
      </c>
      <c r="C372" s="536" t="s">
        <v>604</v>
      </c>
      <c r="D372" s="536" t="s">
        <v>873</v>
      </c>
      <c r="E372" s="288"/>
      <c r="F372" s="204">
        <v>1.5</v>
      </c>
      <c r="G372" s="204"/>
      <c r="H372" s="197"/>
      <c r="I372" s="198">
        <v>10.5</v>
      </c>
      <c r="J372" s="205">
        <v>0.1</v>
      </c>
      <c r="K372" s="287">
        <v>0.1</v>
      </c>
      <c r="L372" s="206">
        <v>4.76</v>
      </c>
      <c r="M372" s="286">
        <v>4.76</v>
      </c>
      <c r="N372" s="552">
        <v>41791</v>
      </c>
      <c r="O372" s="205">
        <f t="shared" si="30"/>
        <v>0</v>
      </c>
      <c r="P372" s="555">
        <f>(1+$R$1)*Table33[[#This Row],[Hours]]</f>
        <v>0</v>
      </c>
      <c r="Q372" s="207">
        <f t="shared" si="29"/>
        <v>0</v>
      </c>
      <c r="R372" s="208">
        <f t="shared" si="31"/>
        <v>0</v>
      </c>
      <c r="S372" s="208">
        <f t="shared" si="32"/>
        <v>0</v>
      </c>
      <c r="T372" s="208" t="str">
        <f t="shared" si="33"/>
        <v/>
      </c>
      <c r="U372" s="195">
        <f>Table33[[#This Row],[gal/100ft]]*Table33[[#This Row],[QTY]]/100</f>
        <v>0</v>
      </c>
      <c r="V372" s="195"/>
      <c r="W372" s="195"/>
      <c r="X372" s="197"/>
      <c r="Y372" s="197"/>
      <c r="Z372" s="197"/>
      <c r="AA372" s="211"/>
      <c r="AB372" s="212"/>
    </row>
    <row r="373" spans="1:28" ht="12.75" x14ac:dyDescent="0.2">
      <c r="A373" s="195" t="s">
        <v>612</v>
      </c>
      <c r="B373" s="536" t="s">
        <v>875</v>
      </c>
      <c r="C373" s="536" t="s">
        <v>604</v>
      </c>
      <c r="D373" s="536" t="s">
        <v>873</v>
      </c>
      <c r="E373" s="288"/>
      <c r="F373" s="204">
        <v>2</v>
      </c>
      <c r="G373" s="204"/>
      <c r="H373" s="197"/>
      <c r="I373" s="198">
        <v>17</v>
      </c>
      <c r="J373" s="205">
        <v>0.12</v>
      </c>
      <c r="K373" s="287">
        <v>0.12</v>
      </c>
      <c r="L373" s="206">
        <v>5.89</v>
      </c>
      <c r="M373" s="286">
        <v>5.89</v>
      </c>
      <c r="N373" s="552">
        <v>41791</v>
      </c>
      <c r="O373" s="205">
        <f t="shared" si="30"/>
        <v>0</v>
      </c>
      <c r="P373" s="555">
        <f>(1+$R$1)*Table33[[#This Row],[Hours]]</f>
        <v>0</v>
      </c>
      <c r="Q373" s="207">
        <f t="shared" si="29"/>
        <v>0</v>
      </c>
      <c r="R373" s="208">
        <f t="shared" si="31"/>
        <v>0</v>
      </c>
      <c r="S373" s="208">
        <f t="shared" si="32"/>
        <v>0</v>
      </c>
      <c r="T373" s="208" t="str">
        <f t="shared" si="33"/>
        <v/>
      </c>
      <c r="U373" s="195">
        <f>Table33[[#This Row],[gal/100ft]]*Table33[[#This Row],[QTY]]/100</f>
        <v>0</v>
      </c>
      <c r="V373" s="195"/>
      <c r="W373" s="195"/>
      <c r="X373" s="197"/>
      <c r="Y373" s="197"/>
      <c r="Z373" s="197"/>
      <c r="AA373" s="211"/>
      <c r="AB373" s="212"/>
    </row>
    <row r="374" spans="1:28" ht="12.75" x14ac:dyDescent="0.2">
      <c r="A374" s="195" t="s">
        <v>612</v>
      </c>
      <c r="B374" s="536" t="s">
        <v>875</v>
      </c>
      <c r="C374" s="536" t="s">
        <v>604</v>
      </c>
      <c r="D374" s="536" t="s">
        <v>873</v>
      </c>
      <c r="E374" s="288"/>
      <c r="F374" s="204">
        <v>2.5</v>
      </c>
      <c r="G374" s="204"/>
      <c r="H374" s="197"/>
      <c r="I374" s="198">
        <v>25</v>
      </c>
      <c r="J374" s="205">
        <v>0.16</v>
      </c>
      <c r="K374" s="287">
        <v>0.16</v>
      </c>
      <c r="L374" s="206">
        <v>6.47</v>
      </c>
      <c r="M374" s="286">
        <v>6.47</v>
      </c>
      <c r="N374" s="552">
        <v>41791</v>
      </c>
      <c r="O374" s="205">
        <f t="shared" si="30"/>
        <v>0</v>
      </c>
      <c r="P374" s="555">
        <f>(1+$R$1)*Table33[[#This Row],[Hours]]</f>
        <v>0</v>
      </c>
      <c r="Q374" s="207">
        <f t="shared" si="29"/>
        <v>0</v>
      </c>
      <c r="R374" s="208">
        <f t="shared" si="31"/>
        <v>0</v>
      </c>
      <c r="S374" s="208">
        <f t="shared" si="32"/>
        <v>0</v>
      </c>
      <c r="T374" s="208" t="str">
        <f t="shared" si="33"/>
        <v/>
      </c>
      <c r="U374" s="195">
        <f>Table33[[#This Row],[gal/100ft]]*Table33[[#This Row],[QTY]]/100</f>
        <v>0</v>
      </c>
      <c r="V374" s="195"/>
      <c r="W374" s="195"/>
      <c r="X374" s="197"/>
      <c r="Y374" s="197"/>
      <c r="Z374" s="197"/>
      <c r="AA374" s="211"/>
      <c r="AB374" s="212"/>
    </row>
    <row r="375" spans="1:28" ht="12.75" x14ac:dyDescent="0.2">
      <c r="A375" s="195" t="s">
        <v>612</v>
      </c>
      <c r="B375" s="536" t="s">
        <v>875</v>
      </c>
      <c r="C375" s="536" t="s">
        <v>604</v>
      </c>
      <c r="D375" s="536" t="s">
        <v>873</v>
      </c>
      <c r="E375" s="288"/>
      <c r="F375" s="204">
        <v>3</v>
      </c>
      <c r="G375" s="204"/>
      <c r="H375" s="197"/>
      <c r="I375" s="198">
        <v>38</v>
      </c>
      <c r="J375" s="205">
        <v>0.19</v>
      </c>
      <c r="K375" s="287">
        <v>0.19</v>
      </c>
      <c r="L375" s="206">
        <v>7.95</v>
      </c>
      <c r="M375" s="286">
        <v>7.95</v>
      </c>
      <c r="N375" s="552">
        <v>41791</v>
      </c>
      <c r="O375" s="205">
        <f t="shared" si="30"/>
        <v>0</v>
      </c>
      <c r="P375" s="555">
        <f>(1+$R$1)*Table33[[#This Row],[Hours]]</f>
        <v>0</v>
      </c>
      <c r="Q375" s="207">
        <f t="shared" si="29"/>
        <v>0</v>
      </c>
      <c r="R375" s="208">
        <f t="shared" si="31"/>
        <v>0</v>
      </c>
      <c r="S375" s="208">
        <f t="shared" si="32"/>
        <v>0</v>
      </c>
      <c r="T375" s="208" t="str">
        <f t="shared" si="33"/>
        <v/>
      </c>
      <c r="U375" s="195">
        <f>Table33[[#This Row],[gal/100ft]]*Table33[[#This Row],[QTY]]/100</f>
        <v>0</v>
      </c>
      <c r="V375" s="195"/>
      <c r="W375" s="195"/>
      <c r="X375" s="197"/>
      <c r="Y375" s="197"/>
      <c r="Z375" s="197"/>
      <c r="AA375" s="211"/>
      <c r="AB375" s="212"/>
    </row>
    <row r="376" spans="1:28" ht="12.75" x14ac:dyDescent="0.2">
      <c r="A376" s="195" t="s">
        <v>612</v>
      </c>
      <c r="B376" s="536" t="s">
        <v>875</v>
      </c>
      <c r="C376" s="536" t="s">
        <v>604</v>
      </c>
      <c r="D376" s="536" t="s">
        <v>873</v>
      </c>
      <c r="E376" s="288"/>
      <c r="F376" s="204">
        <v>3.5</v>
      </c>
      <c r="G376" s="204"/>
      <c r="H376" s="197"/>
      <c r="I376" s="198"/>
      <c r="J376" s="205">
        <v>0.21</v>
      </c>
      <c r="K376" s="287">
        <v>0.21</v>
      </c>
      <c r="L376" s="206">
        <v>11</v>
      </c>
      <c r="M376" s="286">
        <v>11</v>
      </c>
      <c r="N376" s="552">
        <v>41791</v>
      </c>
      <c r="O376" s="205">
        <f t="shared" si="30"/>
        <v>0</v>
      </c>
      <c r="P376" s="555">
        <f>(1+$R$1)*Table33[[#This Row],[Hours]]</f>
        <v>0</v>
      </c>
      <c r="Q376" s="207">
        <f t="shared" si="29"/>
        <v>0</v>
      </c>
      <c r="R376" s="208">
        <f t="shared" si="31"/>
        <v>0</v>
      </c>
      <c r="S376" s="208">
        <f t="shared" si="32"/>
        <v>0</v>
      </c>
      <c r="T376" s="208" t="str">
        <f t="shared" si="33"/>
        <v/>
      </c>
      <c r="U376" s="195">
        <f>Table33[[#This Row],[gal/100ft]]*Table33[[#This Row],[QTY]]/100</f>
        <v>0</v>
      </c>
      <c r="V376" s="195"/>
      <c r="W376" s="195"/>
      <c r="X376" s="197"/>
      <c r="Y376" s="197"/>
      <c r="Z376" s="197"/>
      <c r="AA376" s="211"/>
      <c r="AB376" s="212"/>
    </row>
    <row r="377" spans="1:28" ht="12.75" x14ac:dyDescent="0.2">
      <c r="A377" s="195" t="s">
        <v>612</v>
      </c>
      <c r="B377" s="536" t="s">
        <v>875</v>
      </c>
      <c r="C377" s="536" t="s">
        <v>604</v>
      </c>
      <c r="D377" s="536" t="s">
        <v>873</v>
      </c>
      <c r="E377" s="288"/>
      <c r="F377" s="204">
        <v>4</v>
      </c>
      <c r="G377" s="204"/>
      <c r="H377" s="197"/>
      <c r="I377" s="198">
        <v>66</v>
      </c>
      <c r="J377" s="205">
        <v>0.25</v>
      </c>
      <c r="K377" s="287">
        <v>0.25</v>
      </c>
      <c r="L377" s="206">
        <v>10.26</v>
      </c>
      <c r="M377" s="286">
        <v>10.26</v>
      </c>
      <c r="N377" s="552">
        <v>41791</v>
      </c>
      <c r="O377" s="205">
        <f t="shared" si="30"/>
        <v>0</v>
      </c>
      <c r="P377" s="555">
        <f>(1+$R$1)*Table33[[#This Row],[Hours]]</f>
        <v>0</v>
      </c>
      <c r="Q377" s="207">
        <f t="shared" si="29"/>
        <v>0</v>
      </c>
      <c r="R377" s="208">
        <f t="shared" si="31"/>
        <v>0</v>
      </c>
      <c r="S377" s="208">
        <f t="shared" si="32"/>
        <v>0</v>
      </c>
      <c r="T377" s="208" t="str">
        <f t="shared" si="33"/>
        <v/>
      </c>
      <c r="U377" s="195">
        <f>Table33[[#This Row],[gal/100ft]]*Table33[[#This Row],[QTY]]/100</f>
        <v>0</v>
      </c>
      <c r="V377" s="195"/>
      <c r="W377" s="195"/>
      <c r="X377" s="197"/>
      <c r="Y377" s="197"/>
      <c r="Z377" s="197"/>
      <c r="AA377" s="211"/>
      <c r="AB377" s="212"/>
    </row>
    <row r="378" spans="1:28" ht="12.75" x14ac:dyDescent="0.2">
      <c r="A378" s="195" t="s">
        <v>612</v>
      </c>
      <c r="B378" s="536" t="s">
        <v>875</v>
      </c>
      <c r="C378" s="536" t="s">
        <v>604</v>
      </c>
      <c r="D378" s="536" t="s">
        <v>873</v>
      </c>
      <c r="E378" s="288"/>
      <c r="F378" s="204">
        <v>5</v>
      </c>
      <c r="G378" s="204"/>
      <c r="H378" s="197"/>
      <c r="I378" s="198">
        <v>102</v>
      </c>
      <c r="J378" s="205">
        <v>0.3</v>
      </c>
      <c r="K378" s="287">
        <v>0.3</v>
      </c>
      <c r="L378" s="206">
        <v>18.100000000000001</v>
      </c>
      <c r="M378" s="286">
        <v>18.100000000000001</v>
      </c>
      <c r="N378" s="552">
        <v>41791</v>
      </c>
      <c r="O378" s="205">
        <f t="shared" si="30"/>
        <v>0</v>
      </c>
      <c r="P378" s="555">
        <f>(1+$R$1)*Table33[[#This Row],[Hours]]</f>
        <v>0</v>
      </c>
      <c r="Q378" s="207">
        <f t="shared" si="29"/>
        <v>0</v>
      </c>
      <c r="R378" s="208">
        <f t="shared" si="31"/>
        <v>0</v>
      </c>
      <c r="S378" s="208">
        <f t="shared" si="32"/>
        <v>0</v>
      </c>
      <c r="T378" s="208" t="str">
        <f t="shared" si="33"/>
        <v/>
      </c>
      <c r="U378" s="195">
        <f>Table33[[#This Row],[gal/100ft]]*Table33[[#This Row],[QTY]]/100</f>
        <v>0</v>
      </c>
      <c r="V378" s="195"/>
      <c r="W378" s="195"/>
      <c r="X378" s="197"/>
      <c r="Y378" s="197"/>
      <c r="Z378" s="197"/>
      <c r="AA378" s="211"/>
      <c r="AB378" s="212"/>
    </row>
    <row r="379" spans="1:28" ht="12.75" x14ac:dyDescent="0.2">
      <c r="A379" s="195" t="s">
        <v>612</v>
      </c>
      <c r="B379" s="536" t="s">
        <v>875</v>
      </c>
      <c r="C379" s="536" t="s">
        <v>604</v>
      </c>
      <c r="D379" s="536" t="s">
        <v>873</v>
      </c>
      <c r="E379" s="288"/>
      <c r="F379" s="204">
        <v>6</v>
      </c>
      <c r="G379" s="204"/>
      <c r="H379" s="197"/>
      <c r="I379" s="198">
        <v>147</v>
      </c>
      <c r="J379" s="205">
        <v>0.34</v>
      </c>
      <c r="K379" s="287">
        <v>0.34</v>
      </c>
      <c r="L379" s="206">
        <v>17.28</v>
      </c>
      <c r="M379" s="286">
        <v>17.28</v>
      </c>
      <c r="N379" s="552">
        <v>41791</v>
      </c>
      <c r="O379" s="205">
        <f t="shared" si="30"/>
        <v>0</v>
      </c>
      <c r="P379" s="555">
        <f>(1+$R$1)*Table33[[#This Row],[Hours]]</f>
        <v>0</v>
      </c>
      <c r="Q379" s="207">
        <f t="shared" si="29"/>
        <v>0</v>
      </c>
      <c r="R379" s="208">
        <f t="shared" si="31"/>
        <v>0</v>
      </c>
      <c r="S379" s="208">
        <f t="shared" si="32"/>
        <v>0</v>
      </c>
      <c r="T379" s="208" t="str">
        <f t="shared" si="33"/>
        <v/>
      </c>
      <c r="U379" s="195">
        <f>Table33[[#This Row],[gal/100ft]]*Table33[[#This Row],[QTY]]/100</f>
        <v>0</v>
      </c>
      <c r="V379" s="195"/>
      <c r="W379" s="195"/>
      <c r="X379" s="197"/>
      <c r="Y379" s="197"/>
      <c r="Z379" s="197"/>
      <c r="AA379" s="211"/>
      <c r="AB379" s="212"/>
    </row>
    <row r="380" spans="1:28" ht="12.75" x14ac:dyDescent="0.2">
      <c r="A380" s="195" t="s">
        <v>612</v>
      </c>
      <c r="B380" s="536" t="s">
        <v>875</v>
      </c>
      <c r="C380" s="536" t="s">
        <v>604</v>
      </c>
      <c r="D380" s="536" t="s">
        <v>873</v>
      </c>
      <c r="E380" s="288"/>
      <c r="F380" s="204">
        <v>8</v>
      </c>
      <c r="G380" s="204"/>
      <c r="H380" s="197"/>
      <c r="I380" s="198">
        <v>261</v>
      </c>
      <c r="J380" s="205">
        <v>0.42</v>
      </c>
      <c r="K380" s="287">
        <v>0.42</v>
      </c>
      <c r="L380" s="206">
        <v>25.61</v>
      </c>
      <c r="M380" s="286">
        <v>25.61</v>
      </c>
      <c r="N380" s="552">
        <v>41791</v>
      </c>
      <c r="O380" s="205">
        <f t="shared" si="30"/>
        <v>0</v>
      </c>
      <c r="P380" s="555">
        <f>(1+$R$1)*Table33[[#This Row],[Hours]]</f>
        <v>0</v>
      </c>
      <c r="Q380" s="207">
        <f t="shared" si="29"/>
        <v>0</v>
      </c>
      <c r="R380" s="208">
        <f t="shared" si="31"/>
        <v>0</v>
      </c>
      <c r="S380" s="208">
        <f t="shared" si="32"/>
        <v>0</v>
      </c>
      <c r="T380" s="208" t="str">
        <f t="shared" si="33"/>
        <v/>
      </c>
      <c r="U380" s="195">
        <f>Table33[[#This Row],[gal/100ft]]*Table33[[#This Row],[QTY]]/100</f>
        <v>0</v>
      </c>
      <c r="V380" s="195"/>
      <c r="W380" s="195"/>
      <c r="X380" s="197"/>
      <c r="Y380" s="197"/>
      <c r="Z380" s="197"/>
      <c r="AA380" s="211"/>
      <c r="AB380" s="212"/>
    </row>
    <row r="381" spans="1:28" ht="12.75" x14ac:dyDescent="0.2">
      <c r="A381" s="195" t="s">
        <v>612</v>
      </c>
      <c r="B381" s="536" t="s">
        <v>875</v>
      </c>
      <c r="C381" s="536" t="s">
        <v>604</v>
      </c>
      <c r="D381" s="536" t="s">
        <v>873</v>
      </c>
      <c r="E381" s="288"/>
      <c r="F381" s="204">
        <v>10</v>
      </c>
      <c r="G381" s="204"/>
      <c r="H381" s="197"/>
      <c r="I381" s="198">
        <v>408</v>
      </c>
      <c r="J381" s="205">
        <v>0.52</v>
      </c>
      <c r="K381" s="287">
        <v>0.52</v>
      </c>
      <c r="L381" s="206">
        <v>35.86</v>
      </c>
      <c r="M381" s="286">
        <v>35.86</v>
      </c>
      <c r="N381" s="552">
        <v>41791</v>
      </c>
      <c r="O381" s="205">
        <f t="shared" si="30"/>
        <v>0</v>
      </c>
      <c r="P381" s="555">
        <f>(1+$R$1)*Table33[[#This Row],[Hours]]</f>
        <v>0</v>
      </c>
      <c r="Q381" s="207">
        <f t="shared" si="29"/>
        <v>0</v>
      </c>
      <c r="R381" s="208">
        <f t="shared" si="31"/>
        <v>0</v>
      </c>
      <c r="S381" s="208">
        <f t="shared" si="32"/>
        <v>0</v>
      </c>
      <c r="T381" s="208" t="str">
        <f t="shared" si="33"/>
        <v/>
      </c>
      <c r="U381" s="195">
        <f>Table33[[#This Row],[gal/100ft]]*Table33[[#This Row],[QTY]]/100</f>
        <v>0</v>
      </c>
      <c r="V381" s="195"/>
      <c r="W381" s="195"/>
      <c r="X381" s="197"/>
      <c r="Y381" s="197"/>
      <c r="Z381" s="197"/>
      <c r="AA381" s="211"/>
      <c r="AB381" s="212"/>
    </row>
    <row r="382" spans="1:28" ht="12.75" x14ac:dyDescent="0.2">
      <c r="A382" s="195" t="s">
        <v>612</v>
      </c>
      <c r="B382" s="536" t="s">
        <v>875</v>
      </c>
      <c r="C382" s="536" t="s">
        <v>604</v>
      </c>
      <c r="D382" s="536" t="s">
        <v>873</v>
      </c>
      <c r="E382" s="288"/>
      <c r="F382" s="204">
        <v>12</v>
      </c>
      <c r="G382" s="204"/>
      <c r="H382" s="197"/>
      <c r="I382" s="198">
        <v>588</v>
      </c>
      <c r="J382" s="205">
        <v>0.59</v>
      </c>
      <c r="K382" s="287">
        <v>0.59</v>
      </c>
      <c r="L382" s="206">
        <v>54</v>
      </c>
      <c r="M382" s="286">
        <v>54</v>
      </c>
      <c r="N382" s="552">
        <v>41791</v>
      </c>
      <c r="O382" s="205">
        <f t="shared" si="30"/>
        <v>0</v>
      </c>
      <c r="P382" s="555">
        <f>(1+$R$1)*Table33[[#This Row],[Hours]]</f>
        <v>0</v>
      </c>
      <c r="Q382" s="207">
        <f t="shared" si="29"/>
        <v>0</v>
      </c>
      <c r="R382" s="208">
        <f t="shared" si="31"/>
        <v>0</v>
      </c>
      <c r="S382" s="208">
        <f t="shared" si="32"/>
        <v>0</v>
      </c>
      <c r="T382" s="208" t="str">
        <f t="shared" si="33"/>
        <v/>
      </c>
      <c r="U382" s="195">
        <f>Table33[[#This Row],[gal/100ft]]*Table33[[#This Row],[QTY]]/100</f>
        <v>0</v>
      </c>
      <c r="V382" s="195"/>
      <c r="W382" s="195"/>
      <c r="X382" s="197"/>
      <c r="Y382" s="197"/>
      <c r="Z382" s="197"/>
      <c r="AA382" s="211"/>
      <c r="AB382" s="212"/>
    </row>
    <row r="383" spans="1:28" ht="12.75" x14ac:dyDescent="0.2">
      <c r="A383" s="195" t="s">
        <v>612</v>
      </c>
      <c r="B383" s="536" t="s">
        <v>874</v>
      </c>
      <c r="C383" s="536" t="s">
        <v>604</v>
      </c>
      <c r="D383" s="536" t="s">
        <v>876</v>
      </c>
      <c r="E383" s="288"/>
      <c r="F383" s="204">
        <v>2</v>
      </c>
      <c r="G383" s="209"/>
      <c r="H383" s="197"/>
      <c r="I383" s="198">
        <v>17</v>
      </c>
      <c r="J383" s="205">
        <v>0.12</v>
      </c>
      <c r="K383" s="287">
        <v>0.12</v>
      </c>
      <c r="L383" s="206">
        <v>4.9400000000000004</v>
      </c>
      <c r="M383" s="286">
        <v>4.9400000000000004</v>
      </c>
      <c r="N383" s="552">
        <v>41791</v>
      </c>
      <c r="O383" s="205">
        <f t="shared" si="30"/>
        <v>0</v>
      </c>
      <c r="P383" s="555">
        <f>(1+$R$1)*Table33[[#This Row],[Hours]]</f>
        <v>0</v>
      </c>
      <c r="Q383" s="207">
        <f t="shared" si="29"/>
        <v>0</v>
      </c>
      <c r="R383" s="208">
        <f t="shared" si="31"/>
        <v>0</v>
      </c>
      <c r="S383" s="208">
        <f t="shared" si="32"/>
        <v>0</v>
      </c>
      <c r="T383" s="208" t="str">
        <f t="shared" si="33"/>
        <v/>
      </c>
      <c r="U383" s="195">
        <f>Table33[[#This Row],[gal/100ft]]*Table33[[#This Row],[QTY]]/100</f>
        <v>0</v>
      </c>
      <c r="V383" s="195"/>
      <c r="W383" s="195"/>
      <c r="X383" s="197"/>
      <c r="Y383" s="197"/>
      <c r="Z383" s="197"/>
      <c r="AA383" s="211"/>
      <c r="AB383" s="212"/>
    </row>
    <row r="384" spans="1:28" ht="12.75" x14ac:dyDescent="0.2">
      <c r="A384" s="195" t="s">
        <v>612</v>
      </c>
      <c r="B384" s="536" t="s">
        <v>874</v>
      </c>
      <c r="C384" s="536" t="s">
        <v>604</v>
      </c>
      <c r="D384" s="536" t="s">
        <v>876</v>
      </c>
      <c r="E384" s="288"/>
      <c r="F384" s="204">
        <v>2.5</v>
      </c>
      <c r="G384" s="209"/>
      <c r="H384" s="197"/>
      <c r="I384" s="198">
        <v>25</v>
      </c>
      <c r="J384" s="205">
        <v>0.16</v>
      </c>
      <c r="K384" s="287">
        <v>0.16</v>
      </c>
      <c r="L384" s="206">
        <v>4.46</v>
      </c>
      <c r="M384" s="286">
        <v>4.46</v>
      </c>
      <c r="N384" s="552">
        <v>41791</v>
      </c>
      <c r="O384" s="205">
        <f t="shared" si="30"/>
        <v>0</v>
      </c>
      <c r="P384" s="555">
        <f>(1+$R$1)*Table33[[#This Row],[Hours]]</f>
        <v>0</v>
      </c>
      <c r="Q384" s="207">
        <f t="shared" si="29"/>
        <v>0</v>
      </c>
      <c r="R384" s="208">
        <f t="shared" si="31"/>
        <v>0</v>
      </c>
      <c r="S384" s="208">
        <f t="shared" si="32"/>
        <v>0</v>
      </c>
      <c r="T384" s="208" t="str">
        <f t="shared" si="33"/>
        <v/>
      </c>
      <c r="U384" s="195">
        <f>Table33[[#This Row],[gal/100ft]]*Table33[[#This Row],[QTY]]/100</f>
        <v>0</v>
      </c>
      <c r="V384" s="195"/>
      <c r="W384" s="195"/>
      <c r="X384" s="197"/>
      <c r="Y384" s="197"/>
      <c r="Z384" s="197"/>
      <c r="AA384" s="211"/>
      <c r="AB384" s="212"/>
    </row>
    <row r="385" spans="1:28" ht="12.75" x14ac:dyDescent="0.2">
      <c r="A385" s="195" t="s">
        <v>612</v>
      </c>
      <c r="B385" s="536" t="s">
        <v>874</v>
      </c>
      <c r="C385" s="536" t="s">
        <v>604</v>
      </c>
      <c r="D385" s="536" t="s">
        <v>876</v>
      </c>
      <c r="E385" s="288"/>
      <c r="F385" s="204">
        <v>3</v>
      </c>
      <c r="G385" s="209"/>
      <c r="H385" s="197"/>
      <c r="I385" s="198">
        <v>38</v>
      </c>
      <c r="J385" s="205">
        <v>0.19</v>
      </c>
      <c r="K385" s="287">
        <v>0.19</v>
      </c>
      <c r="L385" s="206">
        <v>5.77</v>
      </c>
      <c r="M385" s="286">
        <v>5.77</v>
      </c>
      <c r="N385" s="552">
        <v>41791</v>
      </c>
      <c r="O385" s="205">
        <f t="shared" si="30"/>
        <v>0</v>
      </c>
      <c r="P385" s="555">
        <f>(1+$R$1)*Table33[[#This Row],[Hours]]</f>
        <v>0</v>
      </c>
      <c r="Q385" s="207">
        <f t="shared" si="29"/>
        <v>0</v>
      </c>
      <c r="R385" s="208">
        <f t="shared" si="31"/>
        <v>0</v>
      </c>
      <c r="S385" s="208">
        <f t="shared" si="32"/>
        <v>0</v>
      </c>
      <c r="T385" s="208" t="str">
        <f t="shared" si="33"/>
        <v/>
      </c>
      <c r="U385" s="195">
        <f>Table33[[#This Row],[gal/100ft]]*Table33[[#This Row],[QTY]]/100</f>
        <v>0</v>
      </c>
      <c r="V385" s="195"/>
      <c r="W385" s="195"/>
      <c r="X385" s="197"/>
      <c r="Y385" s="197"/>
      <c r="Z385" s="197"/>
      <c r="AA385" s="211"/>
      <c r="AB385" s="212"/>
    </row>
    <row r="386" spans="1:28" ht="12.75" x14ac:dyDescent="0.2">
      <c r="A386" s="195" t="s">
        <v>612</v>
      </c>
      <c r="B386" s="536" t="s">
        <v>874</v>
      </c>
      <c r="C386" s="536" t="s">
        <v>604</v>
      </c>
      <c r="D386" s="536" t="s">
        <v>876</v>
      </c>
      <c r="E386" s="288"/>
      <c r="F386" s="204">
        <v>3.5</v>
      </c>
      <c r="G386" s="209"/>
      <c r="H386" s="197"/>
      <c r="I386" s="198"/>
      <c r="J386" s="205">
        <v>0.21</v>
      </c>
      <c r="K386" s="287">
        <v>0.21</v>
      </c>
      <c r="L386" s="206">
        <v>21</v>
      </c>
      <c r="M386" s="286">
        <v>21</v>
      </c>
      <c r="N386" s="552">
        <v>41791</v>
      </c>
      <c r="O386" s="205">
        <f t="shared" si="30"/>
        <v>0</v>
      </c>
      <c r="P386" s="555">
        <f>(1+$R$1)*Table33[[#This Row],[Hours]]</f>
        <v>0</v>
      </c>
      <c r="Q386" s="207">
        <f t="shared" si="29"/>
        <v>0</v>
      </c>
      <c r="R386" s="208">
        <f t="shared" si="31"/>
        <v>0</v>
      </c>
      <c r="S386" s="208">
        <f t="shared" si="32"/>
        <v>0</v>
      </c>
      <c r="T386" s="208" t="str">
        <f t="shared" si="33"/>
        <v/>
      </c>
      <c r="U386" s="195">
        <f>Table33[[#This Row],[gal/100ft]]*Table33[[#This Row],[QTY]]/100</f>
        <v>0</v>
      </c>
      <c r="V386" s="195"/>
      <c r="W386" s="195"/>
      <c r="X386" s="197"/>
      <c r="Y386" s="197"/>
      <c r="Z386" s="197"/>
      <c r="AA386" s="211"/>
      <c r="AB386" s="212"/>
    </row>
    <row r="387" spans="1:28" ht="12.75" x14ac:dyDescent="0.2">
      <c r="A387" s="195" t="s">
        <v>612</v>
      </c>
      <c r="B387" s="536" t="s">
        <v>874</v>
      </c>
      <c r="C387" s="536" t="s">
        <v>604</v>
      </c>
      <c r="D387" s="536" t="s">
        <v>876</v>
      </c>
      <c r="E387" s="288"/>
      <c r="F387" s="204">
        <v>4</v>
      </c>
      <c r="G387" s="209"/>
      <c r="H387" s="197"/>
      <c r="I387" s="198">
        <v>66</v>
      </c>
      <c r="J387" s="205">
        <v>0.25</v>
      </c>
      <c r="K387" s="287">
        <v>0.15</v>
      </c>
      <c r="L387" s="206">
        <v>7.82</v>
      </c>
      <c r="M387" s="286">
        <v>7.82</v>
      </c>
      <c r="N387" s="552">
        <v>41791</v>
      </c>
      <c r="O387" s="205">
        <f t="shared" si="30"/>
        <v>0</v>
      </c>
      <c r="P387" s="555">
        <f>(1+$R$1)*Table33[[#This Row],[Hours]]</f>
        <v>0</v>
      </c>
      <c r="Q387" s="207">
        <f t="shared" si="29"/>
        <v>0</v>
      </c>
      <c r="R387" s="208">
        <f t="shared" si="31"/>
        <v>0</v>
      </c>
      <c r="S387" s="208">
        <f t="shared" si="32"/>
        <v>0</v>
      </c>
      <c r="T387" s="208" t="str">
        <f t="shared" si="33"/>
        <v/>
      </c>
      <c r="U387" s="195">
        <f>Table33[[#This Row],[gal/100ft]]*Table33[[#This Row],[QTY]]/100</f>
        <v>0</v>
      </c>
      <c r="V387" s="195"/>
      <c r="W387" s="195"/>
      <c r="X387" s="197"/>
      <c r="Y387" s="197"/>
      <c r="Z387" s="197"/>
      <c r="AA387" s="211"/>
      <c r="AB387" s="212"/>
    </row>
    <row r="388" spans="1:28" ht="12.75" x14ac:dyDescent="0.2">
      <c r="A388" s="195" t="s">
        <v>612</v>
      </c>
      <c r="B388" s="536" t="s">
        <v>874</v>
      </c>
      <c r="C388" s="536" t="s">
        <v>604</v>
      </c>
      <c r="D388" s="536" t="s">
        <v>876</v>
      </c>
      <c r="E388" s="288"/>
      <c r="F388" s="204">
        <v>5</v>
      </c>
      <c r="G388" s="209"/>
      <c r="H388" s="197"/>
      <c r="I388" s="198">
        <v>102</v>
      </c>
      <c r="J388" s="205">
        <v>0.3</v>
      </c>
      <c r="K388" s="287">
        <v>0.3</v>
      </c>
      <c r="L388" s="206">
        <v>11.98</v>
      </c>
      <c r="M388" s="286">
        <v>11.98</v>
      </c>
      <c r="N388" s="552">
        <v>41791</v>
      </c>
      <c r="O388" s="205">
        <f t="shared" si="30"/>
        <v>0</v>
      </c>
      <c r="P388" s="555">
        <f>(1+$R$1)*Table33[[#This Row],[Hours]]</f>
        <v>0</v>
      </c>
      <c r="Q388" s="207">
        <f t="shared" si="29"/>
        <v>0</v>
      </c>
      <c r="R388" s="208">
        <f t="shared" si="31"/>
        <v>0</v>
      </c>
      <c r="S388" s="208">
        <f t="shared" si="32"/>
        <v>0</v>
      </c>
      <c r="T388" s="208" t="str">
        <f t="shared" si="33"/>
        <v/>
      </c>
      <c r="U388" s="195">
        <f>Table33[[#This Row],[gal/100ft]]*Table33[[#This Row],[QTY]]/100</f>
        <v>0</v>
      </c>
      <c r="V388" s="195"/>
      <c r="W388" s="195"/>
      <c r="X388" s="197"/>
      <c r="Y388" s="197"/>
      <c r="Z388" s="197"/>
      <c r="AA388" s="211"/>
      <c r="AB388" s="212"/>
    </row>
    <row r="389" spans="1:28" ht="12.75" x14ac:dyDescent="0.2">
      <c r="A389" s="195" t="s">
        <v>612</v>
      </c>
      <c r="B389" s="536" t="s">
        <v>874</v>
      </c>
      <c r="C389" s="536" t="s">
        <v>604</v>
      </c>
      <c r="D389" s="536" t="s">
        <v>876</v>
      </c>
      <c r="E389" s="288"/>
      <c r="F389" s="204">
        <v>6</v>
      </c>
      <c r="G389" s="209"/>
      <c r="H389" s="197"/>
      <c r="I389" s="198">
        <v>147</v>
      </c>
      <c r="J389" s="205">
        <v>0.34</v>
      </c>
      <c r="K389" s="287">
        <v>0.34</v>
      </c>
      <c r="L389" s="206">
        <v>13.54</v>
      </c>
      <c r="M389" s="286">
        <v>13.54</v>
      </c>
      <c r="N389" s="552">
        <v>41791</v>
      </c>
      <c r="O389" s="205">
        <f t="shared" si="30"/>
        <v>0</v>
      </c>
      <c r="P389" s="555">
        <f>(1+$R$1)*Table33[[#This Row],[Hours]]</f>
        <v>0</v>
      </c>
      <c r="Q389" s="207">
        <f t="shared" si="29"/>
        <v>0</v>
      </c>
      <c r="R389" s="208">
        <f t="shared" si="31"/>
        <v>0</v>
      </c>
      <c r="S389" s="208">
        <f t="shared" si="32"/>
        <v>0</v>
      </c>
      <c r="T389" s="208" t="str">
        <f t="shared" si="33"/>
        <v/>
      </c>
      <c r="U389" s="195">
        <f>Table33[[#This Row],[gal/100ft]]*Table33[[#This Row],[QTY]]/100</f>
        <v>0</v>
      </c>
      <c r="V389" s="195"/>
      <c r="W389" s="195"/>
      <c r="X389" s="197"/>
      <c r="Y389" s="197"/>
      <c r="Z389" s="197"/>
      <c r="AA389" s="211"/>
      <c r="AB389" s="212"/>
    </row>
    <row r="390" spans="1:28" ht="12.75" x14ac:dyDescent="0.2">
      <c r="A390" s="195" t="s">
        <v>612</v>
      </c>
      <c r="B390" s="536" t="s">
        <v>874</v>
      </c>
      <c r="C390" s="536" t="s">
        <v>604</v>
      </c>
      <c r="D390" s="536" t="s">
        <v>876</v>
      </c>
      <c r="E390" s="288"/>
      <c r="F390" s="204">
        <v>8</v>
      </c>
      <c r="G390" s="209"/>
      <c r="H390" s="197"/>
      <c r="I390" s="198">
        <v>261</v>
      </c>
      <c r="J390" s="205">
        <v>0.42</v>
      </c>
      <c r="K390" s="287">
        <v>0.42</v>
      </c>
      <c r="L390" s="206">
        <v>21.58</v>
      </c>
      <c r="M390" s="286">
        <v>21.58</v>
      </c>
      <c r="N390" s="552">
        <v>41791</v>
      </c>
      <c r="O390" s="205">
        <f t="shared" si="30"/>
        <v>0</v>
      </c>
      <c r="P390" s="555">
        <f>(1+$R$1)*Table33[[#This Row],[Hours]]</f>
        <v>0</v>
      </c>
      <c r="Q390" s="207">
        <f t="shared" si="29"/>
        <v>0</v>
      </c>
      <c r="R390" s="208">
        <f t="shared" si="31"/>
        <v>0</v>
      </c>
      <c r="S390" s="208">
        <f t="shared" si="32"/>
        <v>0</v>
      </c>
      <c r="T390" s="208" t="str">
        <f t="shared" si="33"/>
        <v/>
      </c>
      <c r="U390" s="195">
        <f>Table33[[#This Row],[gal/100ft]]*Table33[[#This Row],[QTY]]/100</f>
        <v>0</v>
      </c>
      <c r="V390" s="195"/>
      <c r="W390" s="195"/>
      <c r="X390" s="197"/>
      <c r="Y390" s="197"/>
      <c r="Z390" s="197"/>
      <c r="AA390" s="211"/>
      <c r="AB390" s="212"/>
    </row>
    <row r="391" spans="1:28" ht="12.75" x14ac:dyDescent="0.2">
      <c r="A391" s="195" t="s">
        <v>612</v>
      </c>
      <c r="B391" s="536" t="s">
        <v>874</v>
      </c>
      <c r="C391" s="536" t="s">
        <v>604</v>
      </c>
      <c r="D391" s="536" t="s">
        <v>876</v>
      </c>
      <c r="E391" s="288"/>
      <c r="F391" s="204">
        <v>10</v>
      </c>
      <c r="G391" s="209"/>
      <c r="H391" s="197"/>
      <c r="I391" s="198">
        <v>408</v>
      </c>
      <c r="J391" s="205">
        <v>0.52</v>
      </c>
      <c r="K391" s="287">
        <v>0.52</v>
      </c>
      <c r="L391" s="206">
        <v>32.68</v>
      </c>
      <c r="M391" s="286">
        <v>32.68</v>
      </c>
      <c r="N391" s="552">
        <v>41791</v>
      </c>
      <c r="O391" s="205">
        <f t="shared" si="30"/>
        <v>0</v>
      </c>
      <c r="P391" s="555">
        <f>(1+$R$1)*Table33[[#This Row],[Hours]]</f>
        <v>0</v>
      </c>
      <c r="Q391" s="207">
        <f t="shared" ref="Q391:Q454" si="34">P391*$O$1</f>
        <v>0</v>
      </c>
      <c r="R391" s="208">
        <f t="shared" si="31"/>
        <v>0</v>
      </c>
      <c r="S391" s="208">
        <f t="shared" si="32"/>
        <v>0</v>
      </c>
      <c r="T391" s="208" t="str">
        <f t="shared" si="33"/>
        <v/>
      </c>
      <c r="U391" s="195">
        <f>Table33[[#This Row],[gal/100ft]]*Table33[[#This Row],[QTY]]/100</f>
        <v>0</v>
      </c>
      <c r="V391" s="195"/>
      <c r="W391" s="195"/>
      <c r="X391" s="197"/>
      <c r="Y391" s="197"/>
      <c r="Z391" s="197"/>
      <c r="AA391" s="211"/>
      <c r="AB391" s="212"/>
    </row>
    <row r="392" spans="1:28" ht="12.75" x14ac:dyDescent="0.2">
      <c r="A392" s="195" t="s">
        <v>612</v>
      </c>
      <c r="B392" s="536" t="s">
        <v>874</v>
      </c>
      <c r="C392" s="536" t="s">
        <v>604</v>
      </c>
      <c r="D392" s="536" t="s">
        <v>876</v>
      </c>
      <c r="E392" s="288"/>
      <c r="F392" s="204">
        <v>12</v>
      </c>
      <c r="G392" s="209"/>
      <c r="H392" s="197"/>
      <c r="I392" s="198">
        <v>588</v>
      </c>
      <c r="J392" s="205">
        <v>0.59</v>
      </c>
      <c r="K392" s="287">
        <v>0.59</v>
      </c>
      <c r="L392" s="206">
        <v>37.17</v>
      </c>
      <c r="M392" s="286">
        <v>37.17</v>
      </c>
      <c r="N392" s="552">
        <v>41791</v>
      </c>
      <c r="O392" s="205">
        <f t="shared" si="30"/>
        <v>0</v>
      </c>
      <c r="P392" s="555">
        <f>(1+$R$1)*Table33[[#This Row],[Hours]]</f>
        <v>0</v>
      </c>
      <c r="Q392" s="207">
        <f t="shared" si="34"/>
        <v>0</v>
      </c>
      <c r="R392" s="208">
        <f t="shared" si="31"/>
        <v>0</v>
      </c>
      <c r="S392" s="208">
        <f t="shared" si="32"/>
        <v>0</v>
      </c>
      <c r="T392" s="208" t="str">
        <f t="shared" si="33"/>
        <v/>
      </c>
      <c r="U392" s="195">
        <f>Table33[[#This Row],[gal/100ft]]*Table33[[#This Row],[QTY]]/100</f>
        <v>0</v>
      </c>
      <c r="V392" s="195"/>
      <c r="W392" s="195"/>
      <c r="X392" s="197"/>
      <c r="Y392" s="197"/>
      <c r="Z392" s="197"/>
      <c r="AA392" s="211"/>
      <c r="AB392" s="212"/>
    </row>
    <row r="393" spans="1:28" ht="12.75" x14ac:dyDescent="0.2">
      <c r="A393" s="195" t="s">
        <v>612</v>
      </c>
      <c r="B393" s="536" t="s">
        <v>874</v>
      </c>
      <c r="C393" s="536" t="s">
        <v>604</v>
      </c>
      <c r="D393" s="536" t="s">
        <v>876</v>
      </c>
      <c r="E393" s="288"/>
      <c r="F393" s="204">
        <v>14</v>
      </c>
      <c r="G393" s="209"/>
      <c r="H393" s="197"/>
      <c r="I393" s="198">
        <v>716</v>
      </c>
      <c r="J393" s="205">
        <v>0.6</v>
      </c>
      <c r="K393" s="287">
        <v>0.6</v>
      </c>
      <c r="L393" s="206">
        <v>43.67</v>
      </c>
      <c r="M393" s="286">
        <v>43.67</v>
      </c>
      <c r="N393" s="552">
        <v>41791</v>
      </c>
      <c r="O393" s="205">
        <f t="shared" si="30"/>
        <v>0</v>
      </c>
      <c r="P393" s="555">
        <f>(1+$R$1)*Table33[[#This Row],[Hours]]</f>
        <v>0</v>
      </c>
      <c r="Q393" s="207">
        <f t="shared" si="34"/>
        <v>0</v>
      </c>
      <c r="R393" s="208">
        <f t="shared" si="31"/>
        <v>0</v>
      </c>
      <c r="S393" s="208">
        <f t="shared" si="32"/>
        <v>0</v>
      </c>
      <c r="T393" s="208" t="str">
        <f t="shared" si="33"/>
        <v/>
      </c>
      <c r="U393" s="195">
        <f>Table33[[#This Row],[gal/100ft]]*Table33[[#This Row],[QTY]]/100</f>
        <v>0</v>
      </c>
      <c r="V393" s="195"/>
      <c r="W393" s="195"/>
      <c r="X393" s="197"/>
      <c r="Y393" s="197"/>
      <c r="Z393" s="197"/>
      <c r="AA393" s="211"/>
      <c r="AB393" s="212"/>
    </row>
    <row r="394" spans="1:28" ht="12.75" x14ac:dyDescent="0.2">
      <c r="A394" s="195" t="s">
        <v>612</v>
      </c>
      <c r="B394" s="536" t="s">
        <v>874</v>
      </c>
      <c r="C394" s="536" t="s">
        <v>604</v>
      </c>
      <c r="D394" s="536" t="s">
        <v>876</v>
      </c>
      <c r="E394" s="288"/>
      <c r="F394" s="204">
        <v>16</v>
      </c>
      <c r="G394" s="209"/>
      <c r="H394" s="197"/>
      <c r="I394" s="198">
        <v>950</v>
      </c>
      <c r="J394" s="205">
        <v>0.62</v>
      </c>
      <c r="K394" s="287">
        <v>0.62</v>
      </c>
      <c r="L394" s="206">
        <v>47.52</v>
      </c>
      <c r="M394" s="286">
        <v>47.52</v>
      </c>
      <c r="N394" s="552">
        <v>41791</v>
      </c>
      <c r="O394" s="205">
        <f t="shared" si="30"/>
        <v>0</v>
      </c>
      <c r="P394" s="555">
        <f>(1+$R$1)*Table33[[#This Row],[Hours]]</f>
        <v>0</v>
      </c>
      <c r="Q394" s="207">
        <f t="shared" si="34"/>
        <v>0</v>
      </c>
      <c r="R394" s="208">
        <f t="shared" si="31"/>
        <v>0</v>
      </c>
      <c r="S394" s="208">
        <f t="shared" si="32"/>
        <v>0</v>
      </c>
      <c r="T394" s="208" t="str">
        <f t="shared" si="33"/>
        <v/>
      </c>
      <c r="U394" s="195">
        <f>Table33[[#This Row],[gal/100ft]]*Table33[[#This Row],[QTY]]/100</f>
        <v>0</v>
      </c>
      <c r="V394" s="195"/>
      <c r="W394" s="195"/>
      <c r="X394" s="197"/>
      <c r="Y394" s="197"/>
      <c r="Z394" s="197"/>
      <c r="AA394" s="211"/>
      <c r="AB394" s="212"/>
    </row>
    <row r="395" spans="1:28" ht="12.75" x14ac:dyDescent="0.2">
      <c r="A395" s="195" t="s">
        <v>612</v>
      </c>
      <c r="B395" s="536" t="s">
        <v>874</v>
      </c>
      <c r="C395" s="536" t="s">
        <v>604</v>
      </c>
      <c r="D395" s="536" t="s">
        <v>876</v>
      </c>
      <c r="E395" s="288"/>
      <c r="F395" s="204">
        <v>18</v>
      </c>
      <c r="G395" s="209"/>
      <c r="H395" s="197"/>
      <c r="I395" s="198">
        <v>1200</v>
      </c>
      <c r="J395" s="205">
        <v>0.64</v>
      </c>
      <c r="K395" s="287">
        <v>0.64</v>
      </c>
      <c r="L395" s="206">
        <v>58.97</v>
      </c>
      <c r="M395" s="286">
        <v>58.97</v>
      </c>
      <c r="N395" s="552">
        <v>41791</v>
      </c>
      <c r="O395" s="205">
        <f t="shared" si="30"/>
        <v>0</v>
      </c>
      <c r="P395" s="555">
        <f>(1+$R$1)*Table33[[#This Row],[Hours]]</f>
        <v>0</v>
      </c>
      <c r="Q395" s="207">
        <f t="shared" si="34"/>
        <v>0</v>
      </c>
      <c r="R395" s="208">
        <f t="shared" si="31"/>
        <v>0</v>
      </c>
      <c r="S395" s="208">
        <f t="shared" si="32"/>
        <v>0</v>
      </c>
      <c r="T395" s="208" t="str">
        <f t="shared" si="33"/>
        <v/>
      </c>
      <c r="U395" s="195">
        <f>Table33[[#This Row],[gal/100ft]]*Table33[[#This Row],[QTY]]/100</f>
        <v>0</v>
      </c>
      <c r="V395" s="195"/>
      <c r="W395" s="195"/>
      <c r="X395" s="197"/>
      <c r="Y395" s="197"/>
      <c r="Z395" s="197"/>
      <c r="AA395" s="211"/>
      <c r="AB395" s="212"/>
    </row>
    <row r="396" spans="1:28" ht="12.75" x14ac:dyDescent="0.2">
      <c r="A396" s="195" t="s">
        <v>612</v>
      </c>
      <c r="B396" s="536" t="s">
        <v>874</v>
      </c>
      <c r="C396" s="536" t="s">
        <v>604</v>
      </c>
      <c r="D396" s="536" t="s">
        <v>876</v>
      </c>
      <c r="E396" s="288"/>
      <c r="F396" s="204">
        <v>20</v>
      </c>
      <c r="G396" s="209"/>
      <c r="H396" s="197"/>
      <c r="I396" s="198">
        <v>1500</v>
      </c>
      <c r="J396" s="205">
        <v>0.67</v>
      </c>
      <c r="K396" s="287">
        <v>0.67</v>
      </c>
      <c r="L396" s="206">
        <v>65.61</v>
      </c>
      <c r="M396" s="286">
        <v>65.61</v>
      </c>
      <c r="N396" s="552">
        <v>41791</v>
      </c>
      <c r="O396" s="205">
        <f t="shared" si="30"/>
        <v>0</v>
      </c>
      <c r="P396" s="555">
        <f>(1+$R$1)*Table33[[#This Row],[Hours]]</f>
        <v>0</v>
      </c>
      <c r="Q396" s="207">
        <f t="shared" si="34"/>
        <v>0</v>
      </c>
      <c r="R396" s="208">
        <f t="shared" si="31"/>
        <v>0</v>
      </c>
      <c r="S396" s="208">
        <f t="shared" si="32"/>
        <v>0</v>
      </c>
      <c r="T396" s="208" t="str">
        <f t="shared" si="33"/>
        <v/>
      </c>
      <c r="U396" s="195">
        <f>Table33[[#This Row],[gal/100ft]]*Table33[[#This Row],[QTY]]/100</f>
        <v>0</v>
      </c>
      <c r="V396" s="195"/>
      <c r="W396" s="195"/>
      <c r="X396" s="197"/>
      <c r="Y396" s="197"/>
      <c r="Z396" s="197"/>
      <c r="AA396" s="211"/>
      <c r="AB396" s="212"/>
    </row>
    <row r="397" spans="1:28" ht="12.75" x14ac:dyDescent="0.2">
      <c r="A397" s="195" t="s">
        <v>612</v>
      </c>
      <c r="B397" s="536" t="s">
        <v>874</v>
      </c>
      <c r="C397" s="536" t="s">
        <v>604</v>
      </c>
      <c r="D397" s="536" t="s">
        <v>876</v>
      </c>
      <c r="E397" s="288"/>
      <c r="F397" s="204">
        <v>24</v>
      </c>
      <c r="G397" s="209"/>
      <c r="H397" s="197"/>
      <c r="I397" s="198">
        <v>2350</v>
      </c>
      <c r="J397" s="205">
        <v>0.72</v>
      </c>
      <c r="K397" s="287">
        <v>0.72</v>
      </c>
      <c r="L397" s="206">
        <v>64.27</v>
      </c>
      <c r="M397" s="286">
        <v>64.27</v>
      </c>
      <c r="N397" s="552">
        <v>41791</v>
      </c>
      <c r="O397" s="205">
        <f t="shared" si="30"/>
        <v>0</v>
      </c>
      <c r="P397" s="555">
        <f>(1+$R$1)*Table33[[#This Row],[Hours]]</f>
        <v>0</v>
      </c>
      <c r="Q397" s="207">
        <f t="shared" si="34"/>
        <v>0</v>
      </c>
      <c r="R397" s="208">
        <f t="shared" si="31"/>
        <v>0</v>
      </c>
      <c r="S397" s="208">
        <f t="shared" si="32"/>
        <v>0</v>
      </c>
      <c r="T397" s="208" t="str">
        <f t="shared" si="33"/>
        <v/>
      </c>
      <c r="U397" s="195">
        <f>Table33[[#This Row],[gal/100ft]]*Table33[[#This Row],[QTY]]/100</f>
        <v>0</v>
      </c>
      <c r="V397" s="195"/>
      <c r="W397" s="195"/>
      <c r="X397" s="197"/>
      <c r="Y397" s="197"/>
      <c r="Z397" s="197"/>
      <c r="AA397" s="211"/>
      <c r="AB397" s="212"/>
    </row>
    <row r="398" spans="1:28" ht="12.75" x14ac:dyDescent="0.2">
      <c r="A398" s="195" t="s">
        <v>643</v>
      </c>
      <c r="B398" s="195" t="s">
        <v>643</v>
      </c>
      <c r="C398" s="536" t="s">
        <v>604</v>
      </c>
      <c r="D398" s="195" t="s">
        <v>644</v>
      </c>
      <c r="E398" s="288"/>
      <c r="F398" s="204">
        <v>0.5</v>
      </c>
      <c r="G398" s="204"/>
      <c r="H398" s="197"/>
      <c r="I398" s="198">
        <v>1.6</v>
      </c>
      <c r="J398" s="205">
        <v>0.05</v>
      </c>
      <c r="K398" s="287">
        <v>0.05</v>
      </c>
      <c r="L398" s="206">
        <v>1.1200000000000001</v>
      </c>
      <c r="M398" s="286">
        <v>1.1200000000000001</v>
      </c>
      <c r="N398" s="552">
        <v>41791</v>
      </c>
      <c r="O398" s="205">
        <f t="shared" si="30"/>
        <v>0</v>
      </c>
      <c r="P398" s="555">
        <f>(1+$R$1)*Table33[[#This Row],[Hours]]</f>
        <v>0</v>
      </c>
      <c r="Q398" s="207">
        <f t="shared" si="34"/>
        <v>0</v>
      </c>
      <c r="R398" s="208">
        <f t="shared" si="31"/>
        <v>0</v>
      </c>
      <c r="S398" s="208">
        <f t="shared" si="32"/>
        <v>0</v>
      </c>
      <c r="T398" s="208" t="str">
        <f t="shared" si="33"/>
        <v/>
      </c>
      <c r="U398" s="195">
        <f>Table33[[#This Row],[gal/100ft]]*Table33[[#This Row],[QTY]]/100</f>
        <v>0</v>
      </c>
      <c r="V398" s="195"/>
      <c r="W398" s="195"/>
      <c r="X398" s="197"/>
      <c r="Y398" s="197"/>
      <c r="Z398" s="197"/>
      <c r="AA398" s="211"/>
      <c r="AB398" s="212"/>
    </row>
    <row r="399" spans="1:28" ht="12.75" x14ac:dyDescent="0.2">
      <c r="A399" s="195" t="s">
        <v>643</v>
      </c>
      <c r="B399" s="195" t="s">
        <v>643</v>
      </c>
      <c r="C399" s="536" t="s">
        <v>604</v>
      </c>
      <c r="D399" s="195" t="s">
        <v>644</v>
      </c>
      <c r="E399" s="288"/>
      <c r="F399" s="204">
        <v>0.625</v>
      </c>
      <c r="G399" s="204"/>
      <c r="H399" s="197"/>
      <c r="I399" s="198"/>
      <c r="J399" s="205">
        <v>0.05</v>
      </c>
      <c r="K399" s="287">
        <v>0.05</v>
      </c>
      <c r="L399" s="206">
        <v>1.46</v>
      </c>
      <c r="M399" s="286">
        <v>1.46</v>
      </c>
      <c r="N399" s="552">
        <v>41791</v>
      </c>
      <c r="O399" s="205">
        <f t="shared" si="30"/>
        <v>0</v>
      </c>
      <c r="P399" s="555">
        <f>(1+$R$1)*Table33[[#This Row],[Hours]]</f>
        <v>0</v>
      </c>
      <c r="Q399" s="207">
        <f t="shared" si="34"/>
        <v>0</v>
      </c>
      <c r="R399" s="208">
        <f t="shared" si="31"/>
        <v>0</v>
      </c>
      <c r="S399" s="208">
        <f t="shared" si="32"/>
        <v>0</v>
      </c>
      <c r="T399" s="208" t="str">
        <f t="shared" si="33"/>
        <v/>
      </c>
      <c r="U399" s="195">
        <f>Table33[[#This Row],[gal/100ft]]*Table33[[#This Row],[QTY]]/100</f>
        <v>0</v>
      </c>
      <c r="V399" s="195"/>
      <c r="W399" s="195"/>
      <c r="X399" s="197"/>
      <c r="Y399" s="197"/>
      <c r="Z399" s="197"/>
      <c r="AA399" s="211"/>
      <c r="AB399" s="212"/>
    </row>
    <row r="400" spans="1:28" ht="12.75" x14ac:dyDescent="0.2">
      <c r="A400" s="195" t="s">
        <v>643</v>
      </c>
      <c r="B400" s="195" t="s">
        <v>643</v>
      </c>
      <c r="C400" s="536" t="s">
        <v>604</v>
      </c>
      <c r="D400" s="195" t="s">
        <v>644</v>
      </c>
      <c r="E400" s="288"/>
      <c r="F400" s="204">
        <v>0.75</v>
      </c>
      <c r="G400" s="204"/>
      <c r="H400" s="197"/>
      <c r="I400" s="198">
        <v>2.8</v>
      </c>
      <c r="J400" s="205">
        <v>0.05</v>
      </c>
      <c r="K400" s="287">
        <v>0.05</v>
      </c>
      <c r="L400" s="206">
        <v>1.8</v>
      </c>
      <c r="M400" s="286">
        <v>1.8</v>
      </c>
      <c r="N400" s="552">
        <v>41791</v>
      </c>
      <c r="O400" s="205">
        <f t="shared" si="30"/>
        <v>0</v>
      </c>
      <c r="P400" s="555">
        <f>(1+$R$1)*Table33[[#This Row],[Hours]]</f>
        <v>0</v>
      </c>
      <c r="Q400" s="207">
        <f t="shared" si="34"/>
        <v>0</v>
      </c>
      <c r="R400" s="208">
        <f t="shared" si="31"/>
        <v>0</v>
      </c>
      <c r="S400" s="208">
        <f t="shared" si="32"/>
        <v>0</v>
      </c>
      <c r="T400" s="208" t="str">
        <f t="shared" si="33"/>
        <v/>
      </c>
      <c r="U400" s="195">
        <f>Table33[[#This Row],[gal/100ft]]*Table33[[#This Row],[QTY]]/100</f>
        <v>0</v>
      </c>
      <c r="V400" s="195"/>
      <c r="W400" s="195"/>
      <c r="X400" s="197"/>
      <c r="Y400" s="197"/>
      <c r="Z400" s="197"/>
      <c r="AA400" s="211"/>
      <c r="AB400" s="212"/>
    </row>
    <row r="401" spans="1:28" ht="12.75" x14ac:dyDescent="0.2">
      <c r="A401" s="195" t="s">
        <v>643</v>
      </c>
      <c r="B401" s="195" t="s">
        <v>643</v>
      </c>
      <c r="C401" s="536" t="s">
        <v>604</v>
      </c>
      <c r="D401" s="195" t="s">
        <v>644</v>
      </c>
      <c r="E401" s="288"/>
      <c r="F401" s="204">
        <v>1</v>
      </c>
      <c r="G401" s="204"/>
      <c r="H401" s="197"/>
      <c r="I401" s="198">
        <v>4.5</v>
      </c>
      <c r="J401" s="205">
        <v>0.05</v>
      </c>
      <c r="K401" s="287">
        <v>0.05</v>
      </c>
      <c r="L401" s="206">
        <v>3</v>
      </c>
      <c r="M401" s="286">
        <v>3</v>
      </c>
      <c r="N401" s="552">
        <v>41791</v>
      </c>
      <c r="O401" s="205">
        <f t="shared" si="30"/>
        <v>0</v>
      </c>
      <c r="P401" s="555">
        <f>(1+$R$1)*Table33[[#This Row],[Hours]]</f>
        <v>0</v>
      </c>
      <c r="Q401" s="207">
        <f t="shared" si="34"/>
        <v>0</v>
      </c>
      <c r="R401" s="208">
        <f t="shared" si="31"/>
        <v>0</v>
      </c>
      <c r="S401" s="208">
        <f t="shared" si="32"/>
        <v>0</v>
      </c>
      <c r="T401" s="208" t="str">
        <f t="shared" si="33"/>
        <v/>
      </c>
      <c r="U401" s="195">
        <f>Table33[[#This Row],[gal/100ft]]*Table33[[#This Row],[QTY]]/100</f>
        <v>0</v>
      </c>
      <c r="V401" s="195"/>
      <c r="W401" s="195"/>
      <c r="X401" s="197"/>
      <c r="Y401" s="197"/>
      <c r="Z401" s="197"/>
      <c r="AA401" s="211"/>
      <c r="AB401" s="212"/>
    </row>
    <row r="402" spans="1:28" ht="12.75" x14ac:dyDescent="0.2">
      <c r="A402" s="195" t="s">
        <v>643</v>
      </c>
      <c r="B402" s="195" t="s">
        <v>643</v>
      </c>
      <c r="C402" s="536" t="s">
        <v>604</v>
      </c>
      <c r="D402" s="195" t="s">
        <v>644</v>
      </c>
      <c r="E402" s="288"/>
      <c r="F402" s="204">
        <v>1.25</v>
      </c>
      <c r="G402" s="204"/>
      <c r="H402" s="197"/>
      <c r="I402" s="198">
        <v>7.8</v>
      </c>
      <c r="J402" s="205">
        <v>0.05</v>
      </c>
      <c r="K402" s="287">
        <v>0.05</v>
      </c>
      <c r="L402" s="206">
        <v>5.25</v>
      </c>
      <c r="M402" s="286">
        <v>5.25</v>
      </c>
      <c r="N402" s="552">
        <v>41791</v>
      </c>
      <c r="O402" s="205">
        <f t="shared" si="30"/>
        <v>0</v>
      </c>
      <c r="P402" s="555">
        <f>(1+$R$1)*Table33[[#This Row],[Hours]]</f>
        <v>0</v>
      </c>
      <c r="Q402" s="207">
        <f t="shared" si="34"/>
        <v>0</v>
      </c>
      <c r="R402" s="208">
        <f t="shared" si="31"/>
        <v>0</v>
      </c>
      <c r="S402" s="208">
        <f t="shared" si="32"/>
        <v>0</v>
      </c>
      <c r="T402" s="208" t="str">
        <f t="shared" si="33"/>
        <v/>
      </c>
      <c r="U402" s="195">
        <f>Table33[[#This Row],[gal/100ft]]*Table33[[#This Row],[QTY]]/100</f>
        <v>0</v>
      </c>
      <c r="V402" s="195"/>
      <c r="W402" s="195"/>
      <c r="X402" s="197"/>
      <c r="Y402" s="197"/>
      <c r="Z402" s="197"/>
      <c r="AA402" s="211"/>
      <c r="AB402" s="212"/>
    </row>
    <row r="403" spans="1:28" ht="12.75" x14ac:dyDescent="0.2">
      <c r="A403" s="195" t="s">
        <v>643</v>
      </c>
      <c r="B403" s="195" t="s">
        <v>643</v>
      </c>
      <c r="C403" s="536" t="s">
        <v>604</v>
      </c>
      <c r="D403" s="195" t="s">
        <v>644</v>
      </c>
      <c r="E403" s="288"/>
      <c r="F403" s="204">
        <v>2</v>
      </c>
      <c r="G403" s="204"/>
      <c r="H403" s="197"/>
      <c r="I403" s="198">
        <v>17</v>
      </c>
      <c r="J403" s="205">
        <v>0.05</v>
      </c>
      <c r="K403" s="287">
        <v>0.05</v>
      </c>
      <c r="L403" s="206">
        <v>11.11</v>
      </c>
      <c r="M403" s="286">
        <v>11.11</v>
      </c>
      <c r="N403" s="552">
        <v>41791</v>
      </c>
      <c r="O403" s="205">
        <f t="shared" si="30"/>
        <v>0</v>
      </c>
      <c r="P403" s="555">
        <f>(1+$R$1)*Table33[[#This Row],[Hours]]</f>
        <v>0</v>
      </c>
      <c r="Q403" s="207">
        <f t="shared" si="34"/>
        <v>0</v>
      </c>
      <c r="R403" s="208">
        <f t="shared" si="31"/>
        <v>0</v>
      </c>
      <c r="S403" s="208">
        <f t="shared" si="32"/>
        <v>0</v>
      </c>
      <c r="T403" s="208" t="str">
        <f t="shared" si="33"/>
        <v/>
      </c>
      <c r="U403" s="195">
        <f>Table33[[#This Row],[gal/100ft]]*Table33[[#This Row],[QTY]]/100</f>
        <v>0</v>
      </c>
      <c r="V403" s="195"/>
      <c r="W403" s="195"/>
      <c r="X403" s="197"/>
      <c r="Y403" s="197"/>
      <c r="Z403" s="197"/>
      <c r="AA403" s="211"/>
      <c r="AB403" s="212"/>
    </row>
    <row r="404" spans="1:28" ht="12.75" x14ac:dyDescent="0.2">
      <c r="A404" s="195" t="s">
        <v>643</v>
      </c>
      <c r="B404" s="195" t="s">
        <v>643</v>
      </c>
      <c r="C404" s="536" t="s">
        <v>604</v>
      </c>
      <c r="D404" s="195" t="s">
        <v>644</v>
      </c>
      <c r="E404" s="288"/>
      <c r="F404" s="204">
        <v>2.5</v>
      </c>
      <c r="G404" s="204"/>
      <c r="H404" s="197"/>
      <c r="I404" s="198">
        <v>25</v>
      </c>
      <c r="J404" s="205"/>
      <c r="K404" s="287"/>
      <c r="L404" s="206">
        <v>14.86</v>
      </c>
      <c r="M404" s="286">
        <v>14.86</v>
      </c>
      <c r="N404" s="552">
        <v>41791</v>
      </c>
      <c r="O404" s="205">
        <f t="shared" si="30"/>
        <v>0</v>
      </c>
      <c r="P404" s="555">
        <f>(1+$R$1)*Table33[[#This Row],[Hours]]</f>
        <v>0</v>
      </c>
      <c r="Q404" s="207">
        <f t="shared" si="34"/>
        <v>0</v>
      </c>
      <c r="R404" s="208">
        <f t="shared" si="31"/>
        <v>0</v>
      </c>
      <c r="S404" s="208">
        <f t="shared" si="32"/>
        <v>0</v>
      </c>
      <c r="T404" s="208" t="str">
        <f t="shared" si="33"/>
        <v/>
      </c>
      <c r="U404" s="195">
        <f>Table33[[#This Row],[gal/100ft]]*Table33[[#This Row],[QTY]]/100</f>
        <v>0</v>
      </c>
      <c r="V404" s="195"/>
      <c r="W404" s="195"/>
      <c r="X404" s="197"/>
      <c r="Y404" s="197"/>
      <c r="Z404" s="197"/>
      <c r="AA404" s="211"/>
      <c r="AB404" s="212"/>
    </row>
    <row r="405" spans="1:28" ht="12.75" x14ac:dyDescent="0.2">
      <c r="A405" s="195" t="s">
        <v>643</v>
      </c>
      <c r="B405" s="195" t="s">
        <v>643</v>
      </c>
      <c r="C405" s="536" t="s">
        <v>604</v>
      </c>
      <c r="D405" s="195" t="s">
        <v>644</v>
      </c>
      <c r="E405" s="288"/>
      <c r="F405" s="204">
        <v>3</v>
      </c>
      <c r="G405" s="204"/>
      <c r="H405" s="197"/>
      <c r="I405" s="198">
        <v>38</v>
      </c>
      <c r="J405" s="205"/>
      <c r="K405" s="287"/>
      <c r="L405" s="206">
        <v>23.56</v>
      </c>
      <c r="M405" s="286">
        <v>23.56</v>
      </c>
      <c r="N405" s="552">
        <v>41791</v>
      </c>
      <c r="O405" s="205">
        <f t="shared" si="30"/>
        <v>0</v>
      </c>
      <c r="P405" s="555">
        <f>(1+$R$1)*Table33[[#This Row],[Hours]]</f>
        <v>0</v>
      </c>
      <c r="Q405" s="207">
        <f t="shared" si="34"/>
        <v>0</v>
      </c>
      <c r="R405" s="208">
        <f t="shared" si="31"/>
        <v>0</v>
      </c>
      <c r="S405" s="208">
        <f t="shared" si="32"/>
        <v>0</v>
      </c>
      <c r="T405" s="208" t="str">
        <f t="shared" si="33"/>
        <v/>
      </c>
      <c r="U405" s="195">
        <f>Table33[[#This Row],[gal/100ft]]*Table33[[#This Row],[QTY]]/100</f>
        <v>0</v>
      </c>
      <c r="V405" s="195"/>
      <c r="W405" s="195"/>
      <c r="X405" s="197"/>
      <c r="Y405" s="197"/>
      <c r="Z405" s="197"/>
      <c r="AA405" s="211"/>
      <c r="AB405" s="212"/>
    </row>
    <row r="406" spans="1:28" ht="12.75" x14ac:dyDescent="0.2">
      <c r="A406" s="195" t="s">
        <v>643</v>
      </c>
      <c r="B406" s="195" t="s">
        <v>643</v>
      </c>
      <c r="C406" s="536" t="s">
        <v>604</v>
      </c>
      <c r="D406" s="195" t="s">
        <v>644</v>
      </c>
      <c r="E406" s="288"/>
      <c r="F406" s="204">
        <v>3.5</v>
      </c>
      <c r="G406" s="204"/>
      <c r="H406" s="197"/>
      <c r="I406" s="198"/>
      <c r="J406" s="205"/>
      <c r="K406" s="287"/>
      <c r="L406" s="206">
        <v>29.88</v>
      </c>
      <c r="M406" s="286">
        <v>29.88</v>
      </c>
      <c r="N406" s="552">
        <v>41791</v>
      </c>
      <c r="O406" s="205">
        <f t="shared" si="30"/>
        <v>0</v>
      </c>
      <c r="P406" s="555">
        <f>(1+$R$1)*Table33[[#This Row],[Hours]]</f>
        <v>0</v>
      </c>
      <c r="Q406" s="207">
        <f t="shared" si="34"/>
        <v>0</v>
      </c>
      <c r="R406" s="208">
        <f t="shared" si="31"/>
        <v>0</v>
      </c>
      <c r="S406" s="208">
        <f t="shared" si="32"/>
        <v>0</v>
      </c>
      <c r="T406" s="208" t="str">
        <f t="shared" si="33"/>
        <v/>
      </c>
      <c r="U406" s="195">
        <f>Table33[[#This Row],[gal/100ft]]*Table33[[#This Row],[QTY]]/100</f>
        <v>0</v>
      </c>
      <c r="V406" s="195"/>
      <c r="W406" s="195"/>
      <c r="X406" s="197"/>
      <c r="Y406" s="197"/>
      <c r="Z406" s="197"/>
      <c r="AA406" s="211"/>
      <c r="AB406" s="212"/>
    </row>
    <row r="407" spans="1:28" ht="12.75" x14ac:dyDescent="0.2">
      <c r="A407" s="195" t="s">
        <v>643</v>
      </c>
      <c r="B407" s="195" t="s">
        <v>643</v>
      </c>
      <c r="C407" s="536" t="s">
        <v>604</v>
      </c>
      <c r="D407" s="195" t="s">
        <v>644</v>
      </c>
      <c r="E407" s="288"/>
      <c r="F407" s="204">
        <v>4</v>
      </c>
      <c r="G407" s="204"/>
      <c r="H407" s="197"/>
      <c r="I407" s="198">
        <v>66</v>
      </c>
      <c r="J407" s="205"/>
      <c r="K407" s="287"/>
      <c r="L407" s="206">
        <v>40.01</v>
      </c>
      <c r="M407" s="286">
        <v>40.01</v>
      </c>
      <c r="N407" s="552">
        <v>41791</v>
      </c>
      <c r="O407" s="205">
        <f t="shared" ref="O407:O470" si="35">K407*E407</f>
        <v>0</v>
      </c>
      <c r="P407" s="555">
        <f>(1+$R$1)*Table33[[#This Row],[Hours]]</f>
        <v>0</v>
      </c>
      <c r="Q407" s="207">
        <f t="shared" si="34"/>
        <v>0</v>
      </c>
      <c r="R407" s="208">
        <f t="shared" ref="R407:R470" si="36">M407*E407</f>
        <v>0</v>
      </c>
      <c r="S407" s="208">
        <f t="shared" ref="S407:S470" si="37">R407+Q407</f>
        <v>0</v>
      </c>
      <c r="T407" s="208" t="str">
        <f t="shared" ref="T407:T470" si="38">IF(E407="","",S407/E407)</f>
        <v/>
      </c>
      <c r="U407" s="195">
        <f>Table33[[#This Row],[gal/100ft]]*Table33[[#This Row],[QTY]]/100</f>
        <v>0</v>
      </c>
      <c r="V407" s="195"/>
      <c r="W407" s="195"/>
      <c r="X407" s="197"/>
      <c r="Y407" s="197"/>
      <c r="Z407" s="197"/>
      <c r="AA407" s="211"/>
      <c r="AB407" s="212"/>
    </row>
    <row r="408" spans="1:28" ht="12.75" x14ac:dyDescent="0.2">
      <c r="A408" s="195" t="s">
        <v>643</v>
      </c>
      <c r="B408" s="195" t="s">
        <v>643</v>
      </c>
      <c r="C408" s="536" t="s">
        <v>604</v>
      </c>
      <c r="D408" s="195" t="s">
        <v>644</v>
      </c>
      <c r="E408" s="288"/>
      <c r="F408" s="204">
        <v>1.5</v>
      </c>
      <c r="G408" s="204"/>
      <c r="H408" s="197"/>
      <c r="I408" s="198">
        <v>10.5</v>
      </c>
      <c r="J408" s="205">
        <v>0.05</v>
      </c>
      <c r="K408" s="287">
        <v>0.05</v>
      </c>
      <c r="L408" s="206">
        <v>6.96</v>
      </c>
      <c r="M408" s="286">
        <v>6.96</v>
      </c>
      <c r="N408" s="552">
        <v>41791</v>
      </c>
      <c r="O408" s="205">
        <f t="shared" si="35"/>
        <v>0</v>
      </c>
      <c r="P408" s="555">
        <f>(1+$R$1)*Table33[[#This Row],[Hours]]</f>
        <v>0</v>
      </c>
      <c r="Q408" s="207">
        <f t="shared" si="34"/>
        <v>0</v>
      </c>
      <c r="R408" s="208">
        <f t="shared" si="36"/>
        <v>0</v>
      </c>
      <c r="S408" s="208">
        <f t="shared" si="37"/>
        <v>0</v>
      </c>
      <c r="T408" s="208" t="str">
        <f t="shared" si="38"/>
        <v/>
      </c>
      <c r="U408" s="195">
        <f>Table33[[#This Row],[gal/100ft]]*Table33[[#This Row],[QTY]]/100</f>
        <v>0</v>
      </c>
      <c r="V408" s="195"/>
      <c r="W408" s="195"/>
      <c r="X408" s="197"/>
      <c r="Y408" s="197"/>
      <c r="Z408" s="197"/>
      <c r="AA408" s="211"/>
      <c r="AB408" s="212"/>
    </row>
    <row r="409" spans="1:28" ht="12.75" x14ac:dyDescent="0.2">
      <c r="A409" s="536" t="s">
        <v>617</v>
      </c>
      <c r="B409" s="275" t="s">
        <v>693</v>
      </c>
      <c r="C409" s="536" t="s">
        <v>604</v>
      </c>
      <c r="D409" s="275" t="s">
        <v>694</v>
      </c>
      <c r="E409" s="288"/>
      <c r="F409" s="204">
        <v>0.5</v>
      </c>
      <c r="G409" s="204"/>
      <c r="H409" s="197"/>
      <c r="I409" s="198">
        <v>1.6</v>
      </c>
      <c r="J409" s="205">
        <v>0.06</v>
      </c>
      <c r="K409" s="287">
        <v>0.06</v>
      </c>
      <c r="L409" s="206">
        <v>1.21</v>
      </c>
      <c r="M409" s="286">
        <v>1.21</v>
      </c>
      <c r="N409" s="552">
        <v>41791</v>
      </c>
      <c r="O409" s="205">
        <f t="shared" si="35"/>
        <v>0</v>
      </c>
      <c r="P409" s="555">
        <f>(1+$R$1)*Table33[[#This Row],[Hours]]</f>
        <v>0</v>
      </c>
      <c r="Q409" s="207">
        <f t="shared" si="34"/>
        <v>0</v>
      </c>
      <c r="R409" s="208">
        <f t="shared" si="36"/>
        <v>0</v>
      </c>
      <c r="S409" s="208">
        <f t="shared" si="37"/>
        <v>0</v>
      </c>
      <c r="T409" s="208" t="str">
        <f t="shared" si="38"/>
        <v/>
      </c>
      <c r="U409" s="195">
        <f>Table33[[#This Row],[gal/100ft]]*Table33[[#This Row],[QTY]]/100</f>
        <v>0</v>
      </c>
      <c r="V409" s="195"/>
      <c r="W409" s="195"/>
      <c r="X409" s="197"/>
      <c r="Y409" s="197"/>
      <c r="Z409" s="197"/>
      <c r="AA409" s="211"/>
      <c r="AB409" s="212"/>
    </row>
    <row r="410" spans="1:28" ht="12.75" x14ac:dyDescent="0.2">
      <c r="A410" s="536" t="s">
        <v>617</v>
      </c>
      <c r="B410" s="275" t="s">
        <v>693</v>
      </c>
      <c r="C410" s="536" t="s">
        <v>604</v>
      </c>
      <c r="D410" s="275" t="s">
        <v>694</v>
      </c>
      <c r="E410" s="289"/>
      <c r="F410" s="272">
        <v>0.75</v>
      </c>
      <c r="G410" s="272"/>
      <c r="H410" s="273"/>
      <c r="I410" s="198">
        <v>2.8</v>
      </c>
      <c r="J410" s="205">
        <v>0.06</v>
      </c>
      <c r="K410" s="287">
        <v>0.06</v>
      </c>
      <c r="L410" s="206">
        <v>1.94</v>
      </c>
      <c r="M410" s="286">
        <v>1.94</v>
      </c>
      <c r="N410" s="552">
        <v>41791</v>
      </c>
      <c r="O410" s="205">
        <f t="shared" si="35"/>
        <v>0</v>
      </c>
      <c r="P410" s="555">
        <f>(1+$R$1)*Table33[[#This Row],[Hours]]</f>
        <v>0</v>
      </c>
      <c r="Q410" s="207">
        <f t="shared" si="34"/>
        <v>0</v>
      </c>
      <c r="R410" s="208">
        <f t="shared" si="36"/>
        <v>0</v>
      </c>
      <c r="S410" s="208">
        <f t="shared" si="37"/>
        <v>0</v>
      </c>
      <c r="T410" s="208" t="str">
        <f t="shared" si="38"/>
        <v/>
      </c>
      <c r="U410" s="195">
        <f>Table33[[#This Row],[gal/100ft]]*Table33[[#This Row],[QTY]]/100</f>
        <v>0</v>
      </c>
      <c r="V410" s="195"/>
      <c r="W410" s="195"/>
      <c r="X410" s="197"/>
      <c r="Y410" s="197"/>
      <c r="Z410" s="197"/>
      <c r="AA410" s="211"/>
      <c r="AB410" s="212"/>
    </row>
    <row r="411" spans="1:28" ht="12.75" x14ac:dyDescent="0.2">
      <c r="A411" s="536" t="s">
        <v>617</v>
      </c>
      <c r="B411" s="275" t="s">
        <v>693</v>
      </c>
      <c r="C411" s="536" t="s">
        <v>604</v>
      </c>
      <c r="D411" s="275" t="s">
        <v>694</v>
      </c>
      <c r="E411" s="289"/>
      <c r="F411" s="272">
        <v>1</v>
      </c>
      <c r="G411" s="272"/>
      <c r="H411" s="273"/>
      <c r="I411" s="198">
        <v>4.5</v>
      </c>
      <c r="J411" s="205">
        <v>7.0000000000000007E-2</v>
      </c>
      <c r="K411" s="287">
        <v>7.0000000000000007E-2</v>
      </c>
      <c r="L411" s="206">
        <v>2.98</v>
      </c>
      <c r="M411" s="286">
        <v>2.98</v>
      </c>
      <c r="N411" s="552">
        <v>41791</v>
      </c>
      <c r="O411" s="205">
        <f t="shared" si="35"/>
        <v>0</v>
      </c>
      <c r="P411" s="555">
        <f>(1+$R$1)*Table33[[#This Row],[Hours]]</f>
        <v>0</v>
      </c>
      <c r="Q411" s="207">
        <f t="shared" si="34"/>
        <v>0</v>
      </c>
      <c r="R411" s="208">
        <f t="shared" si="36"/>
        <v>0</v>
      </c>
      <c r="S411" s="208">
        <f t="shared" si="37"/>
        <v>0</v>
      </c>
      <c r="T411" s="208" t="str">
        <f t="shared" si="38"/>
        <v/>
      </c>
      <c r="U411" s="195">
        <f>Table33[[#This Row],[gal/100ft]]*Table33[[#This Row],[QTY]]/100</f>
        <v>0</v>
      </c>
      <c r="V411" s="195"/>
      <c r="W411" s="195"/>
      <c r="X411" s="197"/>
      <c r="Y411" s="197"/>
      <c r="Z411" s="197"/>
      <c r="AA411" s="211"/>
      <c r="AB411" s="212"/>
    </row>
    <row r="412" spans="1:28" ht="12.75" x14ac:dyDescent="0.2">
      <c r="A412" s="536" t="s">
        <v>617</v>
      </c>
      <c r="B412" s="275" t="s">
        <v>693</v>
      </c>
      <c r="C412" s="536" t="s">
        <v>604</v>
      </c>
      <c r="D412" s="275" t="s">
        <v>694</v>
      </c>
      <c r="E412" s="289"/>
      <c r="F412" s="272">
        <v>1.25</v>
      </c>
      <c r="G412" s="272"/>
      <c r="H412" s="273"/>
      <c r="I412" s="198">
        <v>7.8</v>
      </c>
      <c r="J412" s="205">
        <v>0.08</v>
      </c>
      <c r="K412" s="287">
        <v>0.08</v>
      </c>
      <c r="L412" s="206">
        <v>4.25</v>
      </c>
      <c r="M412" s="286">
        <v>4.25</v>
      </c>
      <c r="N412" s="552">
        <v>41791</v>
      </c>
      <c r="O412" s="205">
        <f t="shared" si="35"/>
        <v>0</v>
      </c>
      <c r="P412" s="555">
        <f>(1+$R$1)*Table33[[#This Row],[Hours]]</f>
        <v>0</v>
      </c>
      <c r="Q412" s="207">
        <f t="shared" si="34"/>
        <v>0</v>
      </c>
      <c r="R412" s="208">
        <f t="shared" si="36"/>
        <v>0</v>
      </c>
      <c r="S412" s="208">
        <f t="shared" si="37"/>
        <v>0</v>
      </c>
      <c r="T412" s="208" t="str">
        <f t="shared" si="38"/>
        <v/>
      </c>
      <c r="U412" s="195">
        <f>Table33[[#This Row],[gal/100ft]]*Table33[[#This Row],[QTY]]/100</f>
        <v>0</v>
      </c>
      <c r="V412" s="195"/>
      <c r="W412" s="195"/>
      <c r="X412" s="197"/>
      <c r="Y412" s="197"/>
      <c r="Z412" s="197"/>
      <c r="AA412" s="211"/>
      <c r="AB412" s="212"/>
    </row>
    <row r="413" spans="1:28" ht="12.75" x14ac:dyDescent="0.2">
      <c r="A413" s="536" t="s">
        <v>617</v>
      </c>
      <c r="B413" s="275" t="s">
        <v>693</v>
      </c>
      <c r="C413" s="536" t="s">
        <v>604</v>
      </c>
      <c r="D413" s="275" t="s">
        <v>694</v>
      </c>
      <c r="E413" s="289"/>
      <c r="F413" s="272">
        <v>1.5</v>
      </c>
      <c r="G413" s="272"/>
      <c r="H413" s="273"/>
      <c r="I413" s="198">
        <v>10.5</v>
      </c>
      <c r="J413" s="205">
        <v>0.08</v>
      </c>
      <c r="K413" s="287">
        <v>0.08</v>
      </c>
      <c r="L413" s="206">
        <v>5.48</v>
      </c>
      <c r="M413" s="286">
        <v>5.48</v>
      </c>
      <c r="N413" s="552">
        <v>41791</v>
      </c>
      <c r="O413" s="205">
        <f t="shared" si="35"/>
        <v>0</v>
      </c>
      <c r="P413" s="555">
        <f>(1+$R$1)*Table33[[#This Row],[Hours]]</f>
        <v>0</v>
      </c>
      <c r="Q413" s="207">
        <f t="shared" si="34"/>
        <v>0</v>
      </c>
      <c r="R413" s="208">
        <f t="shared" si="36"/>
        <v>0</v>
      </c>
      <c r="S413" s="208">
        <f t="shared" si="37"/>
        <v>0</v>
      </c>
      <c r="T413" s="208" t="str">
        <f t="shared" si="38"/>
        <v/>
      </c>
      <c r="U413" s="195">
        <f>Table33[[#This Row],[gal/100ft]]*Table33[[#This Row],[QTY]]/100</f>
        <v>0</v>
      </c>
      <c r="V413" s="195"/>
      <c r="W413" s="195"/>
      <c r="X413" s="197"/>
      <c r="Y413" s="197"/>
      <c r="Z413" s="197"/>
      <c r="AA413" s="211"/>
      <c r="AB413" s="212"/>
    </row>
    <row r="414" spans="1:28" ht="12.75" x14ac:dyDescent="0.2">
      <c r="A414" s="536" t="s">
        <v>617</v>
      </c>
      <c r="B414" s="275" t="s">
        <v>693</v>
      </c>
      <c r="C414" s="536" t="s">
        <v>604</v>
      </c>
      <c r="D414" s="275" t="s">
        <v>694</v>
      </c>
      <c r="E414" s="289"/>
      <c r="F414" s="272">
        <v>2</v>
      </c>
      <c r="G414" s="272"/>
      <c r="H414" s="273"/>
      <c r="I414" s="198">
        <v>17</v>
      </c>
      <c r="J414" s="205">
        <v>0.09</v>
      </c>
      <c r="K414" s="287">
        <v>0.09</v>
      </c>
      <c r="L414" s="206">
        <v>8.36</v>
      </c>
      <c r="M414" s="286">
        <v>8.36</v>
      </c>
      <c r="N414" s="552">
        <v>41791</v>
      </c>
      <c r="O414" s="205">
        <f t="shared" si="35"/>
        <v>0</v>
      </c>
      <c r="P414" s="555">
        <f>(1+$R$1)*Table33[[#This Row],[Hours]]</f>
        <v>0</v>
      </c>
      <c r="Q414" s="207">
        <f t="shared" si="34"/>
        <v>0</v>
      </c>
      <c r="R414" s="208">
        <f t="shared" si="36"/>
        <v>0</v>
      </c>
      <c r="S414" s="208">
        <f t="shared" si="37"/>
        <v>0</v>
      </c>
      <c r="T414" s="208" t="str">
        <f t="shared" si="38"/>
        <v/>
      </c>
      <c r="U414" s="195">
        <f>Table33[[#This Row],[gal/100ft]]*Table33[[#This Row],[QTY]]/100</f>
        <v>0</v>
      </c>
      <c r="V414" s="311"/>
      <c r="W414" s="195"/>
      <c r="X414" s="197"/>
      <c r="Y414" s="197"/>
      <c r="Z414" s="197"/>
      <c r="AA414" s="211"/>
      <c r="AB414" s="212"/>
    </row>
    <row r="415" spans="1:28" ht="12.75" x14ac:dyDescent="0.2">
      <c r="A415" s="536" t="s">
        <v>617</v>
      </c>
      <c r="B415" s="275" t="s">
        <v>693</v>
      </c>
      <c r="C415" s="536" t="s">
        <v>604</v>
      </c>
      <c r="D415" s="275" t="s">
        <v>694</v>
      </c>
      <c r="E415" s="288"/>
      <c r="F415" s="312">
        <v>2.5</v>
      </c>
      <c r="G415" s="312"/>
      <c r="H415" s="313"/>
      <c r="I415" s="198">
        <v>25</v>
      </c>
      <c r="J415" s="315">
        <v>0.12</v>
      </c>
      <c r="K415" s="315">
        <v>0.12</v>
      </c>
      <c r="L415" s="316">
        <v>12.14</v>
      </c>
      <c r="M415" s="317">
        <v>12.14</v>
      </c>
      <c r="N415" s="552">
        <v>41791</v>
      </c>
      <c r="O415" s="205">
        <f t="shared" si="35"/>
        <v>0</v>
      </c>
      <c r="P415" s="555">
        <f>(1+$R$1)*Table33[[#This Row],[Hours]]</f>
        <v>0</v>
      </c>
      <c r="Q415" s="207">
        <f t="shared" si="34"/>
        <v>0</v>
      </c>
      <c r="R415" s="208">
        <f t="shared" si="36"/>
        <v>0</v>
      </c>
      <c r="S415" s="208">
        <f t="shared" si="37"/>
        <v>0</v>
      </c>
      <c r="T415" s="208" t="str">
        <f t="shared" si="38"/>
        <v/>
      </c>
      <c r="U415" s="195">
        <f>Table33[[#This Row],[gal/100ft]]*Table33[[#This Row],[QTY]]/100</f>
        <v>0</v>
      </c>
      <c r="V415" s="311"/>
      <c r="W415" s="195"/>
      <c r="X415" s="197"/>
      <c r="Y415" s="197"/>
      <c r="Z415" s="197"/>
      <c r="AA415" s="211"/>
      <c r="AB415" s="212"/>
    </row>
    <row r="416" spans="1:28" ht="12.75" x14ac:dyDescent="0.2">
      <c r="A416" s="536" t="s">
        <v>617</v>
      </c>
      <c r="B416" s="275" t="s">
        <v>693</v>
      </c>
      <c r="C416" s="536" t="s">
        <v>604</v>
      </c>
      <c r="D416" s="275" t="s">
        <v>694</v>
      </c>
      <c r="E416" s="288"/>
      <c r="F416" s="312">
        <v>3</v>
      </c>
      <c r="G416" s="312"/>
      <c r="H416" s="313"/>
      <c r="I416" s="198">
        <v>38</v>
      </c>
      <c r="J416" s="315">
        <v>0.14000000000000001</v>
      </c>
      <c r="K416" s="315">
        <v>0.14000000000000001</v>
      </c>
      <c r="L416" s="316">
        <v>16.28</v>
      </c>
      <c r="M416" s="317">
        <v>16.28</v>
      </c>
      <c r="N416" s="552">
        <v>41791</v>
      </c>
      <c r="O416" s="205">
        <f t="shared" si="35"/>
        <v>0</v>
      </c>
      <c r="P416" s="555">
        <f>(1+$R$1)*Table33[[#This Row],[Hours]]</f>
        <v>0</v>
      </c>
      <c r="Q416" s="207">
        <f t="shared" si="34"/>
        <v>0</v>
      </c>
      <c r="R416" s="208">
        <f t="shared" si="36"/>
        <v>0</v>
      </c>
      <c r="S416" s="208">
        <f t="shared" si="37"/>
        <v>0</v>
      </c>
      <c r="T416" s="208" t="str">
        <f t="shared" si="38"/>
        <v/>
      </c>
      <c r="U416" s="195">
        <f>Table33[[#This Row],[gal/100ft]]*Table33[[#This Row],[QTY]]/100</f>
        <v>0</v>
      </c>
      <c r="V416" s="311"/>
      <c r="W416" s="195"/>
      <c r="X416" s="197"/>
      <c r="Y416" s="197"/>
      <c r="Z416" s="197"/>
      <c r="AA416" s="211"/>
      <c r="AB416" s="212"/>
    </row>
    <row r="417" spans="1:28" ht="12.75" x14ac:dyDescent="0.2">
      <c r="A417" s="536" t="s">
        <v>617</v>
      </c>
      <c r="B417" s="275" t="s">
        <v>693</v>
      </c>
      <c r="C417" s="536" t="s">
        <v>604</v>
      </c>
      <c r="D417" s="275" t="s">
        <v>694</v>
      </c>
      <c r="E417" s="288"/>
      <c r="F417" s="312">
        <v>4</v>
      </c>
      <c r="G417" s="312"/>
      <c r="H417" s="313"/>
      <c r="I417" s="198">
        <v>66</v>
      </c>
      <c r="J417" s="315">
        <v>0.18</v>
      </c>
      <c r="K417" s="315">
        <v>0.18</v>
      </c>
      <c r="L417" s="316">
        <v>27.14</v>
      </c>
      <c r="M417" s="317">
        <v>27.14</v>
      </c>
      <c r="N417" s="552">
        <v>41791</v>
      </c>
      <c r="O417" s="205">
        <f t="shared" si="35"/>
        <v>0</v>
      </c>
      <c r="P417" s="555">
        <f>(1+$R$1)*Table33[[#This Row],[Hours]]</f>
        <v>0</v>
      </c>
      <c r="Q417" s="207">
        <f t="shared" si="34"/>
        <v>0</v>
      </c>
      <c r="R417" s="208">
        <f t="shared" si="36"/>
        <v>0</v>
      </c>
      <c r="S417" s="208">
        <f t="shared" si="37"/>
        <v>0</v>
      </c>
      <c r="T417" s="208" t="str">
        <f t="shared" si="38"/>
        <v/>
      </c>
      <c r="U417" s="195">
        <f>Table33[[#This Row],[gal/100ft]]*Table33[[#This Row],[QTY]]/100</f>
        <v>0</v>
      </c>
      <c r="V417" s="195"/>
      <c r="W417" s="195"/>
      <c r="X417" s="197"/>
      <c r="Y417" s="197"/>
      <c r="Z417" s="197"/>
      <c r="AA417" s="211"/>
      <c r="AB417" s="212"/>
    </row>
    <row r="418" spans="1:28" ht="12.75" x14ac:dyDescent="0.2">
      <c r="A418" s="536" t="s">
        <v>617</v>
      </c>
      <c r="B418" s="275" t="s">
        <v>693</v>
      </c>
      <c r="C418" s="536" t="s">
        <v>604</v>
      </c>
      <c r="D418" s="275" t="s">
        <v>696</v>
      </c>
      <c r="E418" s="288"/>
      <c r="F418" s="204">
        <v>0.5</v>
      </c>
      <c r="G418" s="204"/>
      <c r="H418" s="197"/>
      <c r="I418" s="198">
        <v>1.6</v>
      </c>
      <c r="J418" s="205">
        <v>0.06</v>
      </c>
      <c r="K418" s="287">
        <v>0.06</v>
      </c>
      <c r="L418" s="206">
        <v>1.69</v>
      </c>
      <c r="M418" s="286">
        <v>1.69</v>
      </c>
      <c r="N418" s="552">
        <v>41791</v>
      </c>
      <c r="O418" s="205">
        <f t="shared" si="35"/>
        <v>0</v>
      </c>
      <c r="P418" s="555">
        <f>(1+$R$1)*Table33[[#This Row],[Hours]]</f>
        <v>0</v>
      </c>
      <c r="Q418" s="207">
        <f t="shared" si="34"/>
        <v>0</v>
      </c>
      <c r="R418" s="208">
        <f t="shared" si="36"/>
        <v>0</v>
      </c>
      <c r="S418" s="208">
        <f t="shared" si="37"/>
        <v>0</v>
      </c>
      <c r="T418" s="208" t="str">
        <f t="shared" si="38"/>
        <v/>
      </c>
      <c r="U418" s="195">
        <f>Table33[[#This Row],[gal/100ft]]*Table33[[#This Row],[QTY]]/100</f>
        <v>0</v>
      </c>
      <c r="V418" s="195"/>
      <c r="W418" s="195"/>
      <c r="X418" s="197"/>
      <c r="Y418" s="197"/>
      <c r="Z418" s="197"/>
      <c r="AA418" s="211"/>
      <c r="AB418" s="212"/>
    </row>
    <row r="419" spans="1:28" ht="12.75" x14ac:dyDescent="0.2">
      <c r="A419" s="536" t="s">
        <v>617</v>
      </c>
      <c r="B419" s="275" t="s">
        <v>693</v>
      </c>
      <c r="C419" s="536" t="s">
        <v>604</v>
      </c>
      <c r="D419" s="275" t="s">
        <v>696</v>
      </c>
      <c r="E419" s="289"/>
      <c r="F419" s="272">
        <v>0.75</v>
      </c>
      <c r="G419" s="272"/>
      <c r="H419" s="273"/>
      <c r="I419" s="198">
        <v>2.8</v>
      </c>
      <c r="J419" s="205">
        <v>7.0000000000000007E-2</v>
      </c>
      <c r="K419" s="287">
        <v>7.0000000000000007E-2</v>
      </c>
      <c r="L419" s="206">
        <v>3.13</v>
      </c>
      <c r="M419" s="286">
        <v>3.13</v>
      </c>
      <c r="N419" s="552">
        <v>41791</v>
      </c>
      <c r="O419" s="205">
        <f t="shared" si="35"/>
        <v>0</v>
      </c>
      <c r="P419" s="555">
        <f>(1+$R$1)*Table33[[#This Row],[Hours]]</f>
        <v>0</v>
      </c>
      <c r="Q419" s="207">
        <f t="shared" si="34"/>
        <v>0</v>
      </c>
      <c r="R419" s="208">
        <f t="shared" si="36"/>
        <v>0</v>
      </c>
      <c r="S419" s="208">
        <f t="shared" si="37"/>
        <v>0</v>
      </c>
      <c r="T419" s="208" t="str">
        <f t="shared" si="38"/>
        <v/>
      </c>
      <c r="U419" s="195">
        <f>Table33[[#This Row],[gal/100ft]]*Table33[[#This Row],[QTY]]/100</f>
        <v>0</v>
      </c>
      <c r="V419" s="195"/>
      <c r="W419" s="195"/>
      <c r="X419" s="197"/>
      <c r="Y419" s="197"/>
      <c r="Z419" s="197"/>
      <c r="AA419" s="211"/>
      <c r="AB419" s="212"/>
    </row>
    <row r="420" spans="1:28" ht="12.75" x14ac:dyDescent="0.2">
      <c r="A420" s="536" t="s">
        <v>617</v>
      </c>
      <c r="B420" s="275" t="s">
        <v>693</v>
      </c>
      <c r="C420" s="536" t="s">
        <v>604</v>
      </c>
      <c r="D420" s="275" t="s">
        <v>696</v>
      </c>
      <c r="E420" s="289"/>
      <c r="F420" s="272">
        <v>1</v>
      </c>
      <c r="G420" s="272"/>
      <c r="H420" s="273"/>
      <c r="I420" s="198">
        <v>4.5</v>
      </c>
      <c r="J420" s="205">
        <v>7.0000000000000007E-2</v>
      </c>
      <c r="K420" s="287">
        <v>7.0000000000000007E-2</v>
      </c>
      <c r="L420" s="206">
        <v>4.18</v>
      </c>
      <c r="M420" s="286">
        <v>4.18</v>
      </c>
      <c r="N420" s="552">
        <v>41791</v>
      </c>
      <c r="O420" s="205">
        <f t="shared" si="35"/>
        <v>0</v>
      </c>
      <c r="P420" s="555">
        <f>(1+$R$1)*Table33[[#This Row],[Hours]]</f>
        <v>0</v>
      </c>
      <c r="Q420" s="207">
        <f t="shared" si="34"/>
        <v>0</v>
      </c>
      <c r="R420" s="208">
        <f t="shared" si="36"/>
        <v>0</v>
      </c>
      <c r="S420" s="208">
        <f t="shared" si="37"/>
        <v>0</v>
      </c>
      <c r="T420" s="208" t="str">
        <f t="shared" si="38"/>
        <v/>
      </c>
      <c r="U420" s="195">
        <f>Table33[[#This Row],[gal/100ft]]*Table33[[#This Row],[QTY]]/100</f>
        <v>0</v>
      </c>
      <c r="V420" s="195"/>
      <c r="W420" s="195"/>
      <c r="X420" s="197"/>
      <c r="Y420" s="197"/>
      <c r="Z420" s="197"/>
      <c r="AA420" s="211"/>
      <c r="AB420" s="212"/>
    </row>
    <row r="421" spans="1:28" ht="12.75" x14ac:dyDescent="0.2">
      <c r="A421" s="536" t="s">
        <v>617</v>
      </c>
      <c r="B421" s="275" t="s">
        <v>693</v>
      </c>
      <c r="C421" s="536" t="s">
        <v>604</v>
      </c>
      <c r="D421" s="275" t="s">
        <v>696</v>
      </c>
      <c r="E421" s="289"/>
      <c r="F421" s="272">
        <v>1.25</v>
      </c>
      <c r="G421" s="272"/>
      <c r="H421" s="273"/>
      <c r="I421" s="198">
        <v>7.8</v>
      </c>
      <c r="J421" s="205">
        <v>0.08</v>
      </c>
      <c r="K421" s="287">
        <v>0.08</v>
      </c>
      <c r="L421" s="206">
        <v>5.08</v>
      </c>
      <c r="M421" s="286">
        <v>5.08</v>
      </c>
      <c r="N421" s="552">
        <v>41791</v>
      </c>
      <c r="O421" s="205">
        <f t="shared" si="35"/>
        <v>0</v>
      </c>
      <c r="P421" s="555">
        <f>(1+$R$1)*Table33[[#This Row],[Hours]]</f>
        <v>0</v>
      </c>
      <c r="Q421" s="207">
        <f t="shared" si="34"/>
        <v>0</v>
      </c>
      <c r="R421" s="208">
        <f t="shared" si="36"/>
        <v>0</v>
      </c>
      <c r="S421" s="208">
        <f t="shared" si="37"/>
        <v>0</v>
      </c>
      <c r="T421" s="208" t="str">
        <f t="shared" si="38"/>
        <v/>
      </c>
      <c r="U421" s="195">
        <f>Table33[[#This Row],[gal/100ft]]*Table33[[#This Row],[QTY]]/100</f>
        <v>0</v>
      </c>
      <c r="V421" s="195"/>
      <c r="W421" s="195"/>
      <c r="X421" s="197"/>
      <c r="Y421" s="197"/>
      <c r="Z421" s="197"/>
      <c r="AA421" s="211"/>
      <c r="AB421" s="212"/>
    </row>
    <row r="422" spans="1:28" ht="12.75" x14ac:dyDescent="0.2">
      <c r="A422" s="536" t="s">
        <v>617</v>
      </c>
      <c r="B422" s="275" t="s">
        <v>693</v>
      </c>
      <c r="C422" s="536" t="s">
        <v>604</v>
      </c>
      <c r="D422" s="275" t="s">
        <v>696</v>
      </c>
      <c r="E422" s="289"/>
      <c r="F422" s="272">
        <v>1.5</v>
      </c>
      <c r="G422" s="272"/>
      <c r="H422" s="273"/>
      <c r="I422" s="198">
        <v>10.5</v>
      </c>
      <c r="J422" s="205">
        <v>0.09</v>
      </c>
      <c r="K422" s="287">
        <v>0.09</v>
      </c>
      <c r="L422" s="206">
        <v>6.64</v>
      </c>
      <c r="M422" s="286">
        <v>6.64</v>
      </c>
      <c r="N422" s="552">
        <v>41791</v>
      </c>
      <c r="O422" s="205">
        <f t="shared" si="35"/>
        <v>0</v>
      </c>
      <c r="P422" s="555">
        <f>(1+$R$1)*Table33[[#This Row],[Hours]]</f>
        <v>0</v>
      </c>
      <c r="Q422" s="207">
        <f t="shared" si="34"/>
        <v>0</v>
      </c>
      <c r="R422" s="208">
        <f t="shared" si="36"/>
        <v>0</v>
      </c>
      <c r="S422" s="208">
        <f t="shared" si="37"/>
        <v>0</v>
      </c>
      <c r="T422" s="208" t="str">
        <f t="shared" si="38"/>
        <v/>
      </c>
      <c r="U422" s="195">
        <f>Table33[[#This Row],[gal/100ft]]*Table33[[#This Row],[QTY]]/100</f>
        <v>0</v>
      </c>
      <c r="V422" s="195"/>
      <c r="W422" s="195"/>
      <c r="X422" s="197"/>
      <c r="Y422" s="197"/>
      <c r="Z422" s="197"/>
      <c r="AA422" s="211"/>
      <c r="AB422" s="212"/>
    </row>
    <row r="423" spans="1:28" ht="12.75" x14ac:dyDescent="0.2">
      <c r="A423" s="536" t="s">
        <v>617</v>
      </c>
      <c r="B423" s="275" t="s">
        <v>693</v>
      </c>
      <c r="C423" s="536" t="s">
        <v>604</v>
      </c>
      <c r="D423" s="275" t="s">
        <v>696</v>
      </c>
      <c r="E423" s="289"/>
      <c r="F423" s="272">
        <v>2</v>
      </c>
      <c r="G423" s="272"/>
      <c r="H423" s="273"/>
      <c r="I423" s="198">
        <v>17</v>
      </c>
      <c r="J423" s="205">
        <v>0.1</v>
      </c>
      <c r="K423" s="287">
        <v>0.1</v>
      </c>
      <c r="L423" s="206">
        <v>10.220000000000001</v>
      </c>
      <c r="M423" s="286">
        <v>10.220000000000001</v>
      </c>
      <c r="N423" s="552">
        <v>41791</v>
      </c>
      <c r="O423" s="205">
        <f t="shared" si="35"/>
        <v>0</v>
      </c>
      <c r="P423" s="555">
        <f>(1+$R$1)*Table33[[#This Row],[Hours]]</f>
        <v>0</v>
      </c>
      <c r="Q423" s="207">
        <f t="shared" si="34"/>
        <v>0</v>
      </c>
      <c r="R423" s="208">
        <f t="shared" si="36"/>
        <v>0</v>
      </c>
      <c r="S423" s="208">
        <f t="shared" si="37"/>
        <v>0</v>
      </c>
      <c r="T423" s="208" t="str">
        <f t="shared" si="38"/>
        <v/>
      </c>
      <c r="U423" s="195">
        <f>Table33[[#This Row],[gal/100ft]]*Table33[[#This Row],[QTY]]/100</f>
        <v>0</v>
      </c>
      <c r="V423" s="195"/>
      <c r="W423" s="195"/>
      <c r="X423" s="197"/>
      <c r="Y423" s="197"/>
      <c r="Z423" s="197"/>
      <c r="AA423" s="211"/>
      <c r="AB423" s="212"/>
    </row>
    <row r="424" spans="1:28" ht="12.75" x14ac:dyDescent="0.2">
      <c r="A424" s="195" t="s">
        <v>593</v>
      </c>
      <c r="B424" s="195" t="s">
        <v>613</v>
      </c>
      <c r="C424" s="536" t="s">
        <v>604</v>
      </c>
      <c r="D424" s="195" t="s">
        <v>636</v>
      </c>
      <c r="E424" s="288"/>
      <c r="F424" s="204">
        <v>1.5</v>
      </c>
      <c r="G424" s="204"/>
      <c r="H424" s="197"/>
      <c r="I424" s="198">
        <v>10.5</v>
      </c>
      <c r="J424" s="205">
        <v>0.11</v>
      </c>
      <c r="K424" s="287">
        <v>0.11</v>
      </c>
      <c r="L424" s="206">
        <v>3.87</v>
      </c>
      <c r="M424" s="286">
        <v>3.87</v>
      </c>
      <c r="N424" s="552">
        <v>41791</v>
      </c>
      <c r="O424" s="205">
        <f t="shared" si="35"/>
        <v>0</v>
      </c>
      <c r="P424" s="555">
        <f>(1+$R$1)*Table33[[#This Row],[Hours]]</f>
        <v>0</v>
      </c>
      <c r="Q424" s="207">
        <f t="shared" si="34"/>
        <v>0</v>
      </c>
      <c r="R424" s="208">
        <f t="shared" si="36"/>
        <v>0</v>
      </c>
      <c r="S424" s="208">
        <f t="shared" si="37"/>
        <v>0</v>
      </c>
      <c r="T424" s="208" t="str">
        <f t="shared" si="38"/>
        <v/>
      </c>
      <c r="U424" s="195">
        <f>Table33[[#This Row],[gal/100ft]]*Table33[[#This Row],[QTY]]/100</f>
        <v>0</v>
      </c>
      <c r="V424" s="195"/>
      <c r="W424" s="195"/>
      <c r="X424" s="197"/>
      <c r="Y424" s="197"/>
      <c r="Z424" s="197"/>
      <c r="AA424" s="211"/>
      <c r="AB424" s="212"/>
    </row>
    <row r="425" spans="1:28" ht="12.75" x14ac:dyDescent="0.2">
      <c r="A425" s="195" t="s">
        <v>593</v>
      </c>
      <c r="B425" s="195" t="s">
        <v>613</v>
      </c>
      <c r="C425" s="536" t="s">
        <v>604</v>
      </c>
      <c r="D425" s="195" t="s">
        <v>636</v>
      </c>
      <c r="E425" s="288"/>
      <c r="F425" s="204">
        <v>2</v>
      </c>
      <c r="G425" s="204"/>
      <c r="H425" s="197"/>
      <c r="I425" s="198">
        <v>17</v>
      </c>
      <c r="J425" s="205">
        <v>0.13</v>
      </c>
      <c r="K425" s="287">
        <v>0.13</v>
      </c>
      <c r="L425" s="206">
        <v>19.55</v>
      </c>
      <c r="M425" s="286">
        <v>19.55</v>
      </c>
      <c r="N425" s="552">
        <v>41791</v>
      </c>
      <c r="O425" s="205">
        <f t="shared" si="35"/>
        <v>0</v>
      </c>
      <c r="P425" s="555">
        <f>(1+$R$1)*Table33[[#This Row],[Hours]]</f>
        <v>0</v>
      </c>
      <c r="Q425" s="207">
        <f t="shared" si="34"/>
        <v>0</v>
      </c>
      <c r="R425" s="208">
        <f t="shared" si="36"/>
        <v>0</v>
      </c>
      <c r="S425" s="208">
        <f t="shared" si="37"/>
        <v>0</v>
      </c>
      <c r="T425" s="208" t="str">
        <f t="shared" si="38"/>
        <v/>
      </c>
      <c r="U425" s="195">
        <f>Table33[[#This Row],[gal/100ft]]*Table33[[#This Row],[QTY]]/100</f>
        <v>0</v>
      </c>
      <c r="V425" s="195"/>
      <c r="W425" s="195"/>
      <c r="X425" s="197"/>
      <c r="Y425" s="197"/>
      <c r="Z425" s="197"/>
      <c r="AA425" s="211"/>
      <c r="AB425" s="212"/>
    </row>
    <row r="426" spans="1:28" ht="12.75" x14ac:dyDescent="0.2">
      <c r="A426" s="195" t="s">
        <v>593</v>
      </c>
      <c r="B426" s="195" t="s">
        <v>613</v>
      </c>
      <c r="C426" s="536" t="s">
        <v>604</v>
      </c>
      <c r="D426" s="195" t="s">
        <v>636</v>
      </c>
      <c r="E426" s="288"/>
      <c r="F426" s="204" t="s">
        <v>596</v>
      </c>
      <c r="G426" s="204"/>
      <c r="H426" s="197"/>
      <c r="I426" s="198">
        <v>1.6</v>
      </c>
      <c r="J426" s="205">
        <v>7.0000000000000007E-2</v>
      </c>
      <c r="K426" s="287">
        <v>7.0000000000000007E-2</v>
      </c>
      <c r="L426" s="206">
        <v>1.19</v>
      </c>
      <c r="M426" s="286">
        <v>1.19</v>
      </c>
      <c r="N426" s="552">
        <v>41791</v>
      </c>
      <c r="O426" s="205">
        <f t="shared" si="35"/>
        <v>0</v>
      </c>
      <c r="P426" s="555">
        <f>(1+$R$1)*Table33[[#This Row],[Hours]]</f>
        <v>0</v>
      </c>
      <c r="Q426" s="207">
        <f t="shared" si="34"/>
        <v>0</v>
      </c>
      <c r="R426" s="208">
        <f t="shared" si="36"/>
        <v>0</v>
      </c>
      <c r="S426" s="208">
        <f t="shared" si="37"/>
        <v>0</v>
      </c>
      <c r="T426" s="208" t="str">
        <f t="shared" si="38"/>
        <v/>
      </c>
      <c r="U426" s="195">
        <f>Table33[[#This Row],[gal/100ft]]*Table33[[#This Row],[QTY]]/100</f>
        <v>0</v>
      </c>
      <c r="V426" s="195"/>
      <c r="W426" s="195"/>
      <c r="X426" s="197"/>
      <c r="Y426" s="197"/>
      <c r="Z426" s="197"/>
      <c r="AA426" s="211"/>
      <c r="AB426" s="212"/>
    </row>
    <row r="427" spans="1:28" ht="12.75" x14ac:dyDescent="0.2">
      <c r="A427" s="195" t="s">
        <v>593</v>
      </c>
      <c r="B427" s="195" t="s">
        <v>613</v>
      </c>
      <c r="C427" s="536" t="s">
        <v>604</v>
      </c>
      <c r="D427" s="195" t="s">
        <v>636</v>
      </c>
      <c r="E427" s="288"/>
      <c r="F427" s="204">
        <v>0.75</v>
      </c>
      <c r="G427" s="204"/>
      <c r="H427" s="197"/>
      <c r="I427" s="198">
        <v>2.8</v>
      </c>
      <c r="J427" s="205">
        <v>0.08</v>
      </c>
      <c r="K427" s="287">
        <v>0.08</v>
      </c>
      <c r="L427" s="206">
        <v>11.77</v>
      </c>
      <c r="M427" s="286">
        <v>11.77</v>
      </c>
      <c r="N427" s="552">
        <v>41791</v>
      </c>
      <c r="O427" s="205">
        <f t="shared" si="35"/>
        <v>0</v>
      </c>
      <c r="P427" s="555">
        <f>(1+$R$1)*Table33[[#This Row],[Hours]]</f>
        <v>0</v>
      </c>
      <c r="Q427" s="207">
        <f t="shared" si="34"/>
        <v>0</v>
      </c>
      <c r="R427" s="208">
        <f t="shared" si="36"/>
        <v>0</v>
      </c>
      <c r="S427" s="208">
        <f t="shared" si="37"/>
        <v>0</v>
      </c>
      <c r="T427" s="208" t="str">
        <f t="shared" si="38"/>
        <v/>
      </c>
      <c r="U427" s="195">
        <f>Table33[[#This Row],[gal/100ft]]*Table33[[#This Row],[QTY]]/100</f>
        <v>0</v>
      </c>
      <c r="V427" s="195"/>
      <c r="W427" s="195"/>
      <c r="X427" s="197"/>
      <c r="Y427" s="197"/>
      <c r="Z427" s="197"/>
      <c r="AA427" s="211"/>
      <c r="AB427" s="212"/>
    </row>
    <row r="428" spans="1:28" ht="12.75" x14ac:dyDescent="0.2">
      <c r="A428" s="195" t="s">
        <v>593</v>
      </c>
      <c r="B428" s="195" t="s">
        <v>613</v>
      </c>
      <c r="C428" s="536" t="s">
        <v>604</v>
      </c>
      <c r="D428" s="195" t="s">
        <v>636</v>
      </c>
      <c r="E428" s="288"/>
      <c r="F428" s="204">
        <v>1</v>
      </c>
      <c r="G428" s="204"/>
      <c r="H428" s="197"/>
      <c r="I428" s="198">
        <v>4.5</v>
      </c>
      <c r="J428" s="205">
        <v>0.09</v>
      </c>
      <c r="K428" s="287">
        <v>0.09</v>
      </c>
      <c r="L428" s="206">
        <v>13.93</v>
      </c>
      <c r="M428" s="286">
        <v>13.93</v>
      </c>
      <c r="N428" s="552">
        <v>41791</v>
      </c>
      <c r="O428" s="205">
        <f t="shared" si="35"/>
        <v>0</v>
      </c>
      <c r="P428" s="555">
        <f>(1+$R$1)*Table33[[#This Row],[Hours]]</f>
        <v>0</v>
      </c>
      <c r="Q428" s="207">
        <f t="shared" si="34"/>
        <v>0</v>
      </c>
      <c r="R428" s="208">
        <f t="shared" si="36"/>
        <v>0</v>
      </c>
      <c r="S428" s="208">
        <f t="shared" si="37"/>
        <v>0</v>
      </c>
      <c r="T428" s="208" t="str">
        <f t="shared" si="38"/>
        <v/>
      </c>
      <c r="U428" s="195">
        <f>Table33[[#This Row],[gal/100ft]]*Table33[[#This Row],[QTY]]/100</f>
        <v>0</v>
      </c>
      <c r="V428" s="195"/>
      <c r="W428" s="195"/>
      <c r="X428" s="197"/>
      <c r="Y428" s="197"/>
      <c r="Z428" s="197"/>
      <c r="AA428" s="211"/>
      <c r="AB428" s="212"/>
    </row>
    <row r="429" spans="1:28" ht="12.75" x14ac:dyDescent="0.2">
      <c r="A429" s="195" t="s">
        <v>593</v>
      </c>
      <c r="B429" s="195" t="s">
        <v>613</v>
      </c>
      <c r="C429" s="536" t="s">
        <v>604</v>
      </c>
      <c r="D429" s="195" t="s">
        <v>636</v>
      </c>
      <c r="E429" s="288"/>
      <c r="F429" s="204">
        <v>1.25</v>
      </c>
      <c r="G429" s="204"/>
      <c r="H429" s="197"/>
      <c r="I429" s="198">
        <v>7.8</v>
      </c>
      <c r="J429" s="205">
        <v>0.1</v>
      </c>
      <c r="K429" s="287">
        <v>0.1</v>
      </c>
      <c r="L429" s="206">
        <v>3.3</v>
      </c>
      <c r="M429" s="286">
        <v>3.3</v>
      </c>
      <c r="N429" s="552">
        <v>41791</v>
      </c>
      <c r="O429" s="205">
        <f t="shared" si="35"/>
        <v>0</v>
      </c>
      <c r="P429" s="555">
        <f>(1+$R$1)*Table33[[#This Row],[Hours]]</f>
        <v>0</v>
      </c>
      <c r="Q429" s="207">
        <f t="shared" si="34"/>
        <v>0</v>
      </c>
      <c r="R429" s="208">
        <f t="shared" si="36"/>
        <v>0</v>
      </c>
      <c r="S429" s="208">
        <f t="shared" si="37"/>
        <v>0</v>
      </c>
      <c r="T429" s="208" t="str">
        <f t="shared" si="38"/>
        <v/>
      </c>
      <c r="U429" s="195">
        <f>Table33[[#This Row],[gal/100ft]]*Table33[[#This Row],[QTY]]/100</f>
        <v>0</v>
      </c>
      <c r="V429" s="195"/>
      <c r="W429" s="195"/>
      <c r="X429" s="197"/>
      <c r="Y429" s="197"/>
      <c r="Z429" s="197"/>
      <c r="AA429" s="211"/>
      <c r="AB429" s="212"/>
    </row>
    <row r="430" spans="1:28" ht="12.75" x14ac:dyDescent="0.2">
      <c r="A430" s="195" t="s">
        <v>593</v>
      </c>
      <c r="B430" s="536" t="s">
        <v>874</v>
      </c>
      <c r="C430" s="536" t="s">
        <v>604</v>
      </c>
      <c r="D430" s="536" t="s">
        <v>878</v>
      </c>
      <c r="E430" s="288"/>
      <c r="F430" s="204">
        <v>0.5</v>
      </c>
      <c r="G430" s="204"/>
      <c r="H430" s="197"/>
      <c r="I430" s="198">
        <v>1.6</v>
      </c>
      <c r="J430" s="205">
        <v>7.0000000000000007E-2</v>
      </c>
      <c r="K430" s="287">
        <v>7.0000000000000007E-2</v>
      </c>
      <c r="L430" s="206">
        <v>0.57999999999999996</v>
      </c>
      <c r="M430" s="286">
        <v>0.57999999999999996</v>
      </c>
      <c r="N430" s="552">
        <v>41791</v>
      </c>
      <c r="O430" s="205">
        <f t="shared" si="35"/>
        <v>0</v>
      </c>
      <c r="P430" s="555">
        <f>(1+$R$1)*Table33[[#This Row],[Hours]]</f>
        <v>0</v>
      </c>
      <c r="Q430" s="207">
        <f t="shared" si="34"/>
        <v>0</v>
      </c>
      <c r="R430" s="208">
        <f t="shared" si="36"/>
        <v>0</v>
      </c>
      <c r="S430" s="208">
        <f t="shared" si="37"/>
        <v>0</v>
      </c>
      <c r="T430" s="208" t="str">
        <f t="shared" si="38"/>
        <v/>
      </c>
      <c r="U430" s="195">
        <f>Table33[[#This Row],[gal/100ft]]*Table33[[#This Row],[QTY]]/100</f>
        <v>0</v>
      </c>
      <c r="V430" s="195"/>
      <c r="W430" s="195"/>
      <c r="X430" s="197"/>
      <c r="Y430" s="197"/>
      <c r="Z430" s="197"/>
      <c r="AA430" s="211"/>
      <c r="AB430" s="212"/>
    </row>
    <row r="431" spans="1:28" ht="12.75" x14ac:dyDescent="0.2">
      <c r="A431" s="195" t="s">
        <v>593</v>
      </c>
      <c r="B431" s="536" t="s">
        <v>874</v>
      </c>
      <c r="C431" s="536" t="s">
        <v>604</v>
      </c>
      <c r="D431" s="536" t="s">
        <v>878</v>
      </c>
      <c r="E431" s="288"/>
      <c r="F431" s="204">
        <v>0.75</v>
      </c>
      <c r="G431" s="204"/>
      <c r="H431" s="197"/>
      <c r="I431" s="198">
        <v>2.8</v>
      </c>
      <c r="J431" s="205">
        <v>0.08</v>
      </c>
      <c r="K431" s="287">
        <v>0.08</v>
      </c>
      <c r="L431" s="206">
        <v>0.77</v>
      </c>
      <c r="M431" s="286">
        <v>0.77</v>
      </c>
      <c r="N431" s="552">
        <v>41791</v>
      </c>
      <c r="O431" s="205">
        <f t="shared" si="35"/>
        <v>0</v>
      </c>
      <c r="P431" s="555">
        <f>(1+$R$1)*Table33[[#This Row],[Hours]]</f>
        <v>0</v>
      </c>
      <c r="Q431" s="207">
        <f t="shared" si="34"/>
        <v>0</v>
      </c>
      <c r="R431" s="208">
        <f t="shared" si="36"/>
        <v>0</v>
      </c>
      <c r="S431" s="208">
        <f t="shared" si="37"/>
        <v>0</v>
      </c>
      <c r="T431" s="208" t="str">
        <f t="shared" si="38"/>
        <v/>
      </c>
      <c r="U431" s="195">
        <f>Table33[[#This Row],[gal/100ft]]*Table33[[#This Row],[QTY]]/100</f>
        <v>0</v>
      </c>
      <c r="V431" s="195"/>
      <c r="W431" s="195"/>
      <c r="X431" s="197"/>
      <c r="Y431" s="197"/>
      <c r="Z431" s="197"/>
      <c r="AA431" s="211"/>
      <c r="AB431" s="212"/>
    </row>
    <row r="432" spans="1:28" ht="12.75" x14ac:dyDescent="0.2">
      <c r="A432" s="195" t="s">
        <v>593</v>
      </c>
      <c r="B432" s="536" t="s">
        <v>874</v>
      </c>
      <c r="C432" s="536" t="s">
        <v>604</v>
      </c>
      <c r="D432" s="536" t="s">
        <v>878</v>
      </c>
      <c r="E432" s="288"/>
      <c r="F432" s="204">
        <v>1</v>
      </c>
      <c r="G432" s="204"/>
      <c r="H432" s="197"/>
      <c r="I432" s="198">
        <v>4.5</v>
      </c>
      <c r="J432" s="205">
        <v>0.09</v>
      </c>
      <c r="K432" s="287">
        <v>0.09</v>
      </c>
      <c r="L432" s="206">
        <v>1.1499999999999999</v>
      </c>
      <c r="M432" s="286">
        <v>1.1499999999999999</v>
      </c>
      <c r="N432" s="552">
        <v>41791</v>
      </c>
      <c r="O432" s="205">
        <f t="shared" si="35"/>
        <v>0</v>
      </c>
      <c r="P432" s="555">
        <f>(1+$R$1)*Table33[[#This Row],[Hours]]</f>
        <v>0</v>
      </c>
      <c r="Q432" s="207">
        <f t="shared" si="34"/>
        <v>0</v>
      </c>
      <c r="R432" s="208">
        <f t="shared" si="36"/>
        <v>0</v>
      </c>
      <c r="S432" s="208">
        <f t="shared" si="37"/>
        <v>0</v>
      </c>
      <c r="T432" s="208" t="str">
        <f t="shared" si="38"/>
        <v/>
      </c>
      <c r="U432" s="195">
        <f>Table33[[#This Row],[gal/100ft]]*Table33[[#This Row],[QTY]]/100</f>
        <v>0</v>
      </c>
      <c r="V432" s="195"/>
      <c r="W432" s="195"/>
      <c r="X432" s="197"/>
      <c r="Y432" s="197"/>
      <c r="Z432" s="197"/>
      <c r="AA432" s="211"/>
      <c r="AB432" s="212"/>
    </row>
    <row r="433" spans="1:28" ht="12.75" x14ac:dyDescent="0.2">
      <c r="A433" s="195" t="s">
        <v>593</v>
      </c>
      <c r="B433" s="536" t="s">
        <v>874</v>
      </c>
      <c r="C433" s="536" t="s">
        <v>604</v>
      </c>
      <c r="D433" s="536" t="s">
        <v>878</v>
      </c>
      <c r="E433" s="288"/>
      <c r="F433" s="204">
        <v>1.25</v>
      </c>
      <c r="G433" s="204"/>
      <c r="H433" s="197"/>
      <c r="I433" s="198">
        <v>7.8</v>
      </c>
      <c r="J433" s="205">
        <v>0.1</v>
      </c>
      <c r="K433" s="287">
        <v>0.1</v>
      </c>
      <c r="L433" s="206">
        <v>1.54</v>
      </c>
      <c r="M433" s="286">
        <v>1.54</v>
      </c>
      <c r="N433" s="552">
        <v>41791</v>
      </c>
      <c r="O433" s="205">
        <f t="shared" si="35"/>
        <v>0</v>
      </c>
      <c r="P433" s="555">
        <f>(1+$R$1)*Table33[[#This Row],[Hours]]</f>
        <v>0</v>
      </c>
      <c r="Q433" s="207">
        <f t="shared" si="34"/>
        <v>0</v>
      </c>
      <c r="R433" s="208">
        <f t="shared" si="36"/>
        <v>0</v>
      </c>
      <c r="S433" s="208">
        <f t="shared" si="37"/>
        <v>0</v>
      </c>
      <c r="T433" s="208" t="str">
        <f t="shared" si="38"/>
        <v/>
      </c>
      <c r="U433" s="195">
        <f>Table33[[#This Row],[gal/100ft]]*Table33[[#This Row],[QTY]]/100</f>
        <v>0</v>
      </c>
      <c r="V433" s="195"/>
      <c r="W433" s="195"/>
      <c r="X433" s="197"/>
      <c r="Y433" s="197"/>
      <c r="Z433" s="197"/>
      <c r="AA433" s="211"/>
      <c r="AB433" s="212"/>
    </row>
    <row r="434" spans="1:28" ht="12.75" x14ac:dyDescent="0.2">
      <c r="A434" s="195" t="s">
        <v>593</v>
      </c>
      <c r="B434" s="536" t="s">
        <v>874</v>
      </c>
      <c r="C434" s="536" t="s">
        <v>604</v>
      </c>
      <c r="D434" s="536" t="s">
        <v>878</v>
      </c>
      <c r="E434" s="288"/>
      <c r="F434" s="204">
        <v>1.5</v>
      </c>
      <c r="G434" s="204"/>
      <c r="H434" s="197"/>
      <c r="I434" s="198">
        <v>10.5</v>
      </c>
      <c r="J434" s="205">
        <v>0.11</v>
      </c>
      <c r="K434" s="287">
        <v>0.11</v>
      </c>
      <c r="L434" s="206">
        <v>1.75</v>
      </c>
      <c r="M434" s="286">
        <v>1.75</v>
      </c>
      <c r="N434" s="552">
        <v>41791</v>
      </c>
      <c r="O434" s="205">
        <f t="shared" si="35"/>
        <v>0</v>
      </c>
      <c r="P434" s="555">
        <f>(1+$R$1)*Table33[[#This Row],[Hours]]</f>
        <v>0</v>
      </c>
      <c r="Q434" s="207">
        <f t="shared" si="34"/>
        <v>0</v>
      </c>
      <c r="R434" s="208">
        <f t="shared" si="36"/>
        <v>0</v>
      </c>
      <c r="S434" s="208">
        <f t="shared" si="37"/>
        <v>0</v>
      </c>
      <c r="T434" s="208" t="str">
        <f t="shared" si="38"/>
        <v/>
      </c>
      <c r="U434" s="195">
        <f>Table33[[#This Row],[gal/100ft]]*Table33[[#This Row],[QTY]]/100</f>
        <v>0</v>
      </c>
      <c r="V434" s="195"/>
      <c r="W434" s="195"/>
      <c r="X434" s="197"/>
      <c r="Y434" s="197"/>
      <c r="Z434" s="197"/>
      <c r="AA434" s="211"/>
      <c r="AB434" s="212"/>
    </row>
    <row r="435" spans="1:28" ht="12.75" x14ac:dyDescent="0.2">
      <c r="A435" s="195" t="s">
        <v>593</v>
      </c>
      <c r="B435" s="536" t="s">
        <v>874</v>
      </c>
      <c r="C435" s="536" t="s">
        <v>604</v>
      </c>
      <c r="D435" s="536" t="s">
        <v>878</v>
      </c>
      <c r="E435" s="288"/>
      <c r="F435" s="204">
        <v>2</v>
      </c>
      <c r="G435" s="204"/>
      <c r="H435" s="197"/>
      <c r="I435" s="198">
        <v>17</v>
      </c>
      <c r="J435" s="205">
        <v>0.13</v>
      </c>
      <c r="K435" s="287">
        <v>0.13</v>
      </c>
      <c r="L435" s="206">
        <v>2.4900000000000002</v>
      </c>
      <c r="M435" s="286">
        <v>2.4900000000000002</v>
      </c>
      <c r="N435" s="552">
        <v>41791</v>
      </c>
      <c r="O435" s="205">
        <f t="shared" si="35"/>
        <v>0</v>
      </c>
      <c r="P435" s="555">
        <f>(1+$R$1)*Table33[[#This Row],[Hours]]</f>
        <v>0</v>
      </c>
      <c r="Q435" s="207">
        <f t="shared" si="34"/>
        <v>0</v>
      </c>
      <c r="R435" s="208">
        <f t="shared" si="36"/>
        <v>0</v>
      </c>
      <c r="S435" s="208">
        <f t="shared" si="37"/>
        <v>0</v>
      </c>
      <c r="T435" s="208" t="str">
        <f t="shared" si="38"/>
        <v/>
      </c>
      <c r="U435" s="195">
        <f>Table33[[#This Row],[gal/100ft]]*Table33[[#This Row],[QTY]]/100</f>
        <v>0</v>
      </c>
      <c r="V435" s="195"/>
      <c r="W435" s="195"/>
      <c r="X435" s="197"/>
      <c r="Y435" s="197"/>
      <c r="Z435" s="197"/>
      <c r="AA435" s="211"/>
      <c r="AB435" s="212"/>
    </row>
    <row r="436" spans="1:28" ht="12.75" x14ac:dyDescent="0.2">
      <c r="A436" s="195" t="s">
        <v>602</v>
      </c>
      <c r="B436" s="536" t="s">
        <v>874</v>
      </c>
      <c r="C436" s="536" t="s">
        <v>604</v>
      </c>
      <c r="D436" s="536" t="s">
        <v>877</v>
      </c>
      <c r="E436" s="288"/>
      <c r="F436" s="204">
        <v>3</v>
      </c>
      <c r="G436" s="204"/>
      <c r="H436" s="197"/>
      <c r="I436" s="198">
        <v>38</v>
      </c>
      <c r="J436" s="205">
        <v>0.26</v>
      </c>
      <c r="K436" s="287">
        <v>0.26</v>
      </c>
      <c r="L436" s="206">
        <v>4.7</v>
      </c>
      <c r="M436" s="286">
        <v>4.7</v>
      </c>
      <c r="N436" s="552">
        <v>41791</v>
      </c>
      <c r="O436" s="205">
        <f t="shared" si="35"/>
        <v>0</v>
      </c>
      <c r="P436" s="555">
        <f>(1+$R$1)*Table33[[#This Row],[Hours]]</f>
        <v>0</v>
      </c>
      <c r="Q436" s="207">
        <f t="shared" si="34"/>
        <v>0</v>
      </c>
      <c r="R436" s="208">
        <f t="shared" si="36"/>
        <v>0</v>
      </c>
      <c r="S436" s="208">
        <f t="shared" si="37"/>
        <v>0</v>
      </c>
      <c r="T436" s="208" t="str">
        <f t="shared" si="38"/>
        <v/>
      </c>
      <c r="U436" s="195">
        <f>Table33[[#This Row],[gal/100ft]]*Table33[[#This Row],[QTY]]/100</f>
        <v>0</v>
      </c>
      <c r="V436" s="195"/>
      <c r="W436" s="195"/>
      <c r="X436" s="197"/>
      <c r="Y436" s="197"/>
      <c r="Z436" s="197"/>
      <c r="AA436" s="211"/>
      <c r="AB436" s="212"/>
    </row>
    <row r="437" spans="1:28" ht="12.75" x14ac:dyDescent="0.2">
      <c r="A437" s="195" t="s">
        <v>602</v>
      </c>
      <c r="B437" s="536" t="s">
        <v>874</v>
      </c>
      <c r="C437" s="536" t="s">
        <v>604</v>
      </c>
      <c r="D437" s="536" t="s">
        <v>877</v>
      </c>
      <c r="E437" s="288"/>
      <c r="F437" s="204">
        <v>2.5</v>
      </c>
      <c r="G437" s="204"/>
      <c r="H437" s="197"/>
      <c r="I437" s="198">
        <v>25</v>
      </c>
      <c r="J437" s="205">
        <v>0.22</v>
      </c>
      <c r="K437" s="287">
        <v>0.22</v>
      </c>
      <c r="L437" s="206">
        <v>3.63</v>
      </c>
      <c r="M437" s="286">
        <v>3.63</v>
      </c>
      <c r="N437" s="552">
        <v>41791</v>
      </c>
      <c r="O437" s="205">
        <f t="shared" si="35"/>
        <v>0</v>
      </c>
      <c r="P437" s="555">
        <f>(1+$R$1)*Table33[[#This Row],[Hours]]</f>
        <v>0</v>
      </c>
      <c r="Q437" s="207">
        <f t="shared" si="34"/>
        <v>0</v>
      </c>
      <c r="R437" s="208">
        <f t="shared" si="36"/>
        <v>0</v>
      </c>
      <c r="S437" s="208">
        <f t="shared" si="37"/>
        <v>0</v>
      </c>
      <c r="T437" s="208" t="str">
        <f t="shared" si="38"/>
        <v/>
      </c>
      <c r="U437" s="195">
        <f>Table33[[#This Row],[gal/100ft]]*Table33[[#This Row],[QTY]]/100</f>
        <v>0</v>
      </c>
      <c r="V437" s="195"/>
      <c r="W437" s="195"/>
      <c r="X437" s="197"/>
      <c r="Y437" s="197"/>
      <c r="Z437" s="197"/>
      <c r="AA437" s="211"/>
      <c r="AB437" s="212"/>
    </row>
    <row r="438" spans="1:28" ht="12.75" x14ac:dyDescent="0.2">
      <c r="A438" s="195" t="s">
        <v>602</v>
      </c>
      <c r="B438" s="536" t="s">
        <v>874</v>
      </c>
      <c r="C438" s="536" t="s">
        <v>604</v>
      </c>
      <c r="D438" s="536" t="s">
        <v>877</v>
      </c>
      <c r="E438" s="288"/>
      <c r="F438" s="204">
        <v>3.5</v>
      </c>
      <c r="G438" s="204"/>
      <c r="H438" s="197"/>
      <c r="I438" s="198"/>
      <c r="J438" s="205">
        <v>0.28999999999999998</v>
      </c>
      <c r="K438" s="287">
        <v>0.28999999999999998</v>
      </c>
      <c r="L438" s="206">
        <v>10.48</v>
      </c>
      <c r="M438" s="286">
        <v>10.48</v>
      </c>
      <c r="N438" s="552">
        <v>41791</v>
      </c>
      <c r="O438" s="205">
        <f t="shared" si="35"/>
        <v>0</v>
      </c>
      <c r="P438" s="555">
        <f>(1+$R$1)*Table33[[#This Row],[Hours]]</f>
        <v>0</v>
      </c>
      <c r="Q438" s="207">
        <f t="shared" si="34"/>
        <v>0</v>
      </c>
      <c r="R438" s="208">
        <f t="shared" si="36"/>
        <v>0</v>
      </c>
      <c r="S438" s="208">
        <f t="shared" si="37"/>
        <v>0</v>
      </c>
      <c r="T438" s="208" t="str">
        <f t="shared" si="38"/>
        <v/>
      </c>
      <c r="U438" s="195">
        <f>Table33[[#This Row],[gal/100ft]]*Table33[[#This Row],[QTY]]/100</f>
        <v>0</v>
      </c>
      <c r="V438" s="195"/>
      <c r="W438" s="195"/>
      <c r="X438" s="197"/>
      <c r="Y438" s="197"/>
      <c r="Z438" s="197"/>
      <c r="AA438" s="211"/>
      <c r="AB438" s="212"/>
    </row>
    <row r="439" spans="1:28" ht="12.75" x14ac:dyDescent="0.2">
      <c r="A439" s="195" t="s">
        <v>602</v>
      </c>
      <c r="B439" s="536" t="s">
        <v>874</v>
      </c>
      <c r="C439" s="536" t="s">
        <v>604</v>
      </c>
      <c r="D439" s="536" t="s">
        <v>877</v>
      </c>
      <c r="E439" s="288"/>
      <c r="F439" s="204">
        <v>4</v>
      </c>
      <c r="G439" s="204"/>
      <c r="H439" s="197"/>
      <c r="I439" s="198">
        <v>66</v>
      </c>
      <c r="J439" s="205">
        <v>0.33</v>
      </c>
      <c r="K439" s="287">
        <v>0.33</v>
      </c>
      <c r="L439" s="206">
        <v>6.37</v>
      </c>
      <c r="M439" s="286">
        <v>6.37</v>
      </c>
      <c r="N439" s="552">
        <v>41791</v>
      </c>
      <c r="O439" s="205">
        <f t="shared" si="35"/>
        <v>0</v>
      </c>
      <c r="P439" s="555">
        <f>(1+$R$1)*Table33[[#This Row],[Hours]]</f>
        <v>0</v>
      </c>
      <c r="Q439" s="207">
        <f t="shared" si="34"/>
        <v>0</v>
      </c>
      <c r="R439" s="208">
        <f t="shared" si="36"/>
        <v>0</v>
      </c>
      <c r="S439" s="208">
        <f t="shared" si="37"/>
        <v>0</v>
      </c>
      <c r="T439" s="208" t="str">
        <f t="shared" si="38"/>
        <v/>
      </c>
      <c r="U439" s="195">
        <f>Table33[[#This Row],[gal/100ft]]*Table33[[#This Row],[QTY]]/100</f>
        <v>0</v>
      </c>
      <c r="V439" s="195"/>
      <c r="W439" s="195"/>
      <c r="X439" s="197"/>
      <c r="Y439" s="197"/>
      <c r="Z439" s="197"/>
      <c r="AA439" s="211"/>
      <c r="AB439" s="212"/>
    </row>
    <row r="440" spans="1:28" ht="12.75" x14ac:dyDescent="0.2">
      <c r="A440" s="195" t="s">
        <v>602</v>
      </c>
      <c r="B440" s="536" t="s">
        <v>874</v>
      </c>
      <c r="C440" s="536" t="s">
        <v>604</v>
      </c>
      <c r="D440" s="536" t="s">
        <v>877</v>
      </c>
      <c r="E440" s="288"/>
      <c r="F440" s="204">
        <v>5</v>
      </c>
      <c r="G440" s="204"/>
      <c r="H440" s="197"/>
      <c r="I440" s="198">
        <v>102</v>
      </c>
      <c r="J440" s="205">
        <v>0.39</v>
      </c>
      <c r="K440" s="287">
        <v>0.39</v>
      </c>
      <c r="L440" s="206">
        <v>8.48</v>
      </c>
      <c r="M440" s="286">
        <v>8.48</v>
      </c>
      <c r="N440" s="552">
        <v>41791</v>
      </c>
      <c r="O440" s="205">
        <f t="shared" si="35"/>
        <v>0</v>
      </c>
      <c r="P440" s="555">
        <f>(1+$R$1)*Table33[[#This Row],[Hours]]</f>
        <v>0</v>
      </c>
      <c r="Q440" s="207">
        <f t="shared" si="34"/>
        <v>0</v>
      </c>
      <c r="R440" s="208">
        <f t="shared" si="36"/>
        <v>0</v>
      </c>
      <c r="S440" s="208">
        <f t="shared" si="37"/>
        <v>0</v>
      </c>
      <c r="T440" s="208" t="str">
        <f t="shared" si="38"/>
        <v/>
      </c>
      <c r="U440" s="195">
        <f>Table33[[#This Row],[gal/100ft]]*Table33[[#This Row],[QTY]]/100</f>
        <v>0</v>
      </c>
      <c r="V440" s="195"/>
      <c r="W440" s="195"/>
      <c r="X440" s="195"/>
      <c r="Y440" s="195"/>
    </row>
    <row r="441" spans="1:28" ht="12.75" x14ac:dyDescent="0.2">
      <c r="A441" s="195" t="s">
        <v>602</v>
      </c>
      <c r="B441" s="536" t="s">
        <v>874</v>
      </c>
      <c r="C441" s="536" t="s">
        <v>604</v>
      </c>
      <c r="D441" s="536" t="s">
        <v>877</v>
      </c>
      <c r="E441" s="288"/>
      <c r="F441" s="204">
        <v>6</v>
      </c>
      <c r="G441" s="204"/>
      <c r="H441" s="197"/>
      <c r="I441" s="198">
        <v>147</v>
      </c>
      <c r="J441" s="205">
        <v>0.43</v>
      </c>
      <c r="K441" s="287">
        <v>0.43</v>
      </c>
      <c r="L441" s="206">
        <v>10.99</v>
      </c>
      <c r="M441" s="286">
        <v>10.99</v>
      </c>
      <c r="N441" s="552">
        <v>41791</v>
      </c>
      <c r="O441" s="205">
        <f t="shared" si="35"/>
        <v>0</v>
      </c>
      <c r="P441" s="555">
        <f>(1+$R$1)*Table33[[#This Row],[Hours]]</f>
        <v>0</v>
      </c>
      <c r="Q441" s="207">
        <f t="shared" si="34"/>
        <v>0</v>
      </c>
      <c r="R441" s="208">
        <f t="shared" si="36"/>
        <v>0</v>
      </c>
      <c r="S441" s="208">
        <f t="shared" si="37"/>
        <v>0</v>
      </c>
      <c r="T441" s="208" t="str">
        <f t="shared" si="38"/>
        <v/>
      </c>
      <c r="U441" s="195">
        <f>Table33[[#This Row],[gal/100ft]]*Table33[[#This Row],[QTY]]/100</f>
        <v>0</v>
      </c>
      <c r="V441" s="195"/>
      <c r="W441" s="195"/>
      <c r="X441" s="195"/>
      <c r="Y441" s="195"/>
    </row>
    <row r="442" spans="1:28" ht="12.75" x14ac:dyDescent="0.2">
      <c r="A442" s="195" t="s">
        <v>602</v>
      </c>
      <c r="B442" s="536" t="s">
        <v>874</v>
      </c>
      <c r="C442" s="536" t="s">
        <v>604</v>
      </c>
      <c r="D442" s="536" t="s">
        <v>877</v>
      </c>
      <c r="E442" s="288"/>
      <c r="F442" s="204">
        <v>8</v>
      </c>
      <c r="G442" s="204"/>
      <c r="H442" s="197"/>
      <c r="I442" s="198">
        <v>261</v>
      </c>
      <c r="J442" s="205">
        <v>0.53</v>
      </c>
      <c r="K442" s="287">
        <v>0.53</v>
      </c>
      <c r="L442" s="206">
        <v>17.54</v>
      </c>
      <c r="M442" s="286">
        <v>17.54</v>
      </c>
      <c r="N442" s="552">
        <v>41791</v>
      </c>
      <c r="O442" s="205">
        <f t="shared" si="35"/>
        <v>0</v>
      </c>
      <c r="P442" s="555">
        <f>(1+$R$1)*Table33[[#This Row],[Hours]]</f>
        <v>0</v>
      </c>
      <c r="Q442" s="207">
        <f t="shared" si="34"/>
        <v>0</v>
      </c>
      <c r="R442" s="208">
        <f t="shared" si="36"/>
        <v>0</v>
      </c>
      <c r="S442" s="208">
        <f t="shared" si="37"/>
        <v>0</v>
      </c>
      <c r="T442" s="208" t="str">
        <f t="shared" si="38"/>
        <v/>
      </c>
      <c r="U442" s="195">
        <f>Table33[[#This Row],[gal/100ft]]*Table33[[#This Row],[QTY]]/100</f>
        <v>0</v>
      </c>
      <c r="V442" s="195"/>
      <c r="W442" s="195"/>
      <c r="X442" s="195"/>
      <c r="Y442" s="195"/>
    </row>
    <row r="443" spans="1:28" ht="12.75" x14ac:dyDescent="0.2">
      <c r="A443" s="195" t="s">
        <v>602</v>
      </c>
      <c r="B443" s="536" t="s">
        <v>874</v>
      </c>
      <c r="C443" s="536" t="s">
        <v>604</v>
      </c>
      <c r="D443" s="536" t="s">
        <v>877</v>
      </c>
      <c r="E443" s="288"/>
      <c r="F443" s="204">
        <v>10</v>
      </c>
      <c r="G443" s="204"/>
      <c r="H443" s="197"/>
      <c r="I443" s="198">
        <v>408</v>
      </c>
      <c r="J443" s="205">
        <v>0.66</v>
      </c>
      <c r="K443" s="287">
        <v>0.66</v>
      </c>
      <c r="L443" s="206">
        <v>22.42</v>
      </c>
      <c r="M443" s="286">
        <v>22.42</v>
      </c>
      <c r="N443" s="552">
        <v>41791</v>
      </c>
      <c r="O443" s="205">
        <f t="shared" si="35"/>
        <v>0</v>
      </c>
      <c r="P443" s="555">
        <f>(1+$R$1)*Table33[[#This Row],[Hours]]</f>
        <v>0</v>
      </c>
      <c r="Q443" s="207">
        <f t="shared" si="34"/>
        <v>0</v>
      </c>
      <c r="R443" s="208">
        <f t="shared" si="36"/>
        <v>0</v>
      </c>
      <c r="S443" s="208">
        <f t="shared" si="37"/>
        <v>0</v>
      </c>
      <c r="T443" s="208" t="str">
        <f t="shared" si="38"/>
        <v/>
      </c>
      <c r="U443" s="195">
        <f>Table33[[#This Row],[gal/100ft]]*Table33[[#This Row],[QTY]]/100</f>
        <v>0</v>
      </c>
      <c r="V443" s="195"/>
      <c r="W443" s="195"/>
      <c r="X443" s="195"/>
      <c r="Y443" s="195"/>
    </row>
    <row r="444" spans="1:28" ht="12.75" x14ac:dyDescent="0.2">
      <c r="A444" s="195" t="s">
        <v>602</v>
      </c>
      <c r="B444" s="536" t="s">
        <v>874</v>
      </c>
      <c r="C444" s="536" t="s">
        <v>604</v>
      </c>
      <c r="D444" s="536" t="s">
        <v>877</v>
      </c>
      <c r="E444" s="288"/>
      <c r="F444" s="204">
        <v>12</v>
      </c>
      <c r="G444" s="204"/>
      <c r="H444" s="197"/>
      <c r="I444" s="198">
        <v>588</v>
      </c>
      <c r="J444" s="205">
        <v>0.77</v>
      </c>
      <c r="K444" s="287">
        <v>0.77</v>
      </c>
      <c r="L444" s="206">
        <v>27.45</v>
      </c>
      <c r="M444" s="286">
        <v>27.45</v>
      </c>
      <c r="N444" s="552">
        <v>41791</v>
      </c>
      <c r="O444" s="205">
        <f t="shared" si="35"/>
        <v>0</v>
      </c>
      <c r="P444" s="555">
        <f>(1+$R$1)*Table33[[#This Row],[Hours]]</f>
        <v>0</v>
      </c>
      <c r="Q444" s="207">
        <f t="shared" si="34"/>
        <v>0</v>
      </c>
      <c r="R444" s="208">
        <f t="shared" si="36"/>
        <v>0</v>
      </c>
      <c r="S444" s="208">
        <f t="shared" si="37"/>
        <v>0</v>
      </c>
      <c r="T444" s="208" t="str">
        <f t="shared" si="38"/>
        <v/>
      </c>
      <c r="U444" s="195">
        <f>Table33[[#This Row],[gal/100ft]]*Table33[[#This Row],[QTY]]/100</f>
        <v>0</v>
      </c>
      <c r="V444" s="195"/>
      <c r="W444" s="195"/>
      <c r="X444" s="195"/>
      <c r="Y444" s="195"/>
    </row>
    <row r="445" spans="1:28" ht="12.75" x14ac:dyDescent="0.2">
      <c r="A445" s="195" t="s">
        <v>602</v>
      </c>
      <c r="B445" s="536" t="s">
        <v>874</v>
      </c>
      <c r="C445" s="536" t="s">
        <v>604</v>
      </c>
      <c r="D445" s="536" t="s">
        <v>877</v>
      </c>
      <c r="E445" s="288"/>
      <c r="F445" s="204">
        <v>14</v>
      </c>
      <c r="G445" s="204"/>
      <c r="H445" s="197"/>
      <c r="I445" s="198">
        <v>716</v>
      </c>
      <c r="J445" s="205">
        <v>0.84</v>
      </c>
      <c r="K445" s="287">
        <v>0.84</v>
      </c>
      <c r="L445" s="206">
        <v>43.67</v>
      </c>
      <c r="M445" s="286">
        <v>43.67</v>
      </c>
      <c r="N445" s="552">
        <v>41791</v>
      </c>
      <c r="O445" s="205">
        <f t="shared" si="35"/>
        <v>0</v>
      </c>
      <c r="P445" s="555">
        <f>(1+$R$1)*Table33[[#This Row],[Hours]]</f>
        <v>0</v>
      </c>
      <c r="Q445" s="207">
        <f t="shared" si="34"/>
        <v>0</v>
      </c>
      <c r="R445" s="208">
        <f t="shared" si="36"/>
        <v>0</v>
      </c>
      <c r="S445" s="208">
        <f t="shared" si="37"/>
        <v>0</v>
      </c>
      <c r="T445" s="208" t="str">
        <f t="shared" si="38"/>
        <v/>
      </c>
      <c r="U445" s="195">
        <f>Table33[[#This Row],[gal/100ft]]*Table33[[#This Row],[QTY]]/100</f>
        <v>0</v>
      </c>
      <c r="V445" s="195"/>
      <c r="W445" s="195"/>
      <c r="X445" s="195"/>
      <c r="Y445" s="195"/>
    </row>
    <row r="446" spans="1:28" ht="12.75" x14ac:dyDescent="0.2">
      <c r="A446" s="195" t="s">
        <v>602</v>
      </c>
      <c r="B446" s="536" t="s">
        <v>874</v>
      </c>
      <c r="C446" s="536" t="s">
        <v>604</v>
      </c>
      <c r="D446" s="536" t="s">
        <v>877</v>
      </c>
      <c r="E446" s="288"/>
      <c r="F446" s="204">
        <v>16</v>
      </c>
      <c r="G446" s="204"/>
      <c r="H446" s="197"/>
      <c r="I446" s="198">
        <v>950</v>
      </c>
      <c r="J446" s="205">
        <v>0.95</v>
      </c>
      <c r="K446" s="287">
        <v>0.95</v>
      </c>
      <c r="L446" s="206">
        <v>50.08</v>
      </c>
      <c r="M446" s="286">
        <v>50.08</v>
      </c>
      <c r="N446" s="552">
        <v>41791</v>
      </c>
      <c r="O446" s="205">
        <f t="shared" si="35"/>
        <v>0</v>
      </c>
      <c r="P446" s="555">
        <f>(1+$R$1)*Table33[[#This Row],[Hours]]</f>
        <v>0</v>
      </c>
      <c r="Q446" s="207">
        <f t="shared" si="34"/>
        <v>0</v>
      </c>
      <c r="R446" s="208">
        <f t="shared" si="36"/>
        <v>0</v>
      </c>
      <c r="S446" s="208">
        <f t="shared" si="37"/>
        <v>0</v>
      </c>
      <c r="T446" s="208" t="str">
        <f t="shared" si="38"/>
        <v/>
      </c>
      <c r="U446" s="195">
        <f>Table33[[#This Row],[gal/100ft]]*Table33[[#This Row],[QTY]]/100</f>
        <v>0</v>
      </c>
      <c r="V446" s="195"/>
      <c r="W446" s="195"/>
      <c r="X446" s="195"/>
      <c r="Y446" s="195"/>
    </row>
    <row r="447" spans="1:28" ht="12.75" x14ac:dyDescent="0.2">
      <c r="A447" s="195" t="s">
        <v>602</v>
      </c>
      <c r="B447" s="536" t="s">
        <v>874</v>
      </c>
      <c r="C447" s="536" t="s">
        <v>604</v>
      </c>
      <c r="D447" s="536" t="s">
        <v>877</v>
      </c>
      <c r="E447" s="288"/>
      <c r="F447" s="204">
        <v>18</v>
      </c>
      <c r="G447" s="204"/>
      <c r="H447" s="197"/>
      <c r="I447" s="198">
        <v>1200</v>
      </c>
      <c r="J447" s="205">
        <v>1.1200000000000001</v>
      </c>
      <c r="K447" s="287">
        <v>1.1200000000000001</v>
      </c>
      <c r="L447" s="206">
        <v>58.97</v>
      </c>
      <c r="M447" s="286">
        <v>58.97</v>
      </c>
      <c r="N447" s="552">
        <v>41791</v>
      </c>
      <c r="O447" s="205">
        <f t="shared" si="35"/>
        <v>0</v>
      </c>
      <c r="P447" s="555">
        <f>(1+$R$1)*Table33[[#This Row],[Hours]]</f>
        <v>0</v>
      </c>
      <c r="Q447" s="207">
        <f t="shared" si="34"/>
        <v>0</v>
      </c>
      <c r="R447" s="208">
        <f t="shared" si="36"/>
        <v>0</v>
      </c>
      <c r="S447" s="208">
        <f t="shared" si="37"/>
        <v>0</v>
      </c>
      <c r="T447" s="208" t="str">
        <f t="shared" si="38"/>
        <v/>
      </c>
      <c r="U447" s="195">
        <f>Table33[[#This Row],[gal/100ft]]*Table33[[#This Row],[QTY]]/100</f>
        <v>0</v>
      </c>
      <c r="V447" s="195"/>
      <c r="W447" s="195"/>
      <c r="X447" s="195"/>
      <c r="Y447" s="195"/>
    </row>
    <row r="448" spans="1:28" ht="12.75" x14ac:dyDescent="0.2">
      <c r="A448" s="195" t="s">
        <v>602</v>
      </c>
      <c r="B448" s="536" t="s">
        <v>874</v>
      </c>
      <c r="C448" s="536" t="s">
        <v>604</v>
      </c>
      <c r="D448" s="536" t="s">
        <v>877</v>
      </c>
      <c r="E448" s="288"/>
      <c r="F448" s="204">
        <v>20</v>
      </c>
      <c r="G448" s="204"/>
      <c r="H448" s="197"/>
      <c r="I448" s="198">
        <v>1500</v>
      </c>
      <c r="J448" s="205">
        <v>1.24</v>
      </c>
      <c r="K448" s="287">
        <v>1.24</v>
      </c>
      <c r="L448" s="206">
        <v>65.61</v>
      </c>
      <c r="M448" s="286">
        <v>65.61</v>
      </c>
      <c r="N448" s="552">
        <v>41791</v>
      </c>
      <c r="O448" s="205">
        <f t="shared" si="35"/>
        <v>0</v>
      </c>
      <c r="P448" s="555">
        <f>(1+$R$1)*Table33[[#This Row],[Hours]]</f>
        <v>0</v>
      </c>
      <c r="Q448" s="207">
        <f t="shared" si="34"/>
        <v>0</v>
      </c>
      <c r="R448" s="208">
        <f t="shared" si="36"/>
        <v>0</v>
      </c>
      <c r="S448" s="208">
        <f t="shared" si="37"/>
        <v>0</v>
      </c>
      <c r="T448" s="208" t="str">
        <f t="shared" si="38"/>
        <v/>
      </c>
      <c r="U448" s="195">
        <f>Table33[[#This Row],[gal/100ft]]*Table33[[#This Row],[QTY]]/100</f>
        <v>0</v>
      </c>
      <c r="V448" s="195"/>
      <c r="W448" s="195"/>
      <c r="X448" s="195"/>
      <c r="Y448" s="195"/>
    </row>
    <row r="449" spans="1:28" ht="12.75" x14ac:dyDescent="0.2">
      <c r="A449" s="195" t="s">
        <v>602</v>
      </c>
      <c r="B449" s="536" t="s">
        <v>874</v>
      </c>
      <c r="C449" s="536" t="s">
        <v>604</v>
      </c>
      <c r="D449" s="536" t="s">
        <v>877</v>
      </c>
      <c r="E449" s="288"/>
      <c r="F449" s="204">
        <v>24</v>
      </c>
      <c r="G449" s="204"/>
      <c r="H449" s="197"/>
      <c r="I449" s="198">
        <v>2350</v>
      </c>
      <c r="J449" s="205">
        <v>1.56</v>
      </c>
      <c r="K449" s="287">
        <v>1.56</v>
      </c>
      <c r="L449" s="206">
        <v>79.06</v>
      </c>
      <c r="M449" s="286">
        <v>79.06</v>
      </c>
      <c r="N449" s="552">
        <v>41791</v>
      </c>
      <c r="O449" s="205">
        <f t="shared" si="35"/>
        <v>0</v>
      </c>
      <c r="P449" s="555">
        <f>(1+$R$1)*Table33[[#This Row],[Hours]]</f>
        <v>0</v>
      </c>
      <c r="Q449" s="207">
        <f t="shared" si="34"/>
        <v>0</v>
      </c>
      <c r="R449" s="208">
        <f t="shared" si="36"/>
        <v>0</v>
      </c>
      <c r="S449" s="208">
        <f t="shared" si="37"/>
        <v>0</v>
      </c>
      <c r="T449" s="208" t="str">
        <f t="shared" si="38"/>
        <v/>
      </c>
      <c r="U449" s="195">
        <f>Table33[[#This Row],[gal/100ft]]*Table33[[#This Row],[QTY]]/100</f>
        <v>0</v>
      </c>
      <c r="V449" s="195"/>
      <c r="W449" s="195"/>
      <c r="X449" s="195"/>
      <c r="Y449" s="195"/>
    </row>
    <row r="450" spans="1:28" ht="12.75" x14ac:dyDescent="0.2">
      <c r="A450" s="195" t="s">
        <v>602</v>
      </c>
      <c r="B450" s="536" t="s">
        <v>874</v>
      </c>
      <c r="C450" s="536" t="s">
        <v>604</v>
      </c>
      <c r="D450" s="536" t="s">
        <v>877</v>
      </c>
      <c r="E450" s="288"/>
      <c r="F450" s="204">
        <v>30</v>
      </c>
      <c r="G450" s="204"/>
      <c r="H450" s="197"/>
      <c r="I450" s="198"/>
      <c r="J450" s="205"/>
      <c r="K450" s="287"/>
      <c r="L450" s="206">
        <v>384.67</v>
      </c>
      <c r="M450" s="286">
        <v>384.67</v>
      </c>
      <c r="N450" s="552">
        <v>41791</v>
      </c>
      <c r="O450" s="205">
        <f t="shared" si="35"/>
        <v>0</v>
      </c>
      <c r="P450" s="555">
        <f>(1+$R$1)*Table33[[#This Row],[Hours]]</f>
        <v>0</v>
      </c>
      <c r="Q450" s="207">
        <f t="shared" si="34"/>
        <v>0</v>
      </c>
      <c r="R450" s="208">
        <f t="shared" si="36"/>
        <v>0</v>
      </c>
      <c r="S450" s="208">
        <f t="shared" si="37"/>
        <v>0</v>
      </c>
      <c r="T450" s="208" t="str">
        <f t="shared" si="38"/>
        <v/>
      </c>
      <c r="U450" s="195">
        <f>Table33[[#This Row],[gal/100ft]]*Table33[[#This Row],[QTY]]/100</f>
        <v>0</v>
      </c>
      <c r="V450" s="195"/>
      <c r="W450" s="195"/>
      <c r="X450" s="195"/>
      <c r="Y450" s="195"/>
    </row>
    <row r="451" spans="1:28" ht="12.75" x14ac:dyDescent="0.2">
      <c r="A451" s="195" t="s">
        <v>602</v>
      </c>
      <c r="B451" s="536" t="s">
        <v>874</v>
      </c>
      <c r="C451" s="536" t="s">
        <v>604</v>
      </c>
      <c r="D451" s="536" t="s">
        <v>877</v>
      </c>
      <c r="E451" s="288"/>
      <c r="F451" s="204">
        <v>36</v>
      </c>
      <c r="G451" s="204"/>
      <c r="H451" s="197"/>
      <c r="I451" s="198"/>
      <c r="J451" s="205"/>
      <c r="K451" s="287"/>
      <c r="L451" s="206">
        <v>500</v>
      </c>
      <c r="M451" s="286">
        <v>500</v>
      </c>
      <c r="N451" s="552">
        <v>41791</v>
      </c>
      <c r="O451" s="205">
        <f t="shared" si="35"/>
        <v>0</v>
      </c>
      <c r="P451" s="555">
        <f>(1+$R$1)*Table33[[#This Row],[Hours]]</f>
        <v>0</v>
      </c>
      <c r="Q451" s="207">
        <f t="shared" si="34"/>
        <v>0</v>
      </c>
      <c r="R451" s="208">
        <f t="shared" si="36"/>
        <v>0</v>
      </c>
      <c r="S451" s="208">
        <f t="shared" si="37"/>
        <v>0</v>
      </c>
      <c r="T451" s="208" t="str">
        <f t="shared" si="38"/>
        <v/>
      </c>
      <c r="U451" s="195">
        <f>Table33[[#This Row],[gal/100ft]]*Table33[[#This Row],[QTY]]/100</f>
        <v>0</v>
      </c>
      <c r="V451" s="195"/>
      <c r="W451" s="195"/>
      <c r="X451" s="195"/>
      <c r="Y451" s="195"/>
    </row>
    <row r="452" spans="1:28" ht="12.75" x14ac:dyDescent="0.2">
      <c r="A452" s="195" t="s">
        <v>602</v>
      </c>
      <c r="B452" s="536" t="s">
        <v>875</v>
      </c>
      <c r="C452" s="536" t="s">
        <v>604</v>
      </c>
      <c r="D452" s="195" t="s">
        <v>626</v>
      </c>
      <c r="E452" s="288"/>
      <c r="F452" s="204">
        <v>0.5</v>
      </c>
      <c r="G452" s="204"/>
      <c r="H452" s="197"/>
      <c r="I452" s="198">
        <v>1.6</v>
      </c>
      <c r="J452" s="205">
        <v>0.08</v>
      </c>
      <c r="K452" s="287">
        <v>0.08</v>
      </c>
      <c r="L452" s="206">
        <v>1.98</v>
      </c>
      <c r="M452" s="286">
        <v>1.98</v>
      </c>
      <c r="N452" s="552">
        <v>41791</v>
      </c>
      <c r="O452" s="205">
        <f t="shared" si="35"/>
        <v>0</v>
      </c>
      <c r="P452" s="555">
        <f>(1+$R$1)*Table33[[#This Row],[Hours]]</f>
        <v>0</v>
      </c>
      <c r="Q452" s="207">
        <f t="shared" si="34"/>
        <v>0</v>
      </c>
      <c r="R452" s="208">
        <f t="shared" si="36"/>
        <v>0</v>
      </c>
      <c r="S452" s="208">
        <f t="shared" si="37"/>
        <v>0</v>
      </c>
      <c r="T452" s="208" t="str">
        <f t="shared" si="38"/>
        <v/>
      </c>
      <c r="U452" s="195">
        <f>Table33[[#This Row],[gal/100ft]]*Table33[[#This Row],[QTY]]/100</f>
        <v>0</v>
      </c>
      <c r="V452" s="195"/>
      <c r="W452" s="195"/>
      <c r="X452" s="195"/>
      <c r="Y452" s="195"/>
    </row>
    <row r="453" spans="1:28" ht="12.75" x14ac:dyDescent="0.2">
      <c r="A453" s="195" t="s">
        <v>602</v>
      </c>
      <c r="B453" s="536" t="s">
        <v>875</v>
      </c>
      <c r="C453" s="536" t="s">
        <v>604</v>
      </c>
      <c r="D453" s="195" t="s">
        <v>626</v>
      </c>
      <c r="E453" s="288"/>
      <c r="F453" s="204">
        <v>0.75</v>
      </c>
      <c r="G453" s="204"/>
      <c r="H453" s="197"/>
      <c r="I453" s="198">
        <v>2.8</v>
      </c>
      <c r="J453" s="205">
        <v>0.1</v>
      </c>
      <c r="K453" s="287">
        <v>0.1</v>
      </c>
      <c r="L453" s="206">
        <v>2.21</v>
      </c>
      <c r="M453" s="286">
        <v>2.21</v>
      </c>
      <c r="N453" s="552">
        <v>41791</v>
      </c>
      <c r="O453" s="205">
        <f t="shared" si="35"/>
        <v>0</v>
      </c>
      <c r="P453" s="555">
        <f>(1+$R$1)*Table33[[#This Row],[Hours]]</f>
        <v>0</v>
      </c>
      <c r="Q453" s="207">
        <f t="shared" si="34"/>
        <v>0</v>
      </c>
      <c r="R453" s="208">
        <f t="shared" si="36"/>
        <v>0</v>
      </c>
      <c r="S453" s="208">
        <f t="shared" si="37"/>
        <v>0</v>
      </c>
      <c r="T453" s="208" t="str">
        <f t="shared" si="38"/>
        <v/>
      </c>
      <c r="U453" s="195">
        <f>Table33[[#This Row],[gal/100ft]]*Table33[[#This Row],[QTY]]/100</f>
        <v>0</v>
      </c>
      <c r="V453" s="195"/>
      <c r="W453" s="195"/>
      <c r="X453" s="195"/>
      <c r="Y453" s="195"/>
    </row>
    <row r="454" spans="1:28" ht="12.75" x14ac:dyDescent="0.2">
      <c r="A454" s="195" t="s">
        <v>602</v>
      </c>
      <c r="B454" s="536" t="s">
        <v>875</v>
      </c>
      <c r="C454" s="536" t="s">
        <v>604</v>
      </c>
      <c r="D454" s="195" t="s">
        <v>626</v>
      </c>
      <c r="E454" s="288"/>
      <c r="F454" s="204">
        <v>1</v>
      </c>
      <c r="G454" s="204"/>
      <c r="H454" s="197"/>
      <c r="I454" s="198">
        <v>4.5</v>
      </c>
      <c r="J454" s="205">
        <v>0.12</v>
      </c>
      <c r="K454" s="287">
        <v>0.12</v>
      </c>
      <c r="L454" s="206">
        <v>2.76</v>
      </c>
      <c r="M454" s="286">
        <v>2.76</v>
      </c>
      <c r="N454" s="552">
        <v>41791</v>
      </c>
      <c r="O454" s="205">
        <f t="shared" si="35"/>
        <v>0</v>
      </c>
      <c r="P454" s="555">
        <f>(1+$R$1)*Table33[[#This Row],[Hours]]</f>
        <v>0</v>
      </c>
      <c r="Q454" s="207">
        <f t="shared" si="34"/>
        <v>0</v>
      </c>
      <c r="R454" s="208">
        <f t="shared" si="36"/>
        <v>0</v>
      </c>
      <c r="S454" s="208">
        <f t="shared" si="37"/>
        <v>0</v>
      </c>
      <c r="T454" s="208" t="str">
        <f t="shared" si="38"/>
        <v/>
      </c>
      <c r="U454" s="195">
        <f>Table33[[#This Row],[gal/100ft]]*Table33[[#This Row],[QTY]]/100</f>
        <v>0</v>
      </c>
      <c r="V454" s="195"/>
      <c r="W454" s="195"/>
      <c r="X454" s="195"/>
      <c r="Y454" s="195"/>
    </row>
    <row r="455" spans="1:28" ht="12.75" x14ac:dyDescent="0.2">
      <c r="A455" s="195" t="s">
        <v>602</v>
      </c>
      <c r="B455" s="536" t="s">
        <v>875</v>
      </c>
      <c r="C455" s="536" t="s">
        <v>604</v>
      </c>
      <c r="D455" s="195" t="s">
        <v>626</v>
      </c>
      <c r="E455" s="288"/>
      <c r="F455" s="204">
        <v>1.25</v>
      </c>
      <c r="G455" s="204"/>
      <c r="H455" s="197"/>
      <c r="I455" s="198">
        <v>7.8</v>
      </c>
      <c r="J455" s="205">
        <v>0.14000000000000001</v>
      </c>
      <c r="K455" s="287">
        <v>0.14000000000000001</v>
      </c>
      <c r="L455" s="206">
        <v>3.22</v>
      </c>
      <c r="M455" s="286">
        <v>3.22</v>
      </c>
      <c r="N455" s="552">
        <v>41791</v>
      </c>
      <c r="O455" s="205">
        <f t="shared" si="35"/>
        <v>0</v>
      </c>
      <c r="P455" s="555">
        <f>(1+$R$1)*Table33[[#This Row],[Hours]]</f>
        <v>0</v>
      </c>
      <c r="Q455" s="207">
        <f t="shared" ref="Q455:Q518" si="39">P455*$O$1</f>
        <v>0</v>
      </c>
      <c r="R455" s="208">
        <f t="shared" si="36"/>
        <v>0</v>
      </c>
      <c r="S455" s="208">
        <f t="shared" si="37"/>
        <v>0</v>
      </c>
      <c r="T455" s="208" t="str">
        <f t="shared" si="38"/>
        <v/>
      </c>
      <c r="U455" s="195">
        <f>Table33[[#This Row],[gal/100ft]]*Table33[[#This Row],[QTY]]/100</f>
        <v>0</v>
      </c>
      <c r="V455" s="195"/>
      <c r="W455" s="195"/>
      <c r="X455" s="195"/>
      <c r="Y455" s="195"/>
    </row>
    <row r="456" spans="1:28" ht="12.75" x14ac:dyDescent="0.2">
      <c r="A456" s="195" t="s">
        <v>602</v>
      </c>
      <c r="B456" s="536" t="s">
        <v>875</v>
      </c>
      <c r="C456" s="536" t="s">
        <v>604</v>
      </c>
      <c r="D456" s="195" t="s">
        <v>626</v>
      </c>
      <c r="E456" s="288"/>
      <c r="F456" s="204">
        <v>1.5</v>
      </c>
      <c r="G456" s="204"/>
      <c r="H456" s="197"/>
      <c r="I456" s="198">
        <v>10.5</v>
      </c>
      <c r="J456" s="205">
        <v>0.16</v>
      </c>
      <c r="K456" s="287">
        <v>0.16</v>
      </c>
      <c r="L456" s="206">
        <v>3.54</v>
      </c>
      <c r="M456" s="286">
        <v>3.54</v>
      </c>
      <c r="N456" s="552">
        <v>41791</v>
      </c>
      <c r="O456" s="205">
        <f t="shared" si="35"/>
        <v>0</v>
      </c>
      <c r="P456" s="555">
        <f>(1+$R$1)*Table33[[#This Row],[Hours]]</f>
        <v>0</v>
      </c>
      <c r="Q456" s="207">
        <f t="shared" si="39"/>
        <v>0</v>
      </c>
      <c r="R456" s="208">
        <f t="shared" si="36"/>
        <v>0</v>
      </c>
      <c r="S456" s="208">
        <f t="shared" si="37"/>
        <v>0</v>
      </c>
      <c r="T456" s="208" t="str">
        <f t="shared" si="38"/>
        <v/>
      </c>
      <c r="U456" s="195">
        <f>Table33[[#This Row],[gal/100ft]]*Table33[[#This Row],[QTY]]/100</f>
        <v>0</v>
      </c>
      <c r="V456" s="195"/>
      <c r="W456" s="195"/>
      <c r="X456" s="195"/>
      <c r="Y456" s="195"/>
      <c r="Z456" s="213"/>
    </row>
    <row r="457" spans="1:28" ht="12.75" x14ac:dyDescent="0.2">
      <c r="A457" s="195" t="s">
        <v>602</v>
      </c>
      <c r="B457" s="536" t="s">
        <v>875</v>
      </c>
      <c r="C457" s="536" t="s">
        <v>604</v>
      </c>
      <c r="D457" s="195" t="s">
        <v>626</v>
      </c>
      <c r="E457" s="288"/>
      <c r="F457" s="204">
        <v>2</v>
      </c>
      <c r="G457" s="204"/>
      <c r="H457" s="197"/>
      <c r="I457" s="198">
        <v>17</v>
      </c>
      <c r="J457" s="205">
        <v>0.19</v>
      </c>
      <c r="K457" s="287">
        <v>0.19</v>
      </c>
      <c r="L457" s="206">
        <v>4.22</v>
      </c>
      <c r="M457" s="286">
        <v>4.22</v>
      </c>
      <c r="N457" s="552">
        <v>41791</v>
      </c>
      <c r="O457" s="205">
        <f t="shared" si="35"/>
        <v>0</v>
      </c>
      <c r="P457" s="555">
        <f>(1+$R$1)*Table33[[#This Row],[Hours]]</f>
        <v>0</v>
      </c>
      <c r="Q457" s="207">
        <f t="shared" si="39"/>
        <v>0</v>
      </c>
      <c r="R457" s="208">
        <f t="shared" si="36"/>
        <v>0</v>
      </c>
      <c r="S457" s="208">
        <f t="shared" si="37"/>
        <v>0</v>
      </c>
      <c r="T457" s="208" t="str">
        <f t="shared" si="38"/>
        <v/>
      </c>
      <c r="U457" s="195">
        <f>Table33[[#This Row],[gal/100ft]]*Table33[[#This Row],[QTY]]/100</f>
        <v>0</v>
      </c>
      <c r="V457" s="195"/>
      <c r="W457" s="195"/>
      <c r="X457" s="195"/>
      <c r="Y457" s="195"/>
      <c r="Z457" s="213"/>
    </row>
    <row r="458" spans="1:28" ht="12.75" x14ac:dyDescent="0.2">
      <c r="A458" s="195" t="s">
        <v>602</v>
      </c>
      <c r="B458" s="536" t="s">
        <v>875</v>
      </c>
      <c r="C458" s="536" t="s">
        <v>604</v>
      </c>
      <c r="D458" s="195" t="s">
        <v>626</v>
      </c>
      <c r="E458" s="288"/>
      <c r="F458" s="204">
        <v>2.5</v>
      </c>
      <c r="G458" s="204"/>
      <c r="H458" s="197"/>
      <c r="I458" s="198">
        <v>25</v>
      </c>
      <c r="J458" s="205">
        <v>0.22</v>
      </c>
      <c r="K458" s="287">
        <v>0.22</v>
      </c>
      <c r="L458" s="206">
        <v>6.56</v>
      </c>
      <c r="M458" s="286">
        <v>6.56</v>
      </c>
      <c r="N458" s="552">
        <v>41791</v>
      </c>
      <c r="O458" s="205">
        <f t="shared" si="35"/>
        <v>0</v>
      </c>
      <c r="P458" s="555">
        <f>(1+$R$1)*Table33[[#This Row],[Hours]]</f>
        <v>0</v>
      </c>
      <c r="Q458" s="207">
        <f t="shared" si="39"/>
        <v>0</v>
      </c>
      <c r="R458" s="208">
        <f t="shared" si="36"/>
        <v>0</v>
      </c>
      <c r="S458" s="208">
        <f t="shared" si="37"/>
        <v>0</v>
      </c>
      <c r="T458" s="208" t="str">
        <f t="shared" si="38"/>
        <v/>
      </c>
      <c r="U458" s="195">
        <f>Table33[[#This Row],[gal/100ft]]*Table33[[#This Row],[QTY]]/100</f>
        <v>0</v>
      </c>
      <c r="V458" s="195"/>
      <c r="W458" s="195"/>
      <c r="X458" s="195"/>
      <c r="Y458" s="195"/>
      <c r="Z458" s="213"/>
      <c r="AB458" s="213"/>
    </row>
    <row r="459" spans="1:28" ht="12.75" x14ac:dyDescent="0.2">
      <c r="A459" s="195" t="s">
        <v>602</v>
      </c>
      <c r="B459" s="536" t="s">
        <v>875</v>
      </c>
      <c r="C459" s="536" t="s">
        <v>604</v>
      </c>
      <c r="D459" s="195" t="s">
        <v>626</v>
      </c>
      <c r="E459" s="288"/>
      <c r="F459" s="204">
        <v>3</v>
      </c>
      <c r="G459" s="204"/>
      <c r="H459" s="197"/>
      <c r="I459" s="198">
        <v>38</v>
      </c>
      <c r="J459" s="205">
        <v>0.25</v>
      </c>
      <c r="K459" s="287">
        <v>0.25</v>
      </c>
      <c r="L459" s="206">
        <v>7.75</v>
      </c>
      <c r="M459" s="286">
        <v>7.75</v>
      </c>
      <c r="N459" s="552">
        <v>41791</v>
      </c>
      <c r="O459" s="205">
        <f t="shared" si="35"/>
        <v>0</v>
      </c>
      <c r="P459" s="555">
        <f>(1+$R$1)*Table33[[#This Row],[Hours]]</f>
        <v>0</v>
      </c>
      <c r="Q459" s="207">
        <f t="shared" si="39"/>
        <v>0</v>
      </c>
      <c r="R459" s="208">
        <f t="shared" si="36"/>
        <v>0</v>
      </c>
      <c r="S459" s="208">
        <f t="shared" si="37"/>
        <v>0</v>
      </c>
      <c r="T459" s="208" t="str">
        <f t="shared" si="38"/>
        <v/>
      </c>
      <c r="U459" s="195">
        <f>Table33[[#This Row],[gal/100ft]]*Table33[[#This Row],[QTY]]/100</f>
        <v>0</v>
      </c>
      <c r="V459" s="195"/>
      <c r="W459" s="195"/>
      <c r="X459" s="195"/>
      <c r="Y459" s="195"/>
      <c r="Z459" s="213"/>
      <c r="AB459" s="213"/>
    </row>
    <row r="460" spans="1:28" ht="12.75" x14ac:dyDescent="0.2">
      <c r="A460" s="195" t="s">
        <v>602</v>
      </c>
      <c r="B460" s="536" t="s">
        <v>875</v>
      </c>
      <c r="C460" s="536" t="s">
        <v>604</v>
      </c>
      <c r="D460" s="195" t="s">
        <v>626</v>
      </c>
      <c r="E460" s="288"/>
      <c r="F460" s="204">
        <v>3.5</v>
      </c>
      <c r="G460" s="204"/>
      <c r="H460" s="197"/>
      <c r="I460" s="198"/>
      <c r="J460" s="205">
        <v>0.27</v>
      </c>
      <c r="K460" s="287">
        <v>0.27</v>
      </c>
      <c r="L460" s="206">
        <v>8.8699999999999992</v>
      </c>
      <c r="M460" s="286">
        <v>8.8699999999999992</v>
      </c>
      <c r="N460" s="552">
        <v>41791</v>
      </c>
      <c r="O460" s="205">
        <f t="shared" si="35"/>
        <v>0</v>
      </c>
      <c r="P460" s="555">
        <f>(1+$R$1)*Table33[[#This Row],[Hours]]</f>
        <v>0</v>
      </c>
      <c r="Q460" s="207">
        <f t="shared" si="39"/>
        <v>0</v>
      </c>
      <c r="R460" s="208">
        <f t="shared" si="36"/>
        <v>0</v>
      </c>
      <c r="S460" s="208">
        <f t="shared" si="37"/>
        <v>0</v>
      </c>
      <c r="T460" s="208" t="str">
        <f t="shared" si="38"/>
        <v/>
      </c>
      <c r="U460" s="195">
        <f>Table33[[#This Row],[gal/100ft]]*Table33[[#This Row],[QTY]]/100</f>
        <v>0</v>
      </c>
      <c r="V460" s="195"/>
      <c r="W460" s="195"/>
      <c r="X460" s="195"/>
      <c r="Y460" s="195"/>
      <c r="Z460" s="213"/>
      <c r="AB460" s="213"/>
    </row>
    <row r="461" spans="1:28" ht="12.75" x14ac:dyDescent="0.2">
      <c r="A461" s="195" t="s">
        <v>602</v>
      </c>
      <c r="B461" s="536" t="s">
        <v>875</v>
      </c>
      <c r="C461" s="536" t="s">
        <v>604</v>
      </c>
      <c r="D461" s="195" t="s">
        <v>626</v>
      </c>
      <c r="E461" s="288"/>
      <c r="F461" s="204">
        <v>4</v>
      </c>
      <c r="G461" s="204"/>
      <c r="H461" s="197"/>
      <c r="I461" s="198">
        <v>66</v>
      </c>
      <c r="J461" s="205">
        <v>0.28999999999999998</v>
      </c>
      <c r="K461" s="287">
        <v>0.28999999999999998</v>
      </c>
      <c r="L461" s="206">
        <v>10.08</v>
      </c>
      <c r="M461" s="286">
        <v>10.08</v>
      </c>
      <c r="N461" s="552">
        <v>41791</v>
      </c>
      <c r="O461" s="205">
        <f t="shared" si="35"/>
        <v>0</v>
      </c>
      <c r="P461" s="555">
        <f>(1+$R$1)*Table33[[#This Row],[Hours]]</f>
        <v>0</v>
      </c>
      <c r="Q461" s="207">
        <f t="shared" si="39"/>
        <v>0</v>
      </c>
      <c r="R461" s="208">
        <f t="shared" si="36"/>
        <v>0</v>
      </c>
      <c r="S461" s="208">
        <f t="shared" si="37"/>
        <v>0</v>
      </c>
      <c r="T461" s="208" t="str">
        <f t="shared" si="38"/>
        <v/>
      </c>
      <c r="U461" s="195">
        <f>Table33[[#This Row],[gal/100ft]]*Table33[[#This Row],[QTY]]/100</f>
        <v>0</v>
      </c>
      <c r="V461" s="195"/>
      <c r="W461" s="195"/>
      <c r="X461" s="195"/>
      <c r="Y461" s="195"/>
      <c r="Z461" s="213"/>
      <c r="AB461" s="213"/>
    </row>
    <row r="462" spans="1:28" ht="12.75" x14ac:dyDescent="0.2">
      <c r="A462" s="195" t="s">
        <v>602</v>
      </c>
      <c r="B462" s="536" t="s">
        <v>875</v>
      </c>
      <c r="C462" s="536" t="s">
        <v>604</v>
      </c>
      <c r="D462" s="195" t="s">
        <v>626</v>
      </c>
      <c r="E462" s="288"/>
      <c r="F462" s="204">
        <v>5</v>
      </c>
      <c r="G462" s="204"/>
      <c r="H462" s="197"/>
      <c r="I462" s="198">
        <v>102</v>
      </c>
      <c r="J462" s="205">
        <v>0.35</v>
      </c>
      <c r="K462" s="287">
        <v>0.35</v>
      </c>
      <c r="L462" s="206">
        <v>16.850000000000001</v>
      </c>
      <c r="M462" s="286">
        <v>16.850000000000001</v>
      </c>
      <c r="N462" s="552">
        <v>41791</v>
      </c>
      <c r="O462" s="205">
        <f t="shared" si="35"/>
        <v>0</v>
      </c>
      <c r="P462" s="555">
        <f>(1+$R$1)*Table33[[#This Row],[Hours]]</f>
        <v>0</v>
      </c>
      <c r="Q462" s="207">
        <f t="shared" si="39"/>
        <v>0</v>
      </c>
      <c r="R462" s="208">
        <f t="shared" si="36"/>
        <v>0</v>
      </c>
      <c r="S462" s="208">
        <f t="shared" si="37"/>
        <v>0</v>
      </c>
      <c r="T462" s="208" t="str">
        <f t="shared" si="38"/>
        <v/>
      </c>
      <c r="U462" s="195">
        <f>Table33[[#This Row],[gal/100ft]]*Table33[[#This Row],[QTY]]/100</f>
        <v>0</v>
      </c>
      <c r="V462" s="195"/>
      <c r="W462" s="195"/>
      <c r="X462" s="195"/>
      <c r="Y462" s="195"/>
      <c r="Z462" s="213"/>
      <c r="AB462" s="213"/>
    </row>
    <row r="463" spans="1:28" ht="12.75" x14ac:dyDescent="0.2">
      <c r="A463" s="195" t="s">
        <v>602</v>
      </c>
      <c r="B463" s="536" t="s">
        <v>875</v>
      </c>
      <c r="C463" s="536" t="s">
        <v>604</v>
      </c>
      <c r="D463" s="195" t="s">
        <v>626</v>
      </c>
      <c r="E463" s="288"/>
      <c r="F463" s="204">
        <v>6</v>
      </c>
      <c r="G463" s="204"/>
      <c r="H463" s="197"/>
      <c r="I463" s="198">
        <v>147</v>
      </c>
      <c r="J463" s="205">
        <v>0.39</v>
      </c>
      <c r="K463" s="287">
        <v>0.39</v>
      </c>
      <c r="L463" s="206">
        <v>19.02</v>
      </c>
      <c r="M463" s="286">
        <v>19.02</v>
      </c>
      <c r="N463" s="552">
        <v>41791</v>
      </c>
      <c r="O463" s="205">
        <f t="shared" si="35"/>
        <v>0</v>
      </c>
      <c r="P463" s="555">
        <f>(1+$R$1)*Table33[[#This Row],[Hours]]</f>
        <v>0</v>
      </c>
      <c r="Q463" s="207">
        <f t="shared" si="39"/>
        <v>0</v>
      </c>
      <c r="R463" s="208">
        <f t="shared" si="36"/>
        <v>0</v>
      </c>
      <c r="S463" s="208">
        <f t="shared" si="37"/>
        <v>0</v>
      </c>
      <c r="T463" s="208" t="str">
        <f t="shared" si="38"/>
        <v/>
      </c>
      <c r="U463" s="195">
        <f>Table33[[#This Row],[gal/100ft]]*Table33[[#This Row],[QTY]]/100</f>
        <v>0</v>
      </c>
      <c r="V463" s="195"/>
      <c r="W463" s="195"/>
      <c r="X463" s="195"/>
      <c r="Y463" s="195"/>
      <c r="Z463" s="213"/>
      <c r="AB463" s="213"/>
    </row>
    <row r="464" spans="1:28" ht="12.75" x14ac:dyDescent="0.2">
      <c r="A464" s="195" t="s">
        <v>602</v>
      </c>
      <c r="B464" s="536" t="s">
        <v>875</v>
      </c>
      <c r="C464" s="536" t="s">
        <v>604</v>
      </c>
      <c r="D464" s="195" t="s">
        <v>626</v>
      </c>
      <c r="E464" s="288"/>
      <c r="F464" s="204">
        <v>8</v>
      </c>
      <c r="G464" s="204"/>
      <c r="H464" s="197"/>
      <c r="I464" s="198">
        <v>261</v>
      </c>
      <c r="J464" s="205">
        <v>0.48</v>
      </c>
      <c r="K464" s="287">
        <v>0.48</v>
      </c>
      <c r="L464" s="206">
        <v>28</v>
      </c>
      <c r="M464" s="286">
        <v>28</v>
      </c>
      <c r="N464" s="552">
        <v>41791</v>
      </c>
      <c r="O464" s="205">
        <f t="shared" si="35"/>
        <v>0</v>
      </c>
      <c r="P464" s="555">
        <f>(1+$R$1)*Table33[[#This Row],[Hours]]</f>
        <v>0</v>
      </c>
      <c r="Q464" s="207">
        <f t="shared" si="39"/>
        <v>0</v>
      </c>
      <c r="R464" s="208">
        <f t="shared" si="36"/>
        <v>0</v>
      </c>
      <c r="S464" s="208">
        <f t="shared" si="37"/>
        <v>0</v>
      </c>
      <c r="T464" s="208" t="str">
        <f t="shared" si="38"/>
        <v/>
      </c>
      <c r="U464" s="195">
        <f>Table33[[#This Row],[gal/100ft]]*Table33[[#This Row],[QTY]]/100</f>
        <v>0</v>
      </c>
      <c r="V464" s="195"/>
      <c r="W464" s="195"/>
      <c r="X464" s="195"/>
      <c r="Y464" s="195"/>
      <c r="Z464" s="213"/>
      <c r="AB464" s="213"/>
    </row>
    <row r="465" spans="1:28" ht="12.75" x14ac:dyDescent="0.2">
      <c r="A465" s="195" t="s">
        <v>602</v>
      </c>
      <c r="B465" s="536" t="s">
        <v>875</v>
      </c>
      <c r="C465" s="536" t="s">
        <v>604</v>
      </c>
      <c r="D465" s="195" t="s">
        <v>626</v>
      </c>
      <c r="E465" s="288"/>
      <c r="F465" s="204">
        <v>10</v>
      </c>
      <c r="G465" s="204"/>
      <c r="H465" s="197"/>
      <c r="I465" s="198">
        <v>408</v>
      </c>
      <c r="J465" s="205">
        <v>0.61</v>
      </c>
      <c r="K465" s="287">
        <v>0.61</v>
      </c>
      <c r="L465" s="206">
        <v>39</v>
      </c>
      <c r="M465" s="286">
        <v>39</v>
      </c>
      <c r="N465" s="552">
        <v>41791</v>
      </c>
      <c r="O465" s="205">
        <f t="shared" si="35"/>
        <v>0</v>
      </c>
      <c r="P465" s="555">
        <f>(1+$R$1)*Table33[[#This Row],[Hours]]</f>
        <v>0</v>
      </c>
      <c r="Q465" s="207">
        <f t="shared" si="39"/>
        <v>0</v>
      </c>
      <c r="R465" s="208">
        <f t="shared" si="36"/>
        <v>0</v>
      </c>
      <c r="S465" s="208">
        <f t="shared" si="37"/>
        <v>0</v>
      </c>
      <c r="T465" s="208" t="str">
        <f t="shared" si="38"/>
        <v/>
      </c>
      <c r="U465" s="195">
        <f>Table33[[#This Row],[gal/100ft]]*Table33[[#This Row],[QTY]]/100</f>
        <v>0</v>
      </c>
      <c r="V465" s="195"/>
      <c r="W465" s="195"/>
      <c r="X465" s="195"/>
      <c r="Y465" s="195"/>
      <c r="Z465" s="213"/>
      <c r="AB465" s="213"/>
    </row>
    <row r="466" spans="1:28" ht="12.75" x14ac:dyDescent="0.2">
      <c r="A466" s="195" t="s">
        <v>602</v>
      </c>
      <c r="B466" s="536" t="s">
        <v>875</v>
      </c>
      <c r="C466" s="536" t="s">
        <v>604</v>
      </c>
      <c r="D466" s="195" t="s">
        <v>626</v>
      </c>
      <c r="E466" s="288"/>
      <c r="F466" s="204">
        <v>12</v>
      </c>
      <c r="G466" s="204"/>
      <c r="H466" s="197"/>
      <c r="I466" s="198">
        <v>588</v>
      </c>
      <c r="J466" s="205">
        <v>0.72</v>
      </c>
      <c r="K466" s="287">
        <v>0.72</v>
      </c>
      <c r="L466" s="206">
        <v>50</v>
      </c>
      <c r="M466" s="286">
        <v>50</v>
      </c>
      <c r="N466" s="552">
        <v>41791</v>
      </c>
      <c r="O466" s="205">
        <f t="shared" si="35"/>
        <v>0</v>
      </c>
      <c r="P466" s="555">
        <f>(1+$R$1)*Table33[[#This Row],[Hours]]</f>
        <v>0</v>
      </c>
      <c r="Q466" s="207">
        <f t="shared" si="39"/>
        <v>0</v>
      </c>
      <c r="R466" s="208">
        <f t="shared" si="36"/>
        <v>0</v>
      </c>
      <c r="S466" s="208">
        <f t="shared" si="37"/>
        <v>0</v>
      </c>
      <c r="T466" s="208" t="str">
        <f t="shared" si="38"/>
        <v/>
      </c>
      <c r="U466" s="195">
        <f>Table33[[#This Row],[gal/100ft]]*Table33[[#This Row],[QTY]]/100</f>
        <v>0</v>
      </c>
      <c r="V466" s="195"/>
      <c r="W466" s="195"/>
      <c r="X466" s="195"/>
      <c r="Y466" s="195"/>
    </row>
    <row r="467" spans="1:28" ht="12.75" x14ac:dyDescent="0.2">
      <c r="B467" s="195" t="s">
        <v>648</v>
      </c>
      <c r="C467" s="195" t="s">
        <v>649</v>
      </c>
      <c r="E467" s="288"/>
      <c r="F467" s="204">
        <v>12</v>
      </c>
      <c r="G467" s="204" t="s">
        <v>576</v>
      </c>
      <c r="H467" s="197">
        <v>12</v>
      </c>
      <c r="I467" s="198"/>
      <c r="J467" s="205">
        <v>1</v>
      </c>
      <c r="K467" s="287">
        <v>1</v>
      </c>
      <c r="L467" s="206">
        <v>150</v>
      </c>
      <c r="M467" s="286">
        <v>150</v>
      </c>
      <c r="N467" s="552">
        <v>41791</v>
      </c>
      <c r="O467" s="205">
        <f t="shared" si="35"/>
        <v>0</v>
      </c>
      <c r="P467" s="555">
        <f>(1+$R$1)*Table33[[#This Row],[Hours]]</f>
        <v>0</v>
      </c>
      <c r="Q467" s="207">
        <f t="shared" si="39"/>
        <v>0</v>
      </c>
      <c r="R467" s="208">
        <f t="shared" si="36"/>
        <v>0</v>
      </c>
      <c r="S467" s="208">
        <f t="shared" si="37"/>
        <v>0</v>
      </c>
      <c r="T467" s="208" t="str">
        <f t="shared" si="38"/>
        <v/>
      </c>
      <c r="U467" s="195">
        <f>Table33[[#This Row],[gal/100ft]]*Table33[[#This Row],[QTY]]/100</f>
        <v>0</v>
      </c>
      <c r="V467" s="195"/>
      <c r="W467" s="195"/>
      <c r="X467" s="195"/>
      <c r="Y467" s="195"/>
    </row>
    <row r="468" spans="1:28" ht="12.75" x14ac:dyDescent="0.2">
      <c r="A468" s="195" t="s">
        <v>593</v>
      </c>
      <c r="B468" s="195" t="s">
        <v>613</v>
      </c>
      <c r="C468" s="195" t="s">
        <v>614</v>
      </c>
      <c r="D468" s="195" t="s">
        <v>615</v>
      </c>
      <c r="E468" s="288"/>
      <c r="F468" s="204">
        <v>1.5</v>
      </c>
      <c r="G468" s="204"/>
      <c r="H468" s="197"/>
      <c r="I468" s="198"/>
      <c r="J468" s="205">
        <v>1.65</v>
      </c>
      <c r="K468" s="287">
        <v>1.65</v>
      </c>
      <c r="L468" s="206">
        <v>301</v>
      </c>
      <c r="M468" s="286">
        <v>301</v>
      </c>
      <c r="N468" s="552">
        <v>41791</v>
      </c>
      <c r="O468" s="205">
        <f t="shared" si="35"/>
        <v>0</v>
      </c>
      <c r="P468" s="555">
        <f>(1+$R$1)*Table33[[#This Row],[Hours]]</f>
        <v>0</v>
      </c>
      <c r="Q468" s="207">
        <f t="shared" si="39"/>
        <v>0</v>
      </c>
      <c r="R468" s="208">
        <f t="shared" si="36"/>
        <v>0</v>
      </c>
      <c r="S468" s="208">
        <f t="shared" si="37"/>
        <v>0</v>
      </c>
      <c r="T468" s="208" t="str">
        <f t="shared" si="38"/>
        <v/>
      </c>
      <c r="U468" s="195">
        <f>Table33[[#This Row],[gal/100ft]]*Table33[[#This Row],[QTY]]/100</f>
        <v>0</v>
      </c>
      <c r="V468" s="195"/>
      <c r="W468" s="195"/>
      <c r="X468" s="195"/>
      <c r="Y468" s="195"/>
    </row>
    <row r="469" spans="1:28" ht="12.75" x14ac:dyDescent="0.2">
      <c r="A469" s="195" t="s">
        <v>593</v>
      </c>
      <c r="B469" s="195" t="s">
        <v>613</v>
      </c>
      <c r="C469" s="195" t="s">
        <v>614</v>
      </c>
      <c r="D469" s="195" t="s">
        <v>615</v>
      </c>
      <c r="E469" s="288"/>
      <c r="F469" s="204">
        <v>2</v>
      </c>
      <c r="G469" s="204"/>
      <c r="H469" s="197"/>
      <c r="I469" s="198"/>
      <c r="J469" s="205">
        <v>1.96</v>
      </c>
      <c r="K469" s="287">
        <v>1.96</v>
      </c>
      <c r="L469" s="206">
        <v>549</v>
      </c>
      <c r="M469" s="286">
        <v>549</v>
      </c>
      <c r="N469" s="552">
        <v>41791</v>
      </c>
      <c r="O469" s="205">
        <f t="shared" si="35"/>
        <v>0</v>
      </c>
      <c r="P469" s="555">
        <f>(1+$R$1)*Table33[[#This Row],[Hours]]</f>
        <v>0</v>
      </c>
      <c r="Q469" s="207">
        <f t="shared" si="39"/>
        <v>0</v>
      </c>
      <c r="R469" s="208">
        <f t="shared" si="36"/>
        <v>0</v>
      </c>
      <c r="S469" s="208">
        <f t="shared" si="37"/>
        <v>0</v>
      </c>
      <c r="T469" s="208" t="str">
        <f t="shared" si="38"/>
        <v/>
      </c>
      <c r="U469" s="195">
        <f>Table33[[#This Row],[gal/100ft]]*Table33[[#This Row],[QTY]]/100</f>
        <v>0</v>
      </c>
      <c r="V469" s="195"/>
      <c r="W469" s="195"/>
      <c r="X469" s="195"/>
      <c r="Y469" s="195"/>
    </row>
    <row r="470" spans="1:28" ht="12.75" x14ac:dyDescent="0.2">
      <c r="A470" s="195" t="s">
        <v>593</v>
      </c>
      <c r="B470" s="195" t="s">
        <v>613</v>
      </c>
      <c r="C470" s="195" t="s">
        <v>614</v>
      </c>
      <c r="D470" s="195" t="s">
        <v>615</v>
      </c>
      <c r="E470" s="288"/>
      <c r="F470" s="204" t="s">
        <v>596</v>
      </c>
      <c r="G470" s="204"/>
      <c r="H470" s="197"/>
      <c r="I470" s="198"/>
      <c r="J470" s="205">
        <v>1.01</v>
      </c>
      <c r="K470" s="287">
        <v>1.01</v>
      </c>
      <c r="L470" s="206"/>
      <c r="M470" s="286">
        <v>125</v>
      </c>
      <c r="N470" s="552">
        <v>41791</v>
      </c>
      <c r="O470" s="205">
        <f t="shared" si="35"/>
        <v>0</v>
      </c>
      <c r="P470" s="555">
        <f>(1+$R$1)*Table33[[#This Row],[Hours]]</f>
        <v>0</v>
      </c>
      <c r="Q470" s="207">
        <f t="shared" si="39"/>
        <v>0</v>
      </c>
      <c r="R470" s="208">
        <f t="shared" si="36"/>
        <v>0</v>
      </c>
      <c r="S470" s="208">
        <f t="shared" si="37"/>
        <v>0</v>
      </c>
      <c r="T470" s="208" t="str">
        <f t="shared" si="38"/>
        <v/>
      </c>
      <c r="U470" s="195">
        <f>Table33[[#This Row],[gal/100ft]]*Table33[[#This Row],[QTY]]/100</f>
        <v>0</v>
      </c>
      <c r="V470" s="195"/>
      <c r="W470" s="195"/>
      <c r="X470" s="195"/>
      <c r="Y470" s="195"/>
    </row>
    <row r="471" spans="1:28" ht="12.75" x14ac:dyDescent="0.2">
      <c r="A471" s="195" t="s">
        <v>593</v>
      </c>
      <c r="B471" s="195" t="s">
        <v>613</v>
      </c>
      <c r="C471" s="195" t="s">
        <v>614</v>
      </c>
      <c r="D471" s="195" t="s">
        <v>615</v>
      </c>
      <c r="E471" s="288"/>
      <c r="F471" s="204">
        <v>0.75</v>
      </c>
      <c r="G471" s="204"/>
      <c r="H471" s="197"/>
      <c r="I471" s="198"/>
      <c r="J471" s="205">
        <v>1.32</v>
      </c>
      <c r="K471" s="287">
        <v>1.32</v>
      </c>
      <c r="L471" s="206">
        <v>140</v>
      </c>
      <c r="M471" s="286">
        <v>140</v>
      </c>
      <c r="N471" s="552">
        <v>41791</v>
      </c>
      <c r="O471" s="205">
        <f t="shared" ref="O471:O534" si="40">K471*E471</f>
        <v>0</v>
      </c>
      <c r="P471" s="555">
        <f>(1+$R$1)*Table33[[#This Row],[Hours]]</f>
        <v>0</v>
      </c>
      <c r="Q471" s="207">
        <f t="shared" si="39"/>
        <v>0</v>
      </c>
      <c r="R471" s="208">
        <f t="shared" ref="R471:R534" si="41">M471*E471</f>
        <v>0</v>
      </c>
      <c r="S471" s="208">
        <f t="shared" ref="S471:S534" si="42">R471+Q471</f>
        <v>0</v>
      </c>
      <c r="T471" s="208" t="str">
        <f t="shared" ref="T471:T534" si="43">IF(E471="","",S471/E471)</f>
        <v/>
      </c>
      <c r="U471" s="195">
        <f>Table33[[#This Row],[gal/100ft]]*Table33[[#This Row],[QTY]]/100</f>
        <v>0</v>
      </c>
      <c r="V471" s="195"/>
      <c r="W471" s="195"/>
      <c r="X471" s="195"/>
      <c r="Y471" s="195"/>
    </row>
    <row r="472" spans="1:28" ht="12.75" x14ac:dyDescent="0.2">
      <c r="A472" s="195" t="s">
        <v>593</v>
      </c>
      <c r="B472" s="195" t="s">
        <v>613</v>
      </c>
      <c r="C472" s="195" t="s">
        <v>614</v>
      </c>
      <c r="D472" s="195" t="s">
        <v>615</v>
      </c>
      <c r="E472" s="288"/>
      <c r="F472" s="204">
        <v>1.25</v>
      </c>
      <c r="G472" s="204"/>
      <c r="H472" s="197"/>
      <c r="I472" s="198"/>
      <c r="J472" s="205">
        <v>1.62</v>
      </c>
      <c r="K472" s="287">
        <v>1.62</v>
      </c>
      <c r="L472" s="206">
        <v>207</v>
      </c>
      <c r="M472" s="286">
        <v>207</v>
      </c>
      <c r="N472" s="552">
        <v>41791</v>
      </c>
      <c r="O472" s="205">
        <f t="shared" si="40"/>
        <v>0</v>
      </c>
      <c r="P472" s="555">
        <f>(1+$R$1)*Table33[[#This Row],[Hours]]</f>
        <v>0</v>
      </c>
      <c r="Q472" s="207">
        <f t="shared" si="39"/>
        <v>0</v>
      </c>
      <c r="R472" s="208">
        <f t="shared" si="41"/>
        <v>0</v>
      </c>
      <c r="S472" s="208">
        <f t="shared" si="42"/>
        <v>0</v>
      </c>
      <c r="T472" s="208" t="str">
        <f t="shared" si="43"/>
        <v/>
      </c>
      <c r="U472" s="195">
        <f>Table33[[#This Row],[gal/100ft]]*Table33[[#This Row],[QTY]]/100</f>
        <v>0</v>
      </c>
      <c r="V472" s="195"/>
      <c r="W472" s="195"/>
      <c r="X472" s="195"/>
      <c r="Y472" s="195"/>
    </row>
    <row r="473" spans="1:28" ht="12.75" x14ac:dyDescent="0.2">
      <c r="A473" s="195" t="s">
        <v>593</v>
      </c>
      <c r="B473" s="195" t="s">
        <v>613</v>
      </c>
      <c r="C473" s="195" t="s">
        <v>614</v>
      </c>
      <c r="D473" s="195" t="s">
        <v>615</v>
      </c>
      <c r="E473" s="288"/>
      <c r="F473" s="204">
        <v>1</v>
      </c>
      <c r="G473" s="204"/>
      <c r="H473" s="197"/>
      <c r="I473" s="198"/>
      <c r="J473" s="205">
        <v>1.4</v>
      </c>
      <c r="K473" s="287">
        <v>1.4</v>
      </c>
      <c r="L473" s="206">
        <v>171</v>
      </c>
      <c r="M473" s="286">
        <v>171</v>
      </c>
      <c r="N473" s="552">
        <v>41791</v>
      </c>
      <c r="O473" s="205">
        <f t="shared" si="40"/>
        <v>0</v>
      </c>
      <c r="P473" s="555">
        <f>(1+$R$1)*Table33[[#This Row],[Hours]]</f>
        <v>0</v>
      </c>
      <c r="Q473" s="207">
        <f t="shared" si="39"/>
        <v>0</v>
      </c>
      <c r="R473" s="208">
        <f t="shared" si="41"/>
        <v>0</v>
      </c>
      <c r="S473" s="208">
        <f t="shared" si="42"/>
        <v>0</v>
      </c>
      <c r="T473" s="208" t="str">
        <f t="shared" si="43"/>
        <v/>
      </c>
      <c r="U473" s="195">
        <f>Table33[[#This Row],[gal/100ft]]*Table33[[#This Row],[QTY]]/100</f>
        <v>0</v>
      </c>
      <c r="V473" s="195"/>
      <c r="W473" s="195"/>
      <c r="X473" s="195"/>
      <c r="Y473" s="195"/>
    </row>
    <row r="474" spans="1:28" ht="12.75" x14ac:dyDescent="0.2">
      <c r="A474" s="195" t="s">
        <v>662</v>
      </c>
      <c r="B474" s="195" t="s">
        <v>613</v>
      </c>
      <c r="C474" s="195" t="s">
        <v>135</v>
      </c>
      <c r="D474" s="195" t="s">
        <v>663</v>
      </c>
      <c r="E474" s="288"/>
      <c r="F474" s="204">
        <v>0.75</v>
      </c>
      <c r="G474" s="204"/>
      <c r="H474" s="197"/>
      <c r="I474" s="198"/>
      <c r="J474" s="205">
        <v>1.28</v>
      </c>
      <c r="K474" s="287">
        <v>1.28</v>
      </c>
      <c r="L474" s="206">
        <v>19</v>
      </c>
      <c r="M474" s="286">
        <v>19</v>
      </c>
      <c r="N474" s="552">
        <v>41791</v>
      </c>
      <c r="O474" s="205">
        <f t="shared" si="40"/>
        <v>0</v>
      </c>
      <c r="P474" s="555">
        <f>(1+$R$1)*Table33[[#This Row],[Hours]]</f>
        <v>0</v>
      </c>
      <c r="Q474" s="207">
        <f t="shared" si="39"/>
        <v>0</v>
      </c>
      <c r="R474" s="208">
        <f t="shared" si="41"/>
        <v>0</v>
      </c>
      <c r="S474" s="208">
        <f t="shared" si="42"/>
        <v>0</v>
      </c>
      <c r="T474" s="208" t="str">
        <f t="shared" si="43"/>
        <v/>
      </c>
      <c r="U474" s="195">
        <f>Table33[[#This Row],[gal/100ft]]*Table33[[#This Row],[QTY]]/100</f>
        <v>0</v>
      </c>
      <c r="V474" s="195"/>
      <c r="W474" s="195"/>
      <c r="X474" s="195"/>
      <c r="Y474" s="195"/>
    </row>
    <row r="475" spans="1:28" ht="12.75" x14ac:dyDescent="0.2">
      <c r="A475" s="195" t="s">
        <v>662</v>
      </c>
      <c r="B475" s="195" t="s">
        <v>613</v>
      </c>
      <c r="C475" s="195" t="s">
        <v>135</v>
      </c>
      <c r="D475" s="195" t="s">
        <v>663</v>
      </c>
      <c r="E475" s="288"/>
      <c r="F475" s="204">
        <v>0.5</v>
      </c>
      <c r="G475" s="204"/>
      <c r="H475" s="197"/>
      <c r="I475" s="198"/>
      <c r="J475" s="205">
        <v>1.02</v>
      </c>
      <c r="K475" s="287">
        <v>1.02</v>
      </c>
      <c r="L475" s="206">
        <v>17.75</v>
      </c>
      <c r="M475" s="286">
        <v>17.75</v>
      </c>
      <c r="N475" s="552">
        <v>41791</v>
      </c>
      <c r="O475" s="205">
        <f t="shared" si="40"/>
        <v>0</v>
      </c>
      <c r="P475" s="555">
        <f>(1+$R$1)*Table33[[#This Row],[Hours]]</f>
        <v>0</v>
      </c>
      <c r="Q475" s="207">
        <f t="shared" si="39"/>
        <v>0</v>
      </c>
      <c r="R475" s="208">
        <f t="shared" si="41"/>
        <v>0</v>
      </c>
      <c r="S475" s="208">
        <f t="shared" si="42"/>
        <v>0</v>
      </c>
      <c r="T475" s="208" t="str">
        <f t="shared" si="43"/>
        <v/>
      </c>
      <c r="U475" s="195">
        <f>Table33[[#This Row],[gal/100ft]]*Table33[[#This Row],[QTY]]/100</f>
        <v>0</v>
      </c>
      <c r="V475" s="195"/>
      <c r="W475" s="195"/>
      <c r="X475" s="195"/>
      <c r="Y475" s="195"/>
    </row>
    <row r="476" spans="1:28" ht="12.75" x14ac:dyDescent="0.2">
      <c r="A476" s="195" t="s">
        <v>662</v>
      </c>
      <c r="B476" s="195" t="s">
        <v>613</v>
      </c>
      <c r="C476" s="195" t="s">
        <v>135</v>
      </c>
      <c r="D476" s="195" t="s">
        <v>663</v>
      </c>
      <c r="E476" s="288"/>
      <c r="F476" s="204">
        <v>1</v>
      </c>
      <c r="G476" s="204"/>
      <c r="H476" s="197"/>
      <c r="I476" s="198"/>
      <c r="J476" s="205">
        <v>1.37</v>
      </c>
      <c r="K476" s="287">
        <v>1.37</v>
      </c>
      <c r="L476" s="206">
        <v>23.75</v>
      </c>
      <c r="M476" s="286">
        <v>23.75</v>
      </c>
      <c r="N476" s="552">
        <v>41791</v>
      </c>
      <c r="O476" s="205">
        <f t="shared" si="40"/>
        <v>0</v>
      </c>
      <c r="P476" s="555">
        <f>(1+$R$1)*Table33[[#This Row],[Hours]]</f>
        <v>0</v>
      </c>
      <c r="Q476" s="207">
        <f t="shared" si="39"/>
        <v>0</v>
      </c>
      <c r="R476" s="208">
        <f t="shared" si="41"/>
        <v>0</v>
      </c>
      <c r="S476" s="208">
        <f t="shared" si="42"/>
        <v>0</v>
      </c>
      <c r="T476" s="208" t="str">
        <f t="shared" si="43"/>
        <v/>
      </c>
      <c r="U476" s="195">
        <f>Table33[[#This Row],[gal/100ft]]*Table33[[#This Row],[QTY]]/100</f>
        <v>0</v>
      </c>
      <c r="V476" s="195"/>
      <c r="W476" s="195"/>
      <c r="X476" s="195"/>
      <c r="Y476" s="195"/>
    </row>
    <row r="477" spans="1:28" ht="12.75" x14ac:dyDescent="0.2">
      <c r="A477" s="195" t="s">
        <v>662</v>
      </c>
      <c r="B477" s="195" t="s">
        <v>613</v>
      </c>
      <c r="C477" s="195" t="s">
        <v>135</v>
      </c>
      <c r="D477" s="195" t="s">
        <v>663</v>
      </c>
      <c r="E477" s="288"/>
      <c r="F477" s="204">
        <v>1.25</v>
      </c>
      <c r="G477" s="204"/>
      <c r="H477" s="197"/>
      <c r="I477" s="198"/>
      <c r="J477" s="205">
        <v>1.47</v>
      </c>
      <c r="K477" s="287">
        <v>1.47</v>
      </c>
      <c r="L477" s="206">
        <v>38.25</v>
      </c>
      <c r="M477" s="286">
        <v>38.25</v>
      </c>
      <c r="N477" s="552">
        <v>41791</v>
      </c>
      <c r="O477" s="205">
        <f t="shared" si="40"/>
        <v>0</v>
      </c>
      <c r="P477" s="555">
        <f>(1+$R$1)*Table33[[#This Row],[Hours]]</f>
        <v>0</v>
      </c>
      <c r="Q477" s="207">
        <f t="shared" si="39"/>
        <v>0</v>
      </c>
      <c r="R477" s="208">
        <f t="shared" si="41"/>
        <v>0</v>
      </c>
      <c r="S477" s="208">
        <f t="shared" si="42"/>
        <v>0</v>
      </c>
      <c r="T477" s="208" t="str">
        <f t="shared" si="43"/>
        <v/>
      </c>
      <c r="U477" s="195">
        <f>Table33[[#This Row],[gal/100ft]]*Table33[[#This Row],[QTY]]/100</f>
        <v>0</v>
      </c>
      <c r="V477" s="195"/>
      <c r="W477" s="195"/>
      <c r="X477" s="195"/>
      <c r="Y477" s="195"/>
    </row>
    <row r="478" spans="1:28" ht="12.75" x14ac:dyDescent="0.2">
      <c r="A478" s="195" t="s">
        <v>662</v>
      </c>
      <c r="B478" s="195" t="s">
        <v>613</v>
      </c>
      <c r="C478" s="195" t="s">
        <v>135</v>
      </c>
      <c r="D478" s="195" t="s">
        <v>663</v>
      </c>
      <c r="E478" s="288"/>
      <c r="F478" s="204">
        <v>1.5</v>
      </c>
      <c r="G478" s="204"/>
      <c r="H478" s="197"/>
      <c r="I478" s="198"/>
      <c r="J478" s="205">
        <v>1.62</v>
      </c>
      <c r="K478" s="287">
        <v>1.62</v>
      </c>
      <c r="L478" s="206">
        <v>43.75</v>
      </c>
      <c r="M478" s="286">
        <v>43.75</v>
      </c>
      <c r="N478" s="552">
        <v>41791</v>
      </c>
      <c r="O478" s="205">
        <f t="shared" si="40"/>
        <v>0</v>
      </c>
      <c r="P478" s="555">
        <f>(1+$R$1)*Table33[[#This Row],[Hours]]</f>
        <v>0</v>
      </c>
      <c r="Q478" s="207">
        <f t="shared" si="39"/>
        <v>0</v>
      </c>
      <c r="R478" s="208">
        <f t="shared" si="41"/>
        <v>0</v>
      </c>
      <c r="S478" s="208">
        <f t="shared" si="42"/>
        <v>0</v>
      </c>
      <c r="T478" s="208" t="str">
        <f t="shared" si="43"/>
        <v/>
      </c>
      <c r="U478" s="195">
        <f>Table33[[#This Row],[gal/100ft]]*Table33[[#This Row],[QTY]]/100</f>
        <v>0</v>
      </c>
      <c r="V478" s="195"/>
      <c r="W478" s="195"/>
      <c r="X478" s="195"/>
      <c r="Y478" s="195"/>
    </row>
    <row r="479" spans="1:28" ht="12.75" x14ac:dyDescent="0.2">
      <c r="A479" s="195" t="s">
        <v>662</v>
      </c>
      <c r="B479" s="195" t="s">
        <v>613</v>
      </c>
      <c r="C479" s="195" t="s">
        <v>135</v>
      </c>
      <c r="D479" s="195" t="s">
        <v>663</v>
      </c>
      <c r="E479" s="288"/>
      <c r="F479" s="204">
        <v>2</v>
      </c>
      <c r="G479" s="204"/>
      <c r="H479" s="197"/>
      <c r="I479" s="198"/>
      <c r="J479" s="205">
        <v>2.16</v>
      </c>
      <c r="K479" s="287">
        <v>2.16</v>
      </c>
      <c r="L479" s="206">
        <v>62.25</v>
      </c>
      <c r="M479" s="286">
        <v>62.25</v>
      </c>
      <c r="N479" s="552">
        <v>41791</v>
      </c>
      <c r="O479" s="205">
        <f t="shared" si="40"/>
        <v>0</v>
      </c>
      <c r="P479" s="555">
        <f>(1+$R$1)*Table33[[#This Row],[Hours]]</f>
        <v>0</v>
      </c>
      <c r="Q479" s="207">
        <f t="shared" si="39"/>
        <v>0</v>
      </c>
      <c r="R479" s="208">
        <f t="shared" si="41"/>
        <v>0</v>
      </c>
      <c r="S479" s="208">
        <f t="shared" si="42"/>
        <v>0</v>
      </c>
      <c r="T479" s="208" t="str">
        <f t="shared" si="43"/>
        <v/>
      </c>
      <c r="U479" s="195">
        <f>Table33[[#This Row],[gal/100ft]]*Table33[[#This Row],[QTY]]/100</f>
        <v>0</v>
      </c>
      <c r="V479" s="195"/>
      <c r="W479" s="195"/>
      <c r="X479" s="195"/>
      <c r="Y479" s="195"/>
    </row>
    <row r="480" spans="1:28" ht="12.75" x14ac:dyDescent="0.2">
      <c r="A480" s="195" t="s">
        <v>602</v>
      </c>
      <c r="B480" s="536" t="s">
        <v>874</v>
      </c>
      <c r="C480" s="195" t="s">
        <v>642</v>
      </c>
      <c r="D480" s="195" t="s">
        <v>640</v>
      </c>
      <c r="E480" s="288"/>
      <c r="F480" s="204">
        <v>3</v>
      </c>
      <c r="G480" s="204" t="s">
        <v>576</v>
      </c>
      <c r="H480" s="197" t="s">
        <v>596</v>
      </c>
      <c r="I480" s="198"/>
      <c r="J480" s="205">
        <v>1.06</v>
      </c>
      <c r="K480" s="287">
        <v>1.06</v>
      </c>
      <c r="L480" s="206">
        <v>3.68</v>
      </c>
      <c r="M480" s="286">
        <v>3.68</v>
      </c>
      <c r="N480" s="552">
        <v>41791</v>
      </c>
      <c r="O480" s="205">
        <f t="shared" si="40"/>
        <v>0</v>
      </c>
      <c r="P480" s="555">
        <f>(1+$R$1)*Table33[[#This Row],[Hours]]</f>
        <v>0</v>
      </c>
      <c r="Q480" s="207">
        <f t="shared" si="39"/>
        <v>0</v>
      </c>
      <c r="R480" s="208">
        <f t="shared" si="41"/>
        <v>0</v>
      </c>
      <c r="S480" s="208">
        <f t="shared" si="42"/>
        <v>0</v>
      </c>
      <c r="T480" s="208" t="str">
        <f t="shared" si="43"/>
        <v/>
      </c>
      <c r="U480" s="195">
        <f>Table33[[#This Row],[gal/100ft]]*Table33[[#This Row],[QTY]]/100</f>
        <v>0</v>
      </c>
      <c r="V480" s="195"/>
      <c r="W480" s="195"/>
      <c r="X480" s="195"/>
      <c r="Y480" s="195"/>
    </row>
    <row r="481" spans="1:25" ht="12.75" x14ac:dyDescent="0.2">
      <c r="A481" s="195" t="s">
        <v>602</v>
      </c>
      <c r="B481" s="536" t="s">
        <v>874</v>
      </c>
      <c r="C481" s="195" t="s">
        <v>642</v>
      </c>
      <c r="D481" s="195" t="s">
        <v>640</v>
      </c>
      <c r="E481" s="288"/>
      <c r="F481" s="204">
        <v>3</v>
      </c>
      <c r="G481" s="204" t="s">
        <v>576</v>
      </c>
      <c r="H481" s="197" t="s">
        <v>641</v>
      </c>
      <c r="I481" s="198"/>
      <c r="J481" s="205">
        <v>1.52</v>
      </c>
      <c r="K481" s="287">
        <v>1.52</v>
      </c>
      <c r="L481" s="206">
        <v>4.24</v>
      </c>
      <c r="M481" s="286">
        <v>4.24</v>
      </c>
      <c r="N481" s="552">
        <v>41791</v>
      </c>
      <c r="O481" s="205">
        <f t="shared" si="40"/>
        <v>0</v>
      </c>
      <c r="P481" s="555">
        <f>(1+$R$1)*Table33[[#This Row],[Hours]]</f>
        <v>0</v>
      </c>
      <c r="Q481" s="207">
        <f t="shared" si="39"/>
        <v>0</v>
      </c>
      <c r="R481" s="208">
        <f t="shared" si="41"/>
        <v>0</v>
      </c>
      <c r="S481" s="208">
        <f t="shared" si="42"/>
        <v>0</v>
      </c>
      <c r="T481" s="208" t="str">
        <f t="shared" si="43"/>
        <v/>
      </c>
      <c r="U481" s="195">
        <f>Table33[[#This Row],[gal/100ft]]*Table33[[#This Row],[QTY]]/100</f>
        <v>0</v>
      </c>
      <c r="V481" s="195"/>
      <c r="W481" s="195"/>
      <c r="X481" s="195"/>
      <c r="Y481" s="195"/>
    </row>
    <row r="482" spans="1:25" ht="12.75" x14ac:dyDescent="0.2">
      <c r="A482" s="195" t="s">
        <v>602</v>
      </c>
      <c r="B482" s="536" t="s">
        <v>874</v>
      </c>
      <c r="C482" s="195" t="s">
        <v>642</v>
      </c>
      <c r="D482" s="195" t="s">
        <v>640</v>
      </c>
      <c r="E482" s="288"/>
      <c r="F482" s="204">
        <v>3</v>
      </c>
      <c r="G482" s="204" t="s">
        <v>576</v>
      </c>
      <c r="H482" s="197">
        <v>1</v>
      </c>
      <c r="I482" s="198"/>
      <c r="J482" s="205">
        <v>1.98</v>
      </c>
      <c r="K482" s="287">
        <v>1.98</v>
      </c>
      <c r="L482" s="206">
        <v>4.9400000000000004</v>
      </c>
      <c r="M482" s="286">
        <v>4.9400000000000004</v>
      </c>
      <c r="N482" s="552">
        <v>41791</v>
      </c>
      <c r="O482" s="205">
        <f t="shared" si="40"/>
        <v>0</v>
      </c>
      <c r="P482" s="555">
        <f>(1+$R$1)*Table33[[#This Row],[Hours]]</f>
        <v>0</v>
      </c>
      <c r="Q482" s="207">
        <f t="shared" si="39"/>
        <v>0</v>
      </c>
      <c r="R482" s="208">
        <f t="shared" si="41"/>
        <v>0</v>
      </c>
      <c r="S482" s="208">
        <f t="shared" si="42"/>
        <v>0</v>
      </c>
      <c r="T482" s="208" t="str">
        <f t="shared" si="43"/>
        <v/>
      </c>
      <c r="U482" s="195">
        <f>Table33[[#This Row],[gal/100ft]]*Table33[[#This Row],[QTY]]/100</f>
        <v>0</v>
      </c>
      <c r="V482" s="195"/>
      <c r="W482" s="195"/>
      <c r="X482" s="195"/>
      <c r="Y482" s="195"/>
    </row>
    <row r="483" spans="1:25" ht="12.75" x14ac:dyDescent="0.2">
      <c r="A483" s="195" t="s">
        <v>602</v>
      </c>
      <c r="B483" s="536" t="s">
        <v>874</v>
      </c>
      <c r="C483" s="195" t="s">
        <v>642</v>
      </c>
      <c r="D483" s="195" t="s">
        <v>640</v>
      </c>
      <c r="E483" s="288"/>
      <c r="F483" s="204">
        <v>3</v>
      </c>
      <c r="G483" s="204" t="s">
        <v>576</v>
      </c>
      <c r="H483" s="197">
        <v>1.25</v>
      </c>
      <c r="I483" s="198"/>
      <c r="J483" s="205">
        <v>2.4500000000000002</v>
      </c>
      <c r="K483" s="287">
        <v>2.4500000000000002</v>
      </c>
      <c r="L483" s="206">
        <v>7.84</v>
      </c>
      <c r="M483" s="286">
        <v>7.84</v>
      </c>
      <c r="N483" s="552">
        <v>41791</v>
      </c>
      <c r="O483" s="205">
        <f t="shared" si="40"/>
        <v>0</v>
      </c>
      <c r="P483" s="555">
        <f>(1+$R$1)*Table33[[#This Row],[Hours]]</f>
        <v>0</v>
      </c>
      <c r="Q483" s="207">
        <f t="shared" si="39"/>
        <v>0</v>
      </c>
      <c r="R483" s="208">
        <f t="shared" si="41"/>
        <v>0</v>
      </c>
      <c r="S483" s="208">
        <f t="shared" si="42"/>
        <v>0</v>
      </c>
      <c r="T483" s="208" t="str">
        <f t="shared" si="43"/>
        <v/>
      </c>
      <c r="U483" s="195">
        <f>Table33[[#This Row],[gal/100ft]]*Table33[[#This Row],[QTY]]/100</f>
        <v>0</v>
      </c>
      <c r="V483" s="195"/>
      <c r="W483" s="195"/>
      <c r="X483" s="195"/>
      <c r="Y483" s="195"/>
    </row>
    <row r="484" spans="1:25" ht="12.75" x14ac:dyDescent="0.2">
      <c r="A484" s="195" t="s">
        <v>602</v>
      </c>
      <c r="B484" s="536" t="s">
        <v>874</v>
      </c>
      <c r="C484" s="195" t="s">
        <v>642</v>
      </c>
      <c r="D484" s="195" t="s">
        <v>640</v>
      </c>
      <c r="E484" s="288"/>
      <c r="F484" s="204">
        <v>3</v>
      </c>
      <c r="G484" s="204" t="s">
        <v>576</v>
      </c>
      <c r="H484" s="197">
        <v>1.5</v>
      </c>
      <c r="I484" s="198"/>
      <c r="J484" s="205">
        <v>2.88</v>
      </c>
      <c r="K484" s="287">
        <v>2.88</v>
      </c>
      <c r="L484" s="206">
        <v>7.84</v>
      </c>
      <c r="M484" s="286">
        <v>7.84</v>
      </c>
      <c r="N484" s="552">
        <v>41791</v>
      </c>
      <c r="O484" s="205">
        <f t="shared" si="40"/>
        <v>0</v>
      </c>
      <c r="P484" s="555">
        <f>(1+$R$1)*Table33[[#This Row],[Hours]]</f>
        <v>0</v>
      </c>
      <c r="Q484" s="207">
        <f t="shared" si="39"/>
        <v>0</v>
      </c>
      <c r="R484" s="208">
        <f t="shared" si="41"/>
        <v>0</v>
      </c>
      <c r="S484" s="208">
        <f t="shared" si="42"/>
        <v>0</v>
      </c>
      <c r="T484" s="208" t="str">
        <f t="shared" si="43"/>
        <v/>
      </c>
      <c r="U484" s="195">
        <f>Table33[[#This Row],[gal/100ft]]*Table33[[#This Row],[QTY]]/100</f>
        <v>0</v>
      </c>
      <c r="V484" s="195"/>
      <c r="W484" s="195"/>
      <c r="X484" s="195"/>
      <c r="Y484" s="195"/>
    </row>
    <row r="485" spans="1:25" ht="12.75" x14ac:dyDescent="0.2">
      <c r="A485" s="195" t="s">
        <v>602</v>
      </c>
      <c r="B485" s="536" t="s">
        <v>874</v>
      </c>
      <c r="C485" s="195" t="s">
        <v>642</v>
      </c>
      <c r="D485" s="195" t="s">
        <v>640</v>
      </c>
      <c r="E485" s="288"/>
      <c r="F485" s="204">
        <v>3</v>
      </c>
      <c r="G485" s="204" t="s">
        <v>576</v>
      </c>
      <c r="H485" s="197">
        <v>2</v>
      </c>
      <c r="I485" s="198"/>
      <c r="J485" s="205">
        <v>3.74</v>
      </c>
      <c r="K485" s="287">
        <v>3.74</v>
      </c>
      <c r="L485" s="206">
        <v>8.92</v>
      </c>
      <c r="M485" s="286">
        <v>8.92</v>
      </c>
      <c r="N485" s="552">
        <v>41791</v>
      </c>
      <c r="O485" s="205">
        <f t="shared" si="40"/>
        <v>0</v>
      </c>
      <c r="P485" s="555">
        <f>(1+$R$1)*Table33[[#This Row],[Hours]]</f>
        <v>0</v>
      </c>
      <c r="Q485" s="207">
        <f t="shared" si="39"/>
        <v>0</v>
      </c>
      <c r="R485" s="208">
        <f t="shared" si="41"/>
        <v>0</v>
      </c>
      <c r="S485" s="208">
        <f t="shared" si="42"/>
        <v>0</v>
      </c>
      <c r="T485" s="208" t="str">
        <f t="shared" si="43"/>
        <v/>
      </c>
      <c r="U485" s="195">
        <f>Table33[[#This Row],[gal/100ft]]*Table33[[#This Row],[QTY]]/100</f>
        <v>0</v>
      </c>
      <c r="V485" s="195"/>
      <c r="W485" s="195"/>
      <c r="X485" s="195"/>
      <c r="Y485" s="195"/>
    </row>
    <row r="486" spans="1:25" ht="12.75" x14ac:dyDescent="0.2">
      <c r="A486" s="195" t="s">
        <v>602</v>
      </c>
      <c r="B486" s="536" t="s">
        <v>874</v>
      </c>
      <c r="C486" s="195" t="s">
        <v>642</v>
      </c>
      <c r="D486" s="195" t="s">
        <v>640</v>
      </c>
      <c r="E486" s="288"/>
      <c r="F486" s="204">
        <v>3</v>
      </c>
      <c r="G486" s="204" t="s">
        <v>576</v>
      </c>
      <c r="H486" s="197">
        <v>2.5</v>
      </c>
      <c r="I486" s="198"/>
      <c r="J486" s="205">
        <v>4.68</v>
      </c>
      <c r="K486" s="287">
        <v>4.68</v>
      </c>
      <c r="L486" s="206"/>
      <c r="M486" s="286"/>
      <c r="N486" s="552">
        <v>41791</v>
      </c>
      <c r="O486" s="205">
        <f t="shared" si="40"/>
        <v>0</v>
      </c>
      <c r="P486" s="555">
        <f>(1+$R$1)*Table33[[#This Row],[Hours]]</f>
        <v>0</v>
      </c>
      <c r="Q486" s="207">
        <f t="shared" si="39"/>
        <v>0</v>
      </c>
      <c r="R486" s="208">
        <f t="shared" si="41"/>
        <v>0</v>
      </c>
      <c r="S486" s="208">
        <f t="shared" si="42"/>
        <v>0</v>
      </c>
      <c r="T486" s="208" t="str">
        <f t="shared" si="43"/>
        <v/>
      </c>
      <c r="U486" s="195">
        <f>Table33[[#This Row],[gal/100ft]]*Table33[[#This Row],[QTY]]/100</f>
        <v>0</v>
      </c>
      <c r="V486" s="195"/>
      <c r="W486" s="195"/>
      <c r="X486" s="195"/>
      <c r="Y486" s="195"/>
    </row>
    <row r="487" spans="1:25" ht="12.75" x14ac:dyDescent="0.2">
      <c r="A487" s="195" t="s">
        <v>602</v>
      </c>
      <c r="B487" s="536" t="s">
        <v>874</v>
      </c>
      <c r="C487" s="195" t="s">
        <v>642</v>
      </c>
      <c r="D487" s="195" t="s">
        <v>640</v>
      </c>
      <c r="E487" s="288"/>
      <c r="F487" s="204">
        <v>3</v>
      </c>
      <c r="G487" s="204" t="s">
        <v>576</v>
      </c>
      <c r="H487" s="197">
        <v>3</v>
      </c>
      <c r="I487" s="198"/>
      <c r="J487" s="205">
        <v>5.07</v>
      </c>
      <c r="K487" s="287">
        <v>5.07</v>
      </c>
      <c r="L487" s="206"/>
      <c r="M487" s="286"/>
      <c r="N487" s="552">
        <v>41791</v>
      </c>
      <c r="O487" s="205">
        <f t="shared" si="40"/>
        <v>0</v>
      </c>
      <c r="P487" s="555">
        <f>(1+$R$1)*Table33[[#This Row],[Hours]]</f>
        <v>0</v>
      </c>
      <c r="Q487" s="207">
        <f t="shared" si="39"/>
        <v>0</v>
      </c>
      <c r="R487" s="208">
        <f t="shared" si="41"/>
        <v>0</v>
      </c>
      <c r="S487" s="208">
        <f t="shared" si="42"/>
        <v>0</v>
      </c>
      <c r="T487" s="208" t="str">
        <f t="shared" si="43"/>
        <v/>
      </c>
      <c r="U487" s="195">
        <f>Table33[[#This Row],[gal/100ft]]*Table33[[#This Row],[QTY]]/100</f>
        <v>0</v>
      </c>
      <c r="V487" s="195"/>
      <c r="W487" s="195"/>
      <c r="X487" s="195"/>
      <c r="Y487" s="195"/>
    </row>
    <row r="488" spans="1:25" ht="12.75" x14ac:dyDescent="0.2">
      <c r="A488" s="195" t="s">
        <v>602</v>
      </c>
      <c r="B488" s="536" t="s">
        <v>874</v>
      </c>
      <c r="C488" s="195" t="s">
        <v>642</v>
      </c>
      <c r="D488" s="195" t="s">
        <v>640</v>
      </c>
      <c r="E488" s="288"/>
      <c r="F488" s="204">
        <v>2.5</v>
      </c>
      <c r="G488" s="204" t="s">
        <v>576</v>
      </c>
      <c r="H488" s="197" t="s">
        <v>596</v>
      </c>
      <c r="I488" s="198"/>
      <c r="J488" s="205">
        <v>1.06</v>
      </c>
      <c r="K488" s="287">
        <v>1.06</v>
      </c>
      <c r="L488" s="206">
        <v>3.68</v>
      </c>
      <c r="M488" s="286">
        <v>3.68</v>
      </c>
      <c r="N488" s="552">
        <v>41791</v>
      </c>
      <c r="O488" s="205">
        <f t="shared" si="40"/>
        <v>0</v>
      </c>
      <c r="P488" s="555">
        <f>(1+$R$1)*Table33[[#This Row],[Hours]]</f>
        <v>0</v>
      </c>
      <c r="Q488" s="207">
        <f t="shared" si="39"/>
        <v>0</v>
      </c>
      <c r="R488" s="208">
        <f t="shared" si="41"/>
        <v>0</v>
      </c>
      <c r="S488" s="208">
        <f t="shared" si="42"/>
        <v>0</v>
      </c>
      <c r="T488" s="208" t="str">
        <f t="shared" si="43"/>
        <v/>
      </c>
      <c r="U488" s="195">
        <f>Table33[[#This Row],[gal/100ft]]*Table33[[#This Row],[QTY]]/100</f>
        <v>0</v>
      </c>
      <c r="V488" s="195"/>
      <c r="W488" s="195"/>
      <c r="X488" s="195"/>
      <c r="Y488" s="195"/>
    </row>
    <row r="489" spans="1:25" ht="12.75" x14ac:dyDescent="0.2">
      <c r="A489" s="195" t="s">
        <v>602</v>
      </c>
      <c r="B489" s="536" t="s">
        <v>874</v>
      </c>
      <c r="C489" s="195" t="s">
        <v>642</v>
      </c>
      <c r="D489" s="195" t="s">
        <v>640</v>
      </c>
      <c r="E489" s="288"/>
      <c r="F489" s="204">
        <v>2.5</v>
      </c>
      <c r="G489" s="204" t="s">
        <v>576</v>
      </c>
      <c r="H489" s="197" t="s">
        <v>641</v>
      </c>
      <c r="I489" s="198"/>
      <c r="J489" s="205">
        <v>1.52</v>
      </c>
      <c r="K489" s="287">
        <v>1.52</v>
      </c>
      <c r="L489" s="206">
        <v>4.24</v>
      </c>
      <c r="M489" s="286">
        <v>4.24</v>
      </c>
      <c r="N489" s="552">
        <v>41791</v>
      </c>
      <c r="O489" s="205">
        <f t="shared" si="40"/>
        <v>0</v>
      </c>
      <c r="P489" s="555">
        <f>(1+$R$1)*Table33[[#This Row],[Hours]]</f>
        <v>0</v>
      </c>
      <c r="Q489" s="207">
        <f t="shared" si="39"/>
        <v>0</v>
      </c>
      <c r="R489" s="208">
        <f t="shared" si="41"/>
        <v>0</v>
      </c>
      <c r="S489" s="208">
        <f t="shared" si="42"/>
        <v>0</v>
      </c>
      <c r="T489" s="208" t="str">
        <f t="shared" si="43"/>
        <v/>
      </c>
      <c r="U489" s="195">
        <f>Table33[[#This Row],[gal/100ft]]*Table33[[#This Row],[QTY]]/100</f>
        <v>0</v>
      </c>
      <c r="V489" s="195"/>
      <c r="W489" s="195"/>
      <c r="X489" s="195"/>
      <c r="Y489" s="195"/>
    </row>
    <row r="490" spans="1:25" ht="12.75" x14ac:dyDescent="0.2">
      <c r="A490" s="195" t="s">
        <v>602</v>
      </c>
      <c r="B490" s="536" t="s">
        <v>874</v>
      </c>
      <c r="C490" s="195" t="s">
        <v>642</v>
      </c>
      <c r="D490" s="195" t="s">
        <v>640</v>
      </c>
      <c r="E490" s="288"/>
      <c r="F490" s="204">
        <v>2.5</v>
      </c>
      <c r="G490" s="204" t="s">
        <v>576</v>
      </c>
      <c r="H490" s="197">
        <v>1</v>
      </c>
      <c r="I490" s="198"/>
      <c r="J490" s="205">
        <v>1.98</v>
      </c>
      <c r="K490" s="287">
        <v>1.98</v>
      </c>
      <c r="L490" s="206">
        <v>4.9400000000000004</v>
      </c>
      <c r="M490" s="286">
        <v>4.9400000000000004</v>
      </c>
      <c r="N490" s="552">
        <v>41791</v>
      </c>
      <c r="O490" s="205">
        <f t="shared" si="40"/>
        <v>0</v>
      </c>
      <c r="P490" s="555">
        <f>(1+$R$1)*Table33[[#This Row],[Hours]]</f>
        <v>0</v>
      </c>
      <c r="Q490" s="207">
        <f t="shared" si="39"/>
        <v>0</v>
      </c>
      <c r="R490" s="208">
        <f t="shared" si="41"/>
        <v>0</v>
      </c>
      <c r="S490" s="208">
        <f t="shared" si="42"/>
        <v>0</v>
      </c>
      <c r="T490" s="208" t="str">
        <f t="shared" si="43"/>
        <v/>
      </c>
      <c r="U490" s="195">
        <f>Table33[[#This Row],[gal/100ft]]*Table33[[#This Row],[QTY]]/100</f>
        <v>0</v>
      </c>
      <c r="V490" s="195"/>
      <c r="W490" s="195"/>
      <c r="X490" s="195"/>
      <c r="Y490" s="195"/>
    </row>
    <row r="491" spans="1:25" ht="12.75" x14ac:dyDescent="0.2">
      <c r="A491" s="195" t="s">
        <v>602</v>
      </c>
      <c r="B491" s="536" t="s">
        <v>874</v>
      </c>
      <c r="C491" s="195" t="s">
        <v>642</v>
      </c>
      <c r="D491" s="195" t="s">
        <v>640</v>
      </c>
      <c r="E491" s="288"/>
      <c r="F491" s="204">
        <v>2.5</v>
      </c>
      <c r="G491" s="204" t="s">
        <v>576</v>
      </c>
      <c r="H491" s="197">
        <v>1.25</v>
      </c>
      <c r="I491" s="198"/>
      <c r="J491" s="205">
        <v>2.4500000000000002</v>
      </c>
      <c r="K491" s="287">
        <v>2.4500000000000002</v>
      </c>
      <c r="L491" s="206">
        <v>7.84</v>
      </c>
      <c r="M491" s="286">
        <v>7.84</v>
      </c>
      <c r="N491" s="552">
        <v>41791</v>
      </c>
      <c r="O491" s="205">
        <f t="shared" si="40"/>
        <v>0</v>
      </c>
      <c r="P491" s="555">
        <f>(1+$R$1)*Table33[[#This Row],[Hours]]</f>
        <v>0</v>
      </c>
      <c r="Q491" s="207">
        <f t="shared" si="39"/>
        <v>0</v>
      </c>
      <c r="R491" s="208">
        <f t="shared" si="41"/>
        <v>0</v>
      </c>
      <c r="S491" s="208">
        <f t="shared" si="42"/>
        <v>0</v>
      </c>
      <c r="T491" s="208" t="str">
        <f t="shared" si="43"/>
        <v/>
      </c>
      <c r="U491" s="195">
        <f>Table33[[#This Row],[gal/100ft]]*Table33[[#This Row],[QTY]]/100</f>
        <v>0</v>
      </c>
      <c r="V491" s="195"/>
      <c r="W491" s="195"/>
      <c r="X491" s="195"/>
      <c r="Y491" s="195"/>
    </row>
    <row r="492" spans="1:25" ht="12.75" x14ac:dyDescent="0.2">
      <c r="A492" s="195" t="s">
        <v>602</v>
      </c>
      <c r="B492" s="536" t="s">
        <v>874</v>
      </c>
      <c r="C492" s="195" t="s">
        <v>642</v>
      </c>
      <c r="D492" s="195" t="s">
        <v>640</v>
      </c>
      <c r="E492" s="288"/>
      <c r="F492" s="204">
        <v>2.5</v>
      </c>
      <c r="G492" s="204" t="s">
        <v>576</v>
      </c>
      <c r="H492" s="197">
        <v>1.5</v>
      </c>
      <c r="I492" s="198"/>
      <c r="J492" s="205">
        <v>2.88</v>
      </c>
      <c r="K492" s="287">
        <v>2.88</v>
      </c>
      <c r="L492" s="206">
        <v>7.84</v>
      </c>
      <c r="M492" s="286">
        <v>7.84</v>
      </c>
      <c r="N492" s="552">
        <v>41791</v>
      </c>
      <c r="O492" s="205">
        <f t="shared" si="40"/>
        <v>0</v>
      </c>
      <c r="P492" s="555">
        <f>(1+$R$1)*Table33[[#This Row],[Hours]]</f>
        <v>0</v>
      </c>
      <c r="Q492" s="207">
        <f t="shared" si="39"/>
        <v>0</v>
      </c>
      <c r="R492" s="208">
        <f t="shared" si="41"/>
        <v>0</v>
      </c>
      <c r="S492" s="208">
        <f t="shared" si="42"/>
        <v>0</v>
      </c>
      <c r="T492" s="208" t="str">
        <f t="shared" si="43"/>
        <v/>
      </c>
      <c r="U492" s="195">
        <f>Table33[[#This Row],[gal/100ft]]*Table33[[#This Row],[QTY]]/100</f>
        <v>0</v>
      </c>
      <c r="V492" s="195"/>
      <c r="W492" s="195"/>
      <c r="X492" s="195"/>
      <c r="Y492" s="195"/>
    </row>
    <row r="493" spans="1:25" ht="12.75" x14ac:dyDescent="0.2">
      <c r="A493" s="195" t="s">
        <v>602</v>
      </c>
      <c r="B493" s="536" t="s">
        <v>874</v>
      </c>
      <c r="C493" s="195" t="s">
        <v>642</v>
      </c>
      <c r="D493" s="195" t="s">
        <v>640</v>
      </c>
      <c r="E493" s="288"/>
      <c r="F493" s="204">
        <v>2.5</v>
      </c>
      <c r="G493" s="204" t="s">
        <v>576</v>
      </c>
      <c r="H493" s="197">
        <v>2</v>
      </c>
      <c r="I493" s="198"/>
      <c r="J493" s="205">
        <v>3.74</v>
      </c>
      <c r="K493" s="287">
        <v>3.74</v>
      </c>
      <c r="L493" s="206">
        <v>8.92</v>
      </c>
      <c r="M493" s="286">
        <v>8.92</v>
      </c>
      <c r="N493" s="552">
        <v>41791</v>
      </c>
      <c r="O493" s="205">
        <f t="shared" si="40"/>
        <v>0</v>
      </c>
      <c r="P493" s="555">
        <f>(1+$R$1)*Table33[[#This Row],[Hours]]</f>
        <v>0</v>
      </c>
      <c r="Q493" s="207">
        <f t="shared" si="39"/>
        <v>0</v>
      </c>
      <c r="R493" s="208">
        <f t="shared" si="41"/>
        <v>0</v>
      </c>
      <c r="S493" s="208">
        <f t="shared" si="42"/>
        <v>0</v>
      </c>
      <c r="T493" s="208" t="str">
        <f t="shared" si="43"/>
        <v/>
      </c>
      <c r="U493" s="195">
        <f>Table33[[#This Row],[gal/100ft]]*Table33[[#This Row],[QTY]]/100</f>
        <v>0</v>
      </c>
      <c r="V493" s="195"/>
      <c r="W493" s="195"/>
      <c r="X493" s="195"/>
      <c r="Y493" s="195"/>
    </row>
    <row r="494" spans="1:25" ht="12.75" x14ac:dyDescent="0.2">
      <c r="A494" s="195" t="s">
        <v>602</v>
      </c>
      <c r="B494" s="536" t="s">
        <v>874</v>
      </c>
      <c r="C494" s="195" t="s">
        <v>642</v>
      </c>
      <c r="D494" s="195" t="s">
        <v>640</v>
      </c>
      <c r="E494" s="288"/>
      <c r="F494" s="204">
        <v>2.5</v>
      </c>
      <c r="G494" s="204" t="s">
        <v>576</v>
      </c>
      <c r="H494" s="197">
        <v>2.5</v>
      </c>
      <c r="I494" s="198"/>
      <c r="J494" s="205">
        <v>4.68</v>
      </c>
      <c r="K494" s="287">
        <v>4.68</v>
      </c>
      <c r="L494" s="206"/>
      <c r="M494" s="286"/>
      <c r="N494" s="552">
        <v>41791</v>
      </c>
      <c r="O494" s="205">
        <f t="shared" si="40"/>
        <v>0</v>
      </c>
      <c r="P494" s="555">
        <f>(1+$R$1)*Table33[[#This Row],[Hours]]</f>
        <v>0</v>
      </c>
      <c r="Q494" s="207">
        <f t="shared" si="39"/>
        <v>0</v>
      </c>
      <c r="R494" s="208">
        <f t="shared" si="41"/>
        <v>0</v>
      </c>
      <c r="S494" s="208">
        <f t="shared" si="42"/>
        <v>0</v>
      </c>
      <c r="T494" s="208" t="str">
        <f t="shared" si="43"/>
        <v/>
      </c>
      <c r="U494" s="195">
        <f>Table33[[#This Row],[gal/100ft]]*Table33[[#This Row],[QTY]]/100</f>
        <v>0</v>
      </c>
      <c r="V494" s="195"/>
      <c r="W494" s="195"/>
      <c r="X494" s="195"/>
      <c r="Y494" s="195"/>
    </row>
    <row r="495" spans="1:25" ht="12.75" x14ac:dyDescent="0.2">
      <c r="A495" s="195" t="s">
        <v>602</v>
      </c>
      <c r="B495" s="536" t="s">
        <v>874</v>
      </c>
      <c r="C495" s="195" t="s">
        <v>642</v>
      </c>
      <c r="D495" s="195" t="s">
        <v>640</v>
      </c>
      <c r="E495" s="288"/>
      <c r="F495" s="204">
        <v>4</v>
      </c>
      <c r="G495" s="204" t="s">
        <v>576</v>
      </c>
      <c r="H495" s="197" t="s">
        <v>596</v>
      </c>
      <c r="I495" s="198"/>
      <c r="J495" s="205">
        <v>1.06</v>
      </c>
      <c r="K495" s="287">
        <v>1.06</v>
      </c>
      <c r="L495" s="206">
        <v>3.68</v>
      </c>
      <c r="M495" s="286">
        <v>3.68</v>
      </c>
      <c r="N495" s="552">
        <v>41791</v>
      </c>
      <c r="O495" s="205">
        <f t="shared" si="40"/>
        <v>0</v>
      </c>
      <c r="P495" s="555">
        <f>(1+$R$1)*Table33[[#This Row],[Hours]]</f>
        <v>0</v>
      </c>
      <c r="Q495" s="207">
        <f t="shared" si="39"/>
        <v>0</v>
      </c>
      <c r="R495" s="208">
        <f t="shared" si="41"/>
        <v>0</v>
      </c>
      <c r="S495" s="208">
        <f t="shared" si="42"/>
        <v>0</v>
      </c>
      <c r="T495" s="208" t="str">
        <f t="shared" si="43"/>
        <v/>
      </c>
      <c r="U495" s="195">
        <f>Table33[[#This Row],[gal/100ft]]*Table33[[#This Row],[QTY]]/100</f>
        <v>0</v>
      </c>
      <c r="V495" s="195"/>
      <c r="W495" s="195"/>
      <c r="X495" s="195"/>
      <c r="Y495" s="195"/>
    </row>
    <row r="496" spans="1:25" ht="12.75" x14ac:dyDescent="0.2">
      <c r="A496" s="195" t="s">
        <v>602</v>
      </c>
      <c r="B496" s="536" t="s">
        <v>874</v>
      </c>
      <c r="C496" s="195" t="s">
        <v>642</v>
      </c>
      <c r="D496" s="195" t="s">
        <v>640</v>
      </c>
      <c r="E496" s="288"/>
      <c r="F496" s="204">
        <v>4</v>
      </c>
      <c r="G496" s="204" t="s">
        <v>576</v>
      </c>
      <c r="H496" s="197" t="s">
        <v>641</v>
      </c>
      <c r="I496" s="198"/>
      <c r="J496" s="205">
        <v>1.52</v>
      </c>
      <c r="K496" s="287">
        <v>1.52</v>
      </c>
      <c r="L496" s="206">
        <v>4.24</v>
      </c>
      <c r="M496" s="286">
        <v>4.24</v>
      </c>
      <c r="N496" s="552">
        <v>41791</v>
      </c>
      <c r="O496" s="205">
        <f t="shared" si="40"/>
        <v>0</v>
      </c>
      <c r="P496" s="555">
        <f>(1+$R$1)*Table33[[#This Row],[Hours]]</f>
        <v>0</v>
      </c>
      <c r="Q496" s="207">
        <f t="shared" si="39"/>
        <v>0</v>
      </c>
      <c r="R496" s="208">
        <f t="shared" si="41"/>
        <v>0</v>
      </c>
      <c r="S496" s="208">
        <f t="shared" si="42"/>
        <v>0</v>
      </c>
      <c r="T496" s="208" t="str">
        <f t="shared" si="43"/>
        <v/>
      </c>
      <c r="U496" s="195">
        <f>Table33[[#This Row],[gal/100ft]]*Table33[[#This Row],[QTY]]/100</f>
        <v>0</v>
      </c>
      <c r="V496" s="195"/>
      <c r="W496" s="195"/>
      <c r="X496" s="195"/>
      <c r="Y496" s="195"/>
    </row>
    <row r="497" spans="1:25" ht="12.75" x14ac:dyDescent="0.2">
      <c r="A497" s="195" t="s">
        <v>602</v>
      </c>
      <c r="B497" s="536" t="s">
        <v>874</v>
      </c>
      <c r="C497" s="195" t="s">
        <v>642</v>
      </c>
      <c r="D497" s="195" t="s">
        <v>640</v>
      </c>
      <c r="E497" s="288"/>
      <c r="F497" s="204">
        <v>4</v>
      </c>
      <c r="G497" s="204" t="s">
        <v>576</v>
      </c>
      <c r="H497" s="197">
        <v>1</v>
      </c>
      <c r="I497" s="198"/>
      <c r="J497" s="205">
        <v>1.98</v>
      </c>
      <c r="K497" s="287">
        <v>1.98</v>
      </c>
      <c r="L497" s="206">
        <v>4.9400000000000004</v>
      </c>
      <c r="M497" s="286">
        <v>4.9400000000000004</v>
      </c>
      <c r="N497" s="552">
        <v>41791</v>
      </c>
      <c r="O497" s="205">
        <f t="shared" si="40"/>
        <v>0</v>
      </c>
      <c r="P497" s="555">
        <f>(1+$R$1)*Table33[[#This Row],[Hours]]</f>
        <v>0</v>
      </c>
      <c r="Q497" s="207">
        <f t="shared" si="39"/>
        <v>0</v>
      </c>
      <c r="R497" s="208">
        <f t="shared" si="41"/>
        <v>0</v>
      </c>
      <c r="S497" s="208">
        <f t="shared" si="42"/>
        <v>0</v>
      </c>
      <c r="T497" s="208" t="str">
        <f t="shared" si="43"/>
        <v/>
      </c>
      <c r="U497" s="195">
        <f>Table33[[#This Row],[gal/100ft]]*Table33[[#This Row],[QTY]]/100</f>
        <v>0</v>
      </c>
      <c r="V497" s="195"/>
      <c r="W497" s="195"/>
      <c r="X497" s="195"/>
      <c r="Y497" s="195"/>
    </row>
    <row r="498" spans="1:25" ht="12.75" x14ac:dyDescent="0.2">
      <c r="A498" s="195" t="s">
        <v>602</v>
      </c>
      <c r="B498" s="536" t="s">
        <v>874</v>
      </c>
      <c r="C498" s="195" t="s">
        <v>642</v>
      </c>
      <c r="D498" s="195" t="s">
        <v>640</v>
      </c>
      <c r="E498" s="288"/>
      <c r="F498" s="204">
        <v>4</v>
      </c>
      <c r="G498" s="204" t="s">
        <v>576</v>
      </c>
      <c r="H498" s="197">
        <v>1.25</v>
      </c>
      <c r="I498" s="198"/>
      <c r="J498" s="205">
        <v>2.4500000000000002</v>
      </c>
      <c r="K498" s="287">
        <v>2.4500000000000002</v>
      </c>
      <c r="L498" s="206">
        <v>7.84</v>
      </c>
      <c r="M498" s="286">
        <v>7.84</v>
      </c>
      <c r="N498" s="552">
        <v>41791</v>
      </c>
      <c r="O498" s="205">
        <f t="shared" si="40"/>
        <v>0</v>
      </c>
      <c r="P498" s="555">
        <f>(1+$R$1)*Table33[[#This Row],[Hours]]</f>
        <v>0</v>
      </c>
      <c r="Q498" s="207">
        <f t="shared" si="39"/>
        <v>0</v>
      </c>
      <c r="R498" s="208">
        <f t="shared" si="41"/>
        <v>0</v>
      </c>
      <c r="S498" s="208">
        <f t="shared" si="42"/>
        <v>0</v>
      </c>
      <c r="T498" s="208" t="str">
        <f t="shared" si="43"/>
        <v/>
      </c>
      <c r="U498" s="195">
        <f>Table33[[#This Row],[gal/100ft]]*Table33[[#This Row],[QTY]]/100</f>
        <v>0</v>
      </c>
      <c r="V498" s="195"/>
      <c r="W498" s="195"/>
      <c r="X498" s="195"/>
      <c r="Y498" s="195"/>
    </row>
    <row r="499" spans="1:25" ht="12.75" x14ac:dyDescent="0.2">
      <c r="A499" s="195" t="s">
        <v>602</v>
      </c>
      <c r="B499" s="536" t="s">
        <v>874</v>
      </c>
      <c r="C499" s="195" t="s">
        <v>642</v>
      </c>
      <c r="D499" s="195" t="s">
        <v>640</v>
      </c>
      <c r="E499" s="288"/>
      <c r="F499" s="204">
        <v>4</v>
      </c>
      <c r="G499" s="204" t="s">
        <v>576</v>
      </c>
      <c r="H499" s="197">
        <v>1.5</v>
      </c>
      <c r="I499" s="198"/>
      <c r="J499" s="205">
        <v>2.88</v>
      </c>
      <c r="K499" s="287">
        <v>2.88</v>
      </c>
      <c r="L499" s="206">
        <v>7.84</v>
      </c>
      <c r="M499" s="286">
        <v>7.84</v>
      </c>
      <c r="N499" s="552">
        <v>41791</v>
      </c>
      <c r="O499" s="205">
        <f t="shared" si="40"/>
        <v>0</v>
      </c>
      <c r="P499" s="555">
        <f>(1+$R$1)*Table33[[#This Row],[Hours]]</f>
        <v>0</v>
      </c>
      <c r="Q499" s="207">
        <f t="shared" si="39"/>
        <v>0</v>
      </c>
      <c r="R499" s="208">
        <f t="shared" si="41"/>
        <v>0</v>
      </c>
      <c r="S499" s="208">
        <f t="shared" si="42"/>
        <v>0</v>
      </c>
      <c r="T499" s="208" t="str">
        <f t="shared" si="43"/>
        <v/>
      </c>
      <c r="U499" s="195">
        <f>Table33[[#This Row],[gal/100ft]]*Table33[[#This Row],[QTY]]/100</f>
        <v>0</v>
      </c>
      <c r="V499" s="195"/>
      <c r="W499" s="195"/>
      <c r="X499" s="195"/>
      <c r="Y499" s="195"/>
    </row>
    <row r="500" spans="1:25" ht="12.75" x14ac:dyDescent="0.2">
      <c r="A500" s="195" t="s">
        <v>602</v>
      </c>
      <c r="B500" s="536" t="s">
        <v>874</v>
      </c>
      <c r="C500" s="195" t="s">
        <v>642</v>
      </c>
      <c r="D500" s="195" t="s">
        <v>640</v>
      </c>
      <c r="E500" s="288"/>
      <c r="F500" s="204">
        <v>4</v>
      </c>
      <c r="G500" s="204" t="s">
        <v>576</v>
      </c>
      <c r="H500" s="197">
        <v>2</v>
      </c>
      <c r="I500" s="198"/>
      <c r="J500" s="205">
        <v>3.74</v>
      </c>
      <c r="K500" s="287">
        <v>3.74</v>
      </c>
      <c r="L500" s="206">
        <v>8.92</v>
      </c>
      <c r="M500" s="286">
        <v>8.92</v>
      </c>
      <c r="N500" s="552">
        <v>41791</v>
      </c>
      <c r="O500" s="205">
        <f t="shared" si="40"/>
        <v>0</v>
      </c>
      <c r="P500" s="555">
        <f>(1+$R$1)*Table33[[#This Row],[Hours]]</f>
        <v>0</v>
      </c>
      <c r="Q500" s="207">
        <f t="shared" si="39"/>
        <v>0</v>
      </c>
      <c r="R500" s="208">
        <f t="shared" si="41"/>
        <v>0</v>
      </c>
      <c r="S500" s="208">
        <f t="shared" si="42"/>
        <v>0</v>
      </c>
      <c r="T500" s="208" t="str">
        <f t="shared" si="43"/>
        <v/>
      </c>
      <c r="U500" s="195">
        <f>Table33[[#This Row],[gal/100ft]]*Table33[[#This Row],[QTY]]/100</f>
        <v>0</v>
      </c>
      <c r="V500" s="195"/>
      <c r="W500" s="195"/>
      <c r="X500" s="195"/>
      <c r="Y500" s="195"/>
    </row>
    <row r="501" spans="1:25" ht="12.75" x14ac:dyDescent="0.2">
      <c r="A501" s="195" t="s">
        <v>602</v>
      </c>
      <c r="B501" s="536" t="s">
        <v>874</v>
      </c>
      <c r="C501" s="195" t="s">
        <v>642</v>
      </c>
      <c r="D501" s="195" t="s">
        <v>640</v>
      </c>
      <c r="E501" s="288"/>
      <c r="F501" s="204">
        <v>4</v>
      </c>
      <c r="G501" s="204" t="s">
        <v>576</v>
      </c>
      <c r="H501" s="197">
        <v>2.5</v>
      </c>
      <c r="I501" s="198"/>
      <c r="J501" s="205">
        <v>4.68</v>
      </c>
      <c r="K501" s="287">
        <v>4.68</v>
      </c>
      <c r="L501" s="206"/>
      <c r="M501" s="286"/>
      <c r="N501" s="552">
        <v>41791</v>
      </c>
      <c r="O501" s="205">
        <f t="shared" si="40"/>
        <v>0</v>
      </c>
      <c r="P501" s="555">
        <f>(1+$R$1)*Table33[[#This Row],[Hours]]</f>
        <v>0</v>
      </c>
      <c r="Q501" s="207">
        <f t="shared" si="39"/>
        <v>0</v>
      </c>
      <c r="R501" s="208">
        <f t="shared" si="41"/>
        <v>0</v>
      </c>
      <c r="S501" s="208">
        <f t="shared" si="42"/>
        <v>0</v>
      </c>
      <c r="T501" s="208" t="str">
        <f t="shared" si="43"/>
        <v/>
      </c>
      <c r="U501" s="195">
        <f>Table33[[#This Row],[gal/100ft]]*Table33[[#This Row],[QTY]]/100</f>
        <v>0</v>
      </c>
      <c r="V501" s="195"/>
      <c r="W501" s="195"/>
      <c r="X501" s="195"/>
      <c r="Y501" s="195"/>
    </row>
    <row r="502" spans="1:25" ht="12.75" x14ac:dyDescent="0.2">
      <c r="A502" s="195" t="s">
        <v>602</v>
      </c>
      <c r="B502" s="536" t="s">
        <v>874</v>
      </c>
      <c r="C502" s="195" t="s">
        <v>642</v>
      </c>
      <c r="D502" s="195" t="s">
        <v>640</v>
      </c>
      <c r="E502" s="288"/>
      <c r="F502" s="204">
        <v>4</v>
      </c>
      <c r="G502" s="204" t="s">
        <v>576</v>
      </c>
      <c r="H502" s="197">
        <v>3</v>
      </c>
      <c r="I502" s="198"/>
      <c r="J502" s="205">
        <v>5.07</v>
      </c>
      <c r="K502" s="287">
        <v>5.07</v>
      </c>
      <c r="L502" s="206"/>
      <c r="M502" s="286"/>
      <c r="N502" s="552">
        <v>41791</v>
      </c>
      <c r="O502" s="205">
        <f t="shared" si="40"/>
        <v>0</v>
      </c>
      <c r="P502" s="555">
        <f>(1+$R$1)*Table33[[#This Row],[Hours]]</f>
        <v>0</v>
      </c>
      <c r="Q502" s="207">
        <f t="shared" si="39"/>
        <v>0</v>
      </c>
      <c r="R502" s="208">
        <f t="shared" si="41"/>
        <v>0</v>
      </c>
      <c r="S502" s="208">
        <f t="shared" si="42"/>
        <v>0</v>
      </c>
      <c r="T502" s="208" t="str">
        <f t="shared" si="43"/>
        <v/>
      </c>
      <c r="U502" s="195">
        <f>Table33[[#This Row],[gal/100ft]]*Table33[[#This Row],[QTY]]/100</f>
        <v>0</v>
      </c>
      <c r="V502" s="195"/>
      <c r="W502" s="195"/>
      <c r="X502" s="195"/>
      <c r="Y502" s="195"/>
    </row>
    <row r="503" spans="1:25" ht="12.75" x14ac:dyDescent="0.2">
      <c r="A503" s="195" t="s">
        <v>602</v>
      </c>
      <c r="B503" s="536" t="s">
        <v>874</v>
      </c>
      <c r="C503" s="195" t="s">
        <v>642</v>
      </c>
      <c r="D503" s="195" t="s">
        <v>640</v>
      </c>
      <c r="E503" s="288"/>
      <c r="F503" s="204">
        <v>5</v>
      </c>
      <c r="G503" s="204" t="s">
        <v>576</v>
      </c>
      <c r="H503" s="197" t="s">
        <v>596</v>
      </c>
      <c r="I503" s="198"/>
      <c r="J503" s="205">
        <v>1.06</v>
      </c>
      <c r="K503" s="287">
        <v>1.06</v>
      </c>
      <c r="L503" s="206">
        <v>3.68</v>
      </c>
      <c r="M503" s="286">
        <v>3.68</v>
      </c>
      <c r="N503" s="552">
        <v>41791</v>
      </c>
      <c r="O503" s="205">
        <f t="shared" si="40"/>
        <v>0</v>
      </c>
      <c r="P503" s="555">
        <f>(1+$R$1)*Table33[[#This Row],[Hours]]</f>
        <v>0</v>
      </c>
      <c r="Q503" s="207">
        <f t="shared" si="39"/>
        <v>0</v>
      </c>
      <c r="R503" s="208">
        <f t="shared" si="41"/>
        <v>0</v>
      </c>
      <c r="S503" s="208">
        <f t="shared" si="42"/>
        <v>0</v>
      </c>
      <c r="T503" s="208" t="str">
        <f t="shared" si="43"/>
        <v/>
      </c>
      <c r="U503" s="195">
        <f>Table33[[#This Row],[gal/100ft]]*Table33[[#This Row],[QTY]]/100</f>
        <v>0</v>
      </c>
      <c r="V503" s="195"/>
      <c r="W503" s="195"/>
      <c r="X503" s="195"/>
      <c r="Y503" s="195"/>
    </row>
    <row r="504" spans="1:25" ht="12.75" x14ac:dyDescent="0.2">
      <c r="A504" s="195" t="s">
        <v>602</v>
      </c>
      <c r="B504" s="536" t="s">
        <v>874</v>
      </c>
      <c r="C504" s="195" t="s">
        <v>642</v>
      </c>
      <c r="D504" s="195" t="s">
        <v>640</v>
      </c>
      <c r="E504" s="288"/>
      <c r="F504" s="204">
        <v>5</v>
      </c>
      <c r="G504" s="204" t="s">
        <v>576</v>
      </c>
      <c r="H504" s="197" t="s">
        <v>641</v>
      </c>
      <c r="I504" s="198"/>
      <c r="J504" s="205">
        <v>1.52</v>
      </c>
      <c r="K504" s="287">
        <v>1.52</v>
      </c>
      <c r="L504" s="206">
        <v>4.24</v>
      </c>
      <c r="M504" s="286">
        <v>4.24</v>
      </c>
      <c r="N504" s="552">
        <v>41791</v>
      </c>
      <c r="O504" s="205">
        <f t="shared" si="40"/>
        <v>0</v>
      </c>
      <c r="P504" s="555">
        <f>(1+$R$1)*Table33[[#This Row],[Hours]]</f>
        <v>0</v>
      </c>
      <c r="Q504" s="207">
        <f t="shared" si="39"/>
        <v>0</v>
      </c>
      <c r="R504" s="208">
        <f t="shared" si="41"/>
        <v>0</v>
      </c>
      <c r="S504" s="208">
        <f t="shared" si="42"/>
        <v>0</v>
      </c>
      <c r="T504" s="208" t="str">
        <f t="shared" si="43"/>
        <v/>
      </c>
      <c r="U504" s="195">
        <f>Table33[[#This Row],[gal/100ft]]*Table33[[#This Row],[QTY]]/100</f>
        <v>0</v>
      </c>
      <c r="V504" s="195"/>
      <c r="W504" s="195"/>
      <c r="X504" s="195"/>
      <c r="Y504" s="195"/>
    </row>
    <row r="505" spans="1:25" ht="12.75" x14ac:dyDescent="0.2">
      <c r="A505" s="195" t="s">
        <v>602</v>
      </c>
      <c r="B505" s="536" t="s">
        <v>874</v>
      </c>
      <c r="C505" s="195" t="s">
        <v>642</v>
      </c>
      <c r="D505" s="195" t="s">
        <v>640</v>
      </c>
      <c r="E505" s="288"/>
      <c r="F505" s="204">
        <v>5</v>
      </c>
      <c r="G505" s="204" t="s">
        <v>576</v>
      </c>
      <c r="H505" s="197">
        <v>1</v>
      </c>
      <c r="I505" s="198"/>
      <c r="J505" s="205">
        <v>1.98</v>
      </c>
      <c r="K505" s="287">
        <v>1.98</v>
      </c>
      <c r="L505" s="206">
        <v>4.9400000000000004</v>
      </c>
      <c r="M505" s="286">
        <v>4.9400000000000004</v>
      </c>
      <c r="N505" s="552">
        <v>41791</v>
      </c>
      <c r="O505" s="205">
        <f t="shared" si="40"/>
        <v>0</v>
      </c>
      <c r="P505" s="555">
        <f>(1+$R$1)*Table33[[#This Row],[Hours]]</f>
        <v>0</v>
      </c>
      <c r="Q505" s="207">
        <f t="shared" si="39"/>
        <v>0</v>
      </c>
      <c r="R505" s="208">
        <f t="shared" si="41"/>
        <v>0</v>
      </c>
      <c r="S505" s="208">
        <f t="shared" si="42"/>
        <v>0</v>
      </c>
      <c r="T505" s="208" t="str">
        <f t="shared" si="43"/>
        <v/>
      </c>
      <c r="U505" s="195">
        <f>Table33[[#This Row],[gal/100ft]]*Table33[[#This Row],[QTY]]/100</f>
        <v>0</v>
      </c>
      <c r="V505" s="195"/>
      <c r="W505" s="195"/>
      <c r="X505" s="195"/>
      <c r="Y505" s="195"/>
    </row>
    <row r="506" spans="1:25" ht="12.75" x14ac:dyDescent="0.2">
      <c r="A506" s="195" t="s">
        <v>602</v>
      </c>
      <c r="B506" s="536" t="s">
        <v>874</v>
      </c>
      <c r="C506" s="195" t="s">
        <v>642</v>
      </c>
      <c r="D506" s="195" t="s">
        <v>640</v>
      </c>
      <c r="E506" s="288"/>
      <c r="F506" s="204">
        <v>5</v>
      </c>
      <c r="G506" s="204" t="s">
        <v>576</v>
      </c>
      <c r="H506" s="197">
        <v>1.25</v>
      </c>
      <c r="I506" s="198"/>
      <c r="J506" s="205">
        <v>2.4500000000000002</v>
      </c>
      <c r="K506" s="287">
        <v>2.4500000000000002</v>
      </c>
      <c r="L506" s="206">
        <v>7.84</v>
      </c>
      <c r="M506" s="286">
        <v>7.84</v>
      </c>
      <c r="N506" s="552">
        <v>41791</v>
      </c>
      <c r="O506" s="205">
        <f t="shared" si="40"/>
        <v>0</v>
      </c>
      <c r="P506" s="555">
        <f>(1+$R$1)*Table33[[#This Row],[Hours]]</f>
        <v>0</v>
      </c>
      <c r="Q506" s="207">
        <f t="shared" si="39"/>
        <v>0</v>
      </c>
      <c r="R506" s="208">
        <f t="shared" si="41"/>
        <v>0</v>
      </c>
      <c r="S506" s="208">
        <f t="shared" si="42"/>
        <v>0</v>
      </c>
      <c r="T506" s="208" t="str">
        <f t="shared" si="43"/>
        <v/>
      </c>
      <c r="U506" s="195">
        <f>Table33[[#This Row],[gal/100ft]]*Table33[[#This Row],[QTY]]/100</f>
        <v>0</v>
      </c>
      <c r="V506" s="195"/>
      <c r="W506" s="195"/>
      <c r="X506" s="195"/>
      <c r="Y506" s="195"/>
    </row>
    <row r="507" spans="1:25" ht="12.75" x14ac:dyDescent="0.2">
      <c r="A507" s="195" t="s">
        <v>602</v>
      </c>
      <c r="B507" s="536" t="s">
        <v>874</v>
      </c>
      <c r="C507" s="195" t="s">
        <v>642</v>
      </c>
      <c r="D507" s="195" t="s">
        <v>640</v>
      </c>
      <c r="E507" s="288"/>
      <c r="F507" s="204">
        <v>5</v>
      </c>
      <c r="G507" s="204" t="s">
        <v>576</v>
      </c>
      <c r="H507" s="197">
        <v>1.5</v>
      </c>
      <c r="I507" s="198"/>
      <c r="J507" s="205">
        <v>2.88</v>
      </c>
      <c r="K507" s="287">
        <v>2.88</v>
      </c>
      <c r="L507" s="206">
        <v>7.84</v>
      </c>
      <c r="M507" s="286">
        <v>7.84</v>
      </c>
      <c r="N507" s="552">
        <v>41791</v>
      </c>
      <c r="O507" s="205">
        <f t="shared" si="40"/>
        <v>0</v>
      </c>
      <c r="P507" s="555">
        <f>(1+$R$1)*Table33[[#This Row],[Hours]]</f>
        <v>0</v>
      </c>
      <c r="Q507" s="207">
        <f t="shared" si="39"/>
        <v>0</v>
      </c>
      <c r="R507" s="208">
        <f t="shared" si="41"/>
        <v>0</v>
      </c>
      <c r="S507" s="208">
        <f t="shared" si="42"/>
        <v>0</v>
      </c>
      <c r="T507" s="208" t="str">
        <f t="shared" si="43"/>
        <v/>
      </c>
      <c r="U507" s="195">
        <f>Table33[[#This Row],[gal/100ft]]*Table33[[#This Row],[QTY]]/100</f>
        <v>0</v>
      </c>
      <c r="V507" s="195"/>
      <c r="W507" s="195"/>
      <c r="X507" s="195"/>
      <c r="Y507" s="195"/>
    </row>
    <row r="508" spans="1:25" ht="12.75" x14ac:dyDescent="0.2">
      <c r="A508" s="195" t="s">
        <v>602</v>
      </c>
      <c r="B508" s="536" t="s">
        <v>874</v>
      </c>
      <c r="C508" s="195" t="s">
        <v>642</v>
      </c>
      <c r="D508" s="195" t="s">
        <v>640</v>
      </c>
      <c r="E508" s="288"/>
      <c r="F508" s="204">
        <v>5</v>
      </c>
      <c r="G508" s="204" t="s">
        <v>576</v>
      </c>
      <c r="H508" s="197">
        <v>2</v>
      </c>
      <c r="I508" s="198"/>
      <c r="J508" s="205">
        <v>3.74</v>
      </c>
      <c r="K508" s="287">
        <v>3.74</v>
      </c>
      <c r="L508" s="206">
        <v>8.92</v>
      </c>
      <c r="M508" s="286">
        <v>8.92</v>
      </c>
      <c r="N508" s="552">
        <v>41791</v>
      </c>
      <c r="O508" s="205">
        <f t="shared" si="40"/>
        <v>0</v>
      </c>
      <c r="P508" s="555">
        <f>(1+$R$1)*Table33[[#This Row],[Hours]]</f>
        <v>0</v>
      </c>
      <c r="Q508" s="207">
        <f t="shared" si="39"/>
        <v>0</v>
      </c>
      <c r="R508" s="208">
        <f t="shared" si="41"/>
        <v>0</v>
      </c>
      <c r="S508" s="208">
        <f t="shared" si="42"/>
        <v>0</v>
      </c>
      <c r="T508" s="208" t="str">
        <f t="shared" si="43"/>
        <v/>
      </c>
      <c r="U508" s="195">
        <f>Table33[[#This Row],[gal/100ft]]*Table33[[#This Row],[QTY]]/100</f>
        <v>0</v>
      </c>
      <c r="V508" s="195"/>
      <c r="W508" s="195"/>
      <c r="X508" s="195"/>
      <c r="Y508" s="195"/>
    </row>
    <row r="509" spans="1:25" ht="12.75" x14ac:dyDescent="0.2">
      <c r="A509" s="195" t="s">
        <v>602</v>
      </c>
      <c r="B509" s="536" t="s">
        <v>874</v>
      </c>
      <c r="C509" s="195" t="s">
        <v>642</v>
      </c>
      <c r="D509" s="195" t="s">
        <v>640</v>
      </c>
      <c r="E509" s="288"/>
      <c r="F509" s="204">
        <v>6</v>
      </c>
      <c r="G509" s="204" t="s">
        <v>576</v>
      </c>
      <c r="H509" s="197" t="s">
        <v>596</v>
      </c>
      <c r="I509" s="198"/>
      <c r="J509" s="205">
        <v>1.06</v>
      </c>
      <c r="K509" s="287">
        <v>1.06</v>
      </c>
      <c r="L509" s="206">
        <v>3.68</v>
      </c>
      <c r="M509" s="286">
        <v>3.68</v>
      </c>
      <c r="N509" s="552">
        <v>41791</v>
      </c>
      <c r="O509" s="205">
        <f t="shared" si="40"/>
        <v>0</v>
      </c>
      <c r="P509" s="555">
        <f>(1+$R$1)*Table33[[#This Row],[Hours]]</f>
        <v>0</v>
      </c>
      <c r="Q509" s="207">
        <f t="shared" si="39"/>
        <v>0</v>
      </c>
      <c r="R509" s="208">
        <f t="shared" si="41"/>
        <v>0</v>
      </c>
      <c r="S509" s="208">
        <f t="shared" si="42"/>
        <v>0</v>
      </c>
      <c r="T509" s="208" t="str">
        <f t="shared" si="43"/>
        <v/>
      </c>
      <c r="U509" s="195">
        <f>Table33[[#This Row],[gal/100ft]]*Table33[[#This Row],[QTY]]/100</f>
        <v>0</v>
      </c>
      <c r="V509" s="195"/>
      <c r="W509" s="195"/>
      <c r="X509" s="195"/>
      <c r="Y509" s="195"/>
    </row>
    <row r="510" spans="1:25" ht="12.75" x14ac:dyDescent="0.2">
      <c r="A510" s="195" t="s">
        <v>602</v>
      </c>
      <c r="B510" s="536" t="s">
        <v>874</v>
      </c>
      <c r="C510" s="195" t="s">
        <v>642</v>
      </c>
      <c r="D510" s="195" t="s">
        <v>640</v>
      </c>
      <c r="E510" s="288"/>
      <c r="F510" s="204">
        <v>6</v>
      </c>
      <c r="G510" s="204" t="s">
        <v>576</v>
      </c>
      <c r="H510" s="197" t="s">
        <v>641</v>
      </c>
      <c r="I510" s="198"/>
      <c r="J510" s="205">
        <v>1.52</v>
      </c>
      <c r="K510" s="287">
        <v>1.52</v>
      </c>
      <c r="L510" s="206">
        <v>4.24</v>
      </c>
      <c r="M510" s="286">
        <v>4.24</v>
      </c>
      <c r="N510" s="552">
        <v>41791</v>
      </c>
      <c r="O510" s="205">
        <f t="shared" si="40"/>
        <v>0</v>
      </c>
      <c r="P510" s="555">
        <f>(1+$R$1)*Table33[[#This Row],[Hours]]</f>
        <v>0</v>
      </c>
      <c r="Q510" s="207">
        <f t="shared" si="39"/>
        <v>0</v>
      </c>
      <c r="R510" s="208">
        <f t="shared" si="41"/>
        <v>0</v>
      </c>
      <c r="S510" s="208">
        <f t="shared" si="42"/>
        <v>0</v>
      </c>
      <c r="T510" s="208" t="str">
        <f t="shared" si="43"/>
        <v/>
      </c>
      <c r="U510" s="195">
        <f>Table33[[#This Row],[gal/100ft]]*Table33[[#This Row],[QTY]]/100</f>
        <v>0</v>
      </c>
      <c r="V510" s="195"/>
      <c r="W510" s="195"/>
      <c r="X510" s="195"/>
      <c r="Y510" s="195"/>
    </row>
    <row r="511" spans="1:25" ht="12.75" x14ac:dyDescent="0.2">
      <c r="A511" s="195" t="s">
        <v>602</v>
      </c>
      <c r="B511" s="536" t="s">
        <v>874</v>
      </c>
      <c r="C511" s="195" t="s">
        <v>642</v>
      </c>
      <c r="D511" s="195" t="s">
        <v>640</v>
      </c>
      <c r="E511" s="288"/>
      <c r="F511" s="204">
        <v>6</v>
      </c>
      <c r="G511" s="204" t="s">
        <v>576</v>
      </c>
      <c r="H511" s="197">
        <v>1</v>
      </c>
      <c r="I511" s="198"/>
      <c r="J511" s="205">
        <v>1.98</v>
      </c>
      <c r="K511" s="287">
        <v>1.98</v>
      </c>
      <c r="L511" s="206">
        <v>4.9400000000000004</v>
      </c>
      <c r="M511" s="286">
        <v>4.9400000000000004</v>
      </c>
      <c r="N511" s="552">
        <v>41791</v>
      </c>
      <c r="O511" s="205">
        <f t="shared" si="40"/>
        <v>0</v>
      </c>
      <c r="P511" s="555">
        <f>(1+$R$1)*Table33[[#This Row],[Hours]]</f>
        <v>0</v>
      </c>
      <c r="Q511" s="207">
        <f t="shared" si="39"/>
        <v>0</v>
      </c>
      <c r="R511" s="208">
        <f t="shared" si="41"/>
        <v>0</v>
      </c>
      <c r="S511" s="208">
        <f t="shared" si="42"/>
        <v>0</v>
      </c>
      <c r="T511" s="208" t="str">
        <f t="shared" si="43"/>
        <v/>
      </c>
      <c r="U511" s="195">
        <f>Table33[[#This Row],[gal/100ft]]*Table33[[#This Row],[QTY]]/100</f>
        <v>0</v>
      </c>
      <c r="V511" s="195"/>
      <c r="W511" s="195"/>
      <c r="X511" s="195"/>
      <c r="Y511" s="195"/>
    </row>
    <row r="512" spans="1:25" ht="12.75" x14ac:dyDescent="0.2">
      <c r="A512" s="195" t="s">
        <v>602</v>
      </c>
      <c r="B512" s="536" t="s">
        <v>874</v>
      </c>
      <c r="C512" s="195" t="s">
        <v>642</v>
      </c>
      <c r="D512" s="195" t="s">
        <v>640</v>
      </c>
      <c r="E512" s="288"/>
      <c r="F512" s="204">
        <v>6</v>
      </c>
      <c r="G512" s="204" t="s">
        <v>576</v>
      </c>
      <c r="H512" s="197">
        <v>1.25</v>
      </c>
      <c r="I512" s="198"/>
      <c r="J512" s="205">
        <v>2.4500000000000002</v>
      </c>
      <c r="K512" s="287">
        <v>2.4500000000000002</v>
      </c>
      <c r="L512" s="206">
        <v>7.84</v>
      </c>
      <c r="M512" s="286">
        <v>7.84</v>
      </c>
      <c r="N512" s="552">
        <v>41791</v>
      </c>
      <c r="O512" s="205">
        <f t="shared" si="40"/>
        <v>0</v>
      </c>
      <c r="P512" s="555">
        <f>(1+$R$1)*Table33[[#This Row],[Hours]]</f>
        <v>0</v>
      </c>
      <c r="Q512" s="207">
        <f t="shared" si="39"/>
        <v>0</v>
      </c>
      <c r="R512" s="208">
        <f t="shared" si="41"/>
        <v>0</v>
      </c>
      <c r="S512" s="208">
        <f t="shared" si="42"/>
        <v>0</v>
      </c>
      <c r="T512" s="208" t="str">
        <f t="shared" si="43"/>
        <v/>
      </c>
      <c r="U512" s="195">
        <f>Table33[[#This Row],[gal/100ft]]*Table33[[#This Row],[QTY]]/100</f>
        <v>0</v>
      </c>
      <c r="V512" s="195"/>
      <c r="W512" s="195"/>
      <c r="X512" s="195"/>
      <c r="Y512" s="195"/>
    </row>
    <row r="513" spans="1:25" ht="12.75" x14ac:dyDescent="0.2">
      <c r="A513" s="195" t="s">
        <v>602</v>
      </c>
      <c r="B513" s="536" t="s">
        <v>874</v>
      </c>
      <c r="C513" s="195" t="s">
        <v>642</v>
      </c>
      <c r="D513" s="195" t="s">
        <v>640</v>
      </c>
      <c r="E513" s="288"/>
      <c r="F513" s="204">
        <v>6</v>
      </c>
      <c r="G513" s="204" t="s">
        <v>576</v>
      </c>
      <c r="H513" s="197">
        <v>1.5</v>
      </c>
      <c r="I513" s="198"/>
      <c r="J513" s="205">
        <v>2.88</v>
      </c>
      <c r="K513" s="287">
        <v>2.88</v>
      </c>
      <c r="L513" s="206">
        <v>7.84</v>
      </c>
      <c r="M513" s="286">
        <v>7.84</v>
      </c>
      <c r="N513" s="552">
        <v>41791</v>
      </c>
      <c r="O513" s="205">
        <f t="shared" si="40"/>
        <v>0</v>
      </c>
      <c r="P513" s="555">
        <f>(1+$R$1)*Table33[[#This Row],[Hours]]</f>
        <v>0</v>
      </c>
      <c r="Q513" s="207">
        <f t="shared" si="39"/>
        <v>0</v>
      </c>
      <c r="R513" s="208">
        <f t="shared" si="41"/>
        <v>0</v>
      </c>
      <c r="S513" s="208">
        <f t="shared" si="42"/>
        <v>0</v>
      </c>
      <c r="T513" s="208" t="str">
        <f t="shared" si="43"/>
        <v/>
      </c>
      <c r="U513" s="195">
        <f>Table33[[#This Row],[gal/100ft]]*Table33[[#This Row],[QTY]]/100</f>
        <v>0</v>
      </c>
      <c r="V513" s="195"/>
      <c r="W513" s="195"/>
      <c r="X513" s="195"/>
      <c r="Y513" s="195"/>
    </row>
    <row r="514" spans="1:25" ht="12.75" x14ac:dyDescent="0.2">
      <c r="A514" s="195" t="s">
        <v>602</v>
      </c>
      <c r="B514" s="536" t="s">
        <v>874</v>
      </c>
      <c r="C514" s="195" t="s">
        <v>642</v>
      </c>
      <c r="D514" s="195" t="s">
        <v>640</v>
      </c>
      <c r="E514" s="288"/>
      <c r="F514" s="204">
        <v>6</v>
      </c>
      <c r="G514" s="204" t="s">
        <v>576</v>
      </c>
      <c r="H514" s="197">
        <v>2</v>
      </c>
      <c r="I514" s="198"/>
      <c r="J514" s="205">
        <v>3.74</v>
      </c>
      <c r="K514" s="287">
        <v>3.74</v>
      </c>
      <c r="L514" s="206">
        <v>8.92</v>
      </c>
      <c r="M514" s="286">
        <v>8.92</v>
      </c>
      <c r="N514" s="552">
        <v>41791</v>
      </c>
      <c r="O514" s="205">
        <f t="shared" si="40"/>
        <v>0</v>
      </c>
      <c r="P514" s="555">
        <f>(1+$R$1)*Table33[[#This Row],[Hours]]</f>
        <v>0</v>
      </c>
      <c r="Q514" s="207">
        <f t="shared" si="39"/>
        <v>0</v>
      </c>
      <c r="R514" s="208">
        <f t="shared" si="41"/>
        <v>0</v>
      </c>
      <c r="S514" s="208">
        <f t="shared" si="42"/>
        <v>0</v>
      </c>
      <c r="T514" s="208" t="str">
        <f t="shared" si="43"/>
        <v/>
      </c>
      <c r="U514" s="195">
        <f>Table33[[#This Row],[gal/100ft]]*Table33[[#This Row],[QTY]]/100</f>
        <v>0</v>
      </c>
      <c r="V514" s="195"/>
      <c r="W514" s="195"/>
      <c r="X514" s="195"/>
      <c r="Y514" s="195"/>
    </row>
    <row r="515" spans="1:25" ht="12.75" x14ac:dyDescent="0.2">
      <c r="A515" s="195" t="s">
        <v>602</v>
      </c>
      <c r="B515" s="536" t="s">
        <v>874</v>
      </c>
      <c r="C515" s="195" t="s">
        <v>642</v>
      </c>
      <c r="D515" s="195" t="s">
        <v>640</v>
      </c>
      <c r="E515" s="288"/>
      <c r="F515" s="204">
        <v>8</v>
      </c>
      <c r="G515" s="204" t="s">
        <v>576</v>
      </c>
      <c r="H515" s="197" t="s">
        <v>596</v>
      </c>
      <c r="I515" s="198"/>
      <c r="J515" s="205">
        <v>1.06</v>
      </c>
      <c r="K515" s="287">
        <v>1.06</v>
      </c>
      <c r="L515" s="206">
        <v>3.68</v>
      </c>
      <c r="M515" s="286">
        <v>3.68</v>
      </c>
      <c r="N515" s="552">
        <v>41791</v>
      </c>
      <c r="O515" s="205">
        <f t="shared" si="40"/>
        <v>0</v>
      </c>
      <c r="P515" s="555">
        <f>(1+$R$1)*Table33[[#This Row],[Hours]]</f>
        <v>0</v>
      </c>
      <c r="Q515" s="207">
        <f t="shared" si="39"/>
        <v>0</v>
      </c>
      <c r="R515" s="208">
        <f t="shared" si="41"/>
        <v>0</v>
      </c>
      <c r="S515" s="208">
        <f t="shared" si="42"/>
        <v>0</v>
      </c>
      <c r="T515" s="208" t="str">
        <f t="shared" si="43"/>
        <v/>
      </c>
      <c r="U515" s="195">
        <f>Table33[[#This Row],[gal/100ft]]*Table33[[#This Row],[QTY]]/100</f>
        <v>0</v>
      </c>
      <c r="V515" s="195"/>
      <c r="W515" s="195"/>
      <c r="X515" s="195"/>
      <c r="Y515" s="195"/>
    </row>
    <row r="516" spans="1:25" ht="12.75" x14ac:dyDescent="0.2">
      <c r="A516" s="195" t="s">
        <v>602</v>
      </c>
      <c r="B516" s="536" t="s">
        <v>874</v>
      </c>
      <c r="C516" s="195" t="s">
        <v>642</v>
      </c>
      <c r="D516" s="195" t="s">
        <v>640</v>
      </c>
      <c r="E516" s="288"/>
      <c r="F516" s="204">
        <v>8</v>
      </c>
      <c r="G516" s="204" t="s">
        <v>576</v>
      </c>
      <c r="H516" s="197" t="s">
        <v>641</v>
      </c>
      <c r="I516" s="198"/>
      <c r="J516" s="205">
        <v>1.52</v>
      </c>
      <c r="K516" s="287">
        <v>1.52</v>
      </c>
      <c r="L516" s="206">
        <v>4.24</v>
      </c>
      <c r="M516" s="286">
        <v>4.24</v>
      </c>
      <c r="N516" s="552">
        <v>41791</v>
      </c>
      <c r="O516" s="205">
        <f t="shared" si="40"/>
        <v>0</v>
      </c>
      <c r="P516" s="555">
        <f>(1+$R$1)*Table33[[#This Row],[Hours]]</f>
        <v>0</v>
      </c>
      <c r="Q516" s="207">
        <f t="shared" si="39"/>
        <v>0</v>
      </c>
      <c r="R516" s="208">
        <f t="shared" si="41"/>
        <v>0</v>
      </c>
      <c r="S516" s="208">
        <f t="shared" si="42"/>
        <v>0</v>
      </c>
      <c r="T516" s="208" t="str">
        <f t="shared" si="43"/>
        <v/>
      </c>
      <c r="U516" s="195">
        <f>Table33[[#This Row],[gal/100ft]]*Table33[[#This Row],[QTY]]/100</f>
        <v>0</v>
      </c>
      <c r="V516" s="195"/>
      <c r="W516" s="195"/>
      <c r="X516" s="195"/>
      <c r="Y516" s="195"/>
    </row>
    <row r="517" spans="1:25" ht="12.75" x14ac:dyDescent="0.2">
      <c r="A517" s="195" t="s">
        <v>602</v>
      </c>
      <c r="B517" s="536" t="s">
        <v>874</v>
      </c>
      <c r="C517" s="195" t="s">
        <v>642</v>
      </c>
      <c r="D517" s="195" t="s">
        <v>640</v>
      </c>
      <c r="E517" s="288"/>
      <c r="F517" s="204">
        <v>8</v>
      </c>
      <c r="G517" s="204" t="s">
        <v>576</v>
      </c>
      <c r="H517" s="197">
        <v>1</v>
      </c>
      <c r="I517" s="198"/>
      <c r="J517" s="205">
        <v>1.98</v>
      </c>
      <c r="K517" s="287">
        <v>1.98</v>
      </c>
      <c r="L517" s="206">
        <v>4.9400000000000004</v>
      </c>
      <c r="M517" s="286">
        <v>4.9400000000000004</v>
      </c>
      <c r="N517" s="552">
        <v>41791</v>
      </c>
      <c r="O517" s="205">
        <f t="shared" si="40"/>
        <v>0</v>
      </c>
      <c r="P517" s="555">
        <f>(1+$R$1)*Table33[[#This Row],[Hours]]</f>
        <v>0</v>
      </c>
      <c r="Q517" s="207">
        <f t="shared" si="39"/>
        <v>0</v>
      </c>
      <c r="R517" s="208">
        <f t="shared" si="41"/>
        <v>0</v>
      </c>
      <c r="S517" s="208">
        <f t="shared" si="42"/>
        <v>0</v>
      </c>
      <c r="T517" s="208" t="str">
        <f t="shared" si="43"/>
        <v/>
      </c>
      <c r="U517" s="195">
        <f>Table33[[#This Row],[gal/100ft]]*Table33[[#This Row],[QTY]]/100</f>
        <v>0</v>
      </c>
      <c r="V517" s="195"/>
      <c r="W517" s="195"/>
      <c r="X517" s="195"/>
      <c r="Y517" s="195"/>
    </row>
    <row r="518" spans="1:25" ht="12.75" x14ac:dyDescent="0.2">
      <c r="A518" s="195" t="s">
        <v>602</v>
      </c>
      <c r="B518" s="536" t="s">
        <v>874</v>
      </c>
      <c r="C518" s="195" t="s">
        <v>642</v>
      </c>
      <c r="D518" s="195" t="s">
        <v>640</v>
      </c>
      <c r="E518" s="288"/>
      <c r="F518" s="204">
        <v>8</v>
      </c>
      <c r="G518" s="204" t="s">
        <v>576</v>
      </c>
      <c r="H518" s="197">
        <v>1.25</v>
      </c>
      <c r="I518" s="198"/>
      <c r="J518" s="205">
        <v>2.4500000000000002</v>
      </c>
      <c r="K518" s="287">
        <v>2.4500000000000002</v>
      </c>
      <c r="L518" s="206">
        <v>7.84</v>
      </c>
      <c r="M518" s="286">
        <v>7.84</v>
      </c>
      <c r="N518" s="552">
        <v>41791</v>
      </c>
      <c r="O518" s="205">
        <f t="shared" si="40"/>
        <v>0</v>
      </c>
      <c r="P518" s="555">
        <f>(1+$R$1)*Table33[[#This Row],[Hours]]</f>
        <v>0</v>
      </c>
      <c r="Q518" s="207">
        <f t="shared" si="39"/>
        <v>0</v>
      </c>
      <c r="R518" s="208">
        <f t="shared" si="41"/>
        <v>0</v>
      </c>
      <c r="S518" s="208">
        <f t="shared" si="42"/>
        <v>0</v>
      </c>
      <c r="T518" s="208" t="str">
        <f t="shared" si="43"/>
        <v/>
      </c>
      <c r="U518" s="195">
        <f>Table33[[#This Row],[gal/100ft]]*Table33[[#This Row],[QTY]]/100</f>
        <v>0</v>
      </c>
      <c r="V518" s="195"/>
      <c r="W518" s="195"/>
      <c r="X518" s="195"/>
      <c r="Y518" s="195"/>
    </row>
    <row r="519" spans="1:25" ht="12.75" x14ac:dyDescent="0.2">
      <c r="A519" s="195" t="s">
        <v>602</v>
      </c>
      <c r="B519" s="536" t="s">
        <v>874</v>
      </c>
      <c r="C519" s="195" t="s">
        <v>642</v>
      </c>
      <c r="D519" s="195" t="s">
        <v>640</v>
      </c>
      <c r="E519" s="288"/>
      <c r="F519" s="204">
        <v>8</v>
      </c>
      <c r="G519" s="204" t="s">
        <v>576</v>
      </c>
      <c r="H519" s="197">
        <v>1.5</v>
      </c>
      <c r="I519" s="198"/>
      <c r="J519" s="205">
        <v>2.88</v>
      </c>
      <c r="K519" s="287">
        <v>2.88</v>
      </c>
      <c r="L519" s="206">
        <v>7.84</v>
      </c>
      <c r="M519" s="286">
        <v>7.84</v>
      </c>
      <c r="N519" s="552">
        <v>41791</v>
      </c>
      <c r="O519" s="205">
        <f t="shared" si="40"/>
        <v>0</v>
      </c>
      <c r="P519" s="555">
        <f>(1+$R$1)*Table33[[#This Row],[Hours]]</f>
        <v>0</v>
      </c>
      <c r="Q519" s="207">
        <f t="shared" ref="Q519:Q582" si="44">P519*$O$1</f>
        <v>0</v>
      </c>
      <c r="R519" s="208">
        <f t="shared" si="41"/>
        <v>0</v>
      </c>
      <c r="S519" s="208">
        <f t="shared" si="42"/>
        <v>0</v>
      </c>
      <c r="T519" s="208" t="str">
        <f t="shared" si="43"/>
        <v/>
      </c>
      <c r="U519" s="195">
        <f>Table33[[#This Row],[gal/100ft]]*Table33[[#This Row],[QTY]]/100</f>
        <v>0</v>
      </c>
      <c r="V519" s="195"/>
      <c r="W519" s="195"/>
      <c r="X519" s="195"/>
      <c r="Y519" s="195"/>
    </row>
    <row r="520" spans="1:25" ht="12.75" x14ac:dyDescent="0.2">
      <c r="A520" s="195" t="s">
        <v>602</v>
      </c>
      <c r="B520" s="536" t="s">
        <v>874</v>
      </c>
      <c r="C520" s="195" t="s">
        <v>642</v>
      </c>
      <c r="D520" s="195" t="s">
        <v>640</v>
      </c>
      <c r="E520" s="288"/>
      <c r="F520" s="204">
        <v>8</v>
      </c>
      <c r="G520" s="204" t="s">
        <v>576</v>
      </c>
      <c r="H520" s="197">
        <v>2</v>
      </c>
      <c r="I520" s="198"/>
      <c r="J520" s="205">
        <v>3.74</v>
      </c>
      <c r="K520" s="287">
        <v>3.74</v>
      </c>
      <c r="L520" s="206">
        <v>8.92</v>
      </c>
      <c r="M520" s="286">
        <v>8.92</v>
      </c>
      <c r="N520" s="552">
        <v>41791</v>
      </c>
      <c r="O520" s="205">
        <f t="shared" si="40"/>
        <v>0</v>
      </c>
      <c r="P520" s="555">
        <f>(1+$R$1)*Table33[[#This Row],[Hours]]</f>
        <v>0</v>
      </c>
      <c r="Q520" s="207">
        <f t="shared" si="44"/>
        <v>0</v>
      </c>
      <c r="R520" s="208">
        <f t="shared" si="41"/>
        <v>0</v>
      </c>
      <c r="S520" s="208">
        <f t="shared" si="42"/>
        <v>0</v>
      </c>
      <c r="T520" s="208" t="str">
        <f t="shared" si="43"/>
        <v/>
      </c>
      <c r="U520" s="195">
        <f>Table33[[#This Row],[gal/100ft]]*Table33[[#This Row],[QTY]]/100</f>
        <v>0</v>
      </c>
      <c r="V520" s="195"/>
      <c r="W520" s="195"/>
      <c r="X520" s="195"/>
      <c r="Y520" s="195"/>
    </row>
    <row r="521" spans="1:25" ht="12.75" x14ac:dyDescent="0.2">
      <c r="A521" s="195" t="s">
        <v>602</v>
      </c>
      <c r="B521" s="536" t="s">
        <v>874</v>
      </c>
      <c r="C521" s="195" t="s">
        <v>642</v>
      </c>
      <c r="D521" s="195" t="s">
        <v>640</v>
      </c>
      <c r="E521" s="288"/>
      <c r="F521" s="204">
        <v>10</v>
      </c>
      <c r="G521" s="204" t="s">
        <v>576</v>
      </c>
      <c r="H521" s="197" t="s">
        <v>596</v>
      </c>
      <c r="I521" s="198"/>
      <c r="J521" s="205">
        <v>1.06</v>
      </c>
      <c r="K521" s="287">
        <v>1.06</v>
      </c>
      <c r="L521" s="206">
        <v>3.68</v>
      </c>
      <c r="M521" s="286">
        <v>3.68</v>
      </c>
      <c r="N521" s="552">
        <v>41791</v>
      </c>
      <c r="O521" s="205">
        <f t="shared" si="40"/>
        <v>0</v>
      </c>
      <c r="P521" s="555">
        <f>(1+$R$1)*Table33[[#This Row],[Hours]]</f>
        <v>0</v>
      </c>
      <c r="Q521" s="207">
        <f t="shared" si="44"/>
        <v>0</v>
      </c>
      <c r="R521" s="208">
        <f t="shared" si="41"/>
        <v>0</v>
      </c>
      <c r="S521" s="208">
        <f t="shared" si="42"/>
        <v>0</v>
      </c>
      <c r="T521" s="208" t="str">
        <f t="shared" si="43"/>
        <v/>
      </c>
      <c r="U521" s="195">
        <f>Table33[[#This Row],[gal/100ft]]*Table33[[#This Row],[QTY]]/100</f>
        <v>0</v>
      </c>
      <c r="V521" s="195"/>
      <c r="W521" s="195"/>
      <c r="X521" s="195"/>
      <c r="Y521" s="195"/>
    </row>
    <row r="522" spans="1:25" ht="12.75" x14ac:dyDescent="0.2">
      <c r="A522" s="195" t="s">
        <v>602</v>
      </c>
      <c r="B522" s="536" t="s">
        <v>874</v>
      </c>
      <c r="C522" s="195" t="s">
        <v>642</v>
      </c>
      <c r="D522" s="195" t="s">
        <v>640</v>
      </c>
      <c r="E522" s="288"/>
      <c r="F522" s="204">
        <v>10</v>
      </c>
      <c r="G522" s="204" t="s">
        <v>576</v>
      </c>
      <c r="H522" s="197" t="s">
        <v>641</v>
      </c>
      <c r="I522" s="198"/>
      <c r="J522" s="205">
        <v>1.52</v>
      </c>
      <c r="K522" s="287">
        <v>1.52</v>
      </c>
      <c r="L522" s="206">
        <v>4.24</v>
      </c>
      <c r="M522" s="286">
        <v>4.24</v>
      </c>
      <c r="N522" s="552">
        <v>41791</v>
      </c>
      <c r="O522" s="205">
        <f t="shared" si="40"/>
        <v>0</v>
      </c>
      <c r="P522" s="555">
        <f>(1+$R$1)*Table33[[#This Row],[Hours]]</f>
        <v>0</v>
      </c>
      <c r="Q522" s="207">
        <f t="shared" si="44"/>
        <v>0</v>
      </c>
      <c r="R522" s="208">
        <f t="shared" si="41"/>
        <v>0</v>
      </c>
      <c r="S522" s="208">
        <f t="shared" si="42"/>
        <v>0</v>
      </c>
      <c r="T522" s="208" t="str">
        <f t="shared" si="43"/>
        <v/>
      </c>
      <c r="U522" s="195">
        <f>Table33[[#This Row],[gal/100ft]]*Table33[[#This Row],[QTY]]/100</f>
        <v>0</v>
      </c>
      <c r="V522" s="195"/>
      <c r="W522" s="195"/>
      <c r="X522" s="195"/>
      <c r="Y522" s="195"/>
    </row>
    <row r="523" spans="1:25" ht="12.75" x14ac:dyDescent="0.2">
      <c r="A523" s="195" t="s">
        <v>602</v>
      </c>
      <c r="B523" s="536" t="s">
        <v>874</v>
      </c>
      <c r="C523" s="195" t="s">
        <v>642</v>
      </c>
      <c r="D523" s="195" t="s">
        <v>640</v>
      </c>
      <c r="E523" s="288"/>
      <c r="F523" s="204">
        <v>10</v>
      </c>
      <c r="G523" s="204" t="s">
        <v>576</v>
      </c>
      <c r="H523" s="197">
        <v>1</v>
      </c>
      <c r="I523" s="198"/>
      <c r="J523" s="205">
        <v>1.98</v>
      </c>
      <c r="K523" s="287">
        <v>1.98</v>
      </c>
      <c r="L523" s="206">
        <v>4.9400000000000004</v>
      </c>
      <c r="M523" s="286">
        <v>4.9400000000000004</v>
      </c>
      <c r="N523" s="552">
        <v>41791</v>
      </c>
      <c r="O523" s="205">
        <f t="shared" si="40"/>
        <v>0</v>
      </c>
      <c r="P523" s="555">
        <f>(1+$R$1)*Table33[[#This Row],[Hours]]</f>
        <v>0</v>
      </c>
      <c r="Q523" s="207">
        <f t="shared" si="44"/>
        <v>0</v>
      </c>
      <c r="R523" s="208">
        <f t="shared" si="41"/>
        <v>0</v>
      </c>
      <c r="S523" s="208">
        <f t="shared" si="42"/>
        <v>0</v>
      </c>
      <c r="T523" s="208" t="str">
        <f t="shared" si="43"/>
        <v/>
      </c>
      <c r="U523" s="195">
        <f>Table33[[#This Row],[gal/100ft]]*Table33[[#This Row],[QTY]]/100</f>
        <v>0</v>
      </c>
      <c r="V523" s="195"/>
      <c r="W523" s="195"/>
      <c r="X523" s="195"/>
      <c r="Y523" s="195"/>
    </row>
    <row r="524" spans="1:25" ht="12.75" x14ac:dyDescent="0.2">
      <c r="A524" s="195" t="s">
        <v>602</v>
      </c>
      <c r="B524" s="536" t="s">
        <v>874</v>
      </c>
      <c r="C524" s="195" t="s">
        <v>642</v>
      </c>
      <c r="D524" s="195" t="s">
        <v>640</v>
      </c>
      <c r="E524" s="288"/>
      <c r="F524" s="204">
        <v>10</v>
      </c>
      <c r="G524" s="204" t="s">
        <v>576</v>
      </c>
      <c r="H524" s="197">
        <v>1.25</v>
      </c>
      <c r="I524" s="198"/>
      <c r="J524" s="205">
        <v>2.4500000000000002</v>
      </c>
      <c r="K524" s="287">
        <v>2.4500000000000002</v>
      </c>
      <c r="L524" s="206">
        <v>7.84</v>
      </c>
      <c r="M524" s="286">
        <v>7.84</v>
      </c>
      <c r="N524" s="552">
        <v>41791</v>
      </c>
      <c r="O524" s="205">
        <f t="shared" si="40"/>
        <v>0</v>
      </c>
      <c r="P524" s="555">
        <f>(1+$R$1)*Table33[[#This Row],[Hours]]</f>
        <v>0</v>
      </c>
      <c r="Q524" s="207">
        <f t="shared" si="44"/>
        <v>0</v>
      </c>
      <c r="R524" s="208">
        <f t="shared" si="41"/>
        <v>0</v>
      </c>
      <c r="S524" s="208">
        <f t="shared" si="42"/>
        <v>0</v>
      </c>
      <c r="T524" s="208" t="str">
        <f t="shared" si="43"/>
        <v/>
      </c>
      <c r="U524" s="195">
        <f>Table33[[#This Row],[gal/100ft]]*Table33[[#This Row],[QTY]]/100</f>
        <v>0</v>
      </c>
      <c r="V524" s="195"/>
      <c r="W524" s="195"/>
      <c r="X524" s="195"/>
      <c r="Y524" s="195"/>
    </row>
    <row r="525" spans="1:25" ht="12.75" x14ac:dyDescent="0.2">
      <c r="A525" s="195" t="s">
        <v>602</v>
      </c>
      <c r="B525" s="536" t="s">
        <v>874</v>
      </c>
      <c r="C525" s="195" t="s">
        <v>642</v>
      </c>
      <c r="D525" s="195" t="s">
        <v>640</v>
      </c>
      <c r="E525" s="288"/>
      <c r="F525" s="204">
        <v>10</v>
      </c>
      <c r="G525" s="204" t="s">
        <v>576</v>
      </c>
      <c r="H525" s="197">
        <v>1.5</v>
      </c>
      <c r="I525" s="198"/>
      <c r="J525" s="205">
        <v>2.88</v>
      </c>
      <c r="K525" s="287">
        <v>2.88</v>
      </c>
      <c r="L525" s="206">
        <v>7.84</v>
      </c>
      <c r="M525" s="286">
        <v>7.84</v>
      </c>
      <c r="N525" s="552">
        <v>41791</v>
      </c>
      <c r="O525" s="205">
        <f t="shared" si="40"/>
        <v>0</v>
      </c>
      <c r="P525" s="555">
        <f>(1+$R$1)*Table33[[#This Row],[Hours]]</f>
        <v>0</v>
      </c>
      <c r="Q525" s="207">
        <f t="shared" si="44"/>
        <v>0</v>
      </c>
      <c r="R525" s="208">
        <f t="shared" si="41"/>
        <v>0</v>
      </c>
      <c r="S525" s="208">
        <f t="shared" si="42"/>
        <v>0</v>
      </c>
      <c r="T525" s="208" t="str">
        <f t="shared" si="43"/>
        <v/>
      </c>
      <c r="U525" s="195">
        <f>Table33[[#This Row],[gal/100ft]]*Table33[[#This Row],[QTY]]/100</f>
        <v>0</v>
      </c>
      <c r="V525" s="195"/>
      <c r="W525" s="195"/>
      <c r="X525" s="195"/>
      <c r="Y525" s="195"/>
    </row>
    <row r="526" spans="1:25" ht="12.75" x14ac:dyDescent="0.2">
      <c r="A526" s="195" t="s">
        <v>602</v>
      </c>
      <c r="B526" s="536" t="s">
        <v>874</v>
      </c>
      <c r="C526" s="195" t="s">
        <v>642</v>
      </c>
      <c r="D526" s="195" t="s">
        <v>640</v>
      </c>
      <c r="E526" s="288"/>
      <c r="F526" s="204">
        <v>10</v>
      </c>
      <c r="G526" s="204" t="s">
        <v>576</v>
      </c>
      <c r="H526" s="197">
        <v>2</v>
      </c>
      <c r="I526" s="198"/>
      <c r="J526" s="205">
        <v>3.74</v>
      </c>
      <c r="K526" s="287">
        <v>3.74</v>
      </c>
      <c r="L526" s="206">
        <v>8.92</v>
      </c>
      <c r="M526" s="286">
        <v>8.92</v>
      </c>
      <c r="N526" s="552">
        <v>41791</v>
      </c>
      <c r="O526" s="205">
        <f t="shared" si="40"/>
        <v>0</v>
      </c>
      <c r="P526" s="555">
        <f>(1+$R$1)*Table33[[#This Row],[Hours]]</f>
        <v>0</v>
      </c>
      <c r="Q526" s="207">
        <f t="shared" si="44"/>
        <v>0</v>
      </c>
      <c r="R526" s="208">
        <f t="shared" si="41"/>
        <v>0</v>
      </c>
      <c r="S526" s="208">
        <f t="shared" si="42"/>
        <v>0</v>
      </c>
      <c r="T526" s="208" t="str">
        <f t="shared" si="43"/>
        <v/>
      </c>
      <c r="U526" s="195">
        <f>Table33[[#This Row],[gal/100ft]]*Table33[[#This Row],[QTY]]/100</f>
        <v>0</v>
      </c>
      <c r="V526" s="195"/>
      <c r="W526" s="195"/>
      <c r="X526" s="195"/>
      <c r="Y526" s="195"/>
    </row>
    <row r="527" spans="1:25" ht="12.75" x14ac:dyDescent="0.2">
      <c r="A527" s="195" t="s">
        <v>602</v>
      </c>
      <c r="B527" s="536" t="s">
        <v>874</v>
      </c>
      <c r="C527" s="195" t="s">
        <v>642</v>
      </c>
      <c r="D527" s="195" t="s">
        <v>640</v>
      </c>
      <c r="E527" s="288"/>
      <c r="F527" s="204">
        <v>12</v>
      </c>
      <c r="G527" s="204" t="s">
        <v>576</v>
      </c>
      <c r="H527" s="197" t="s">
        <v>596</v>
      </c>
      <c r="I527" s="198"/>
      <c r="J527" s="205">
        <v>1.06</v>
      </c>
      <c r="K527" s="287">
        <v>1.06</v>
      </c>
      <c r="L527" s="206">
        <v>3.68</v>
      </c>
      <c r="M527" s="286">
        <v>3.68</v>
      </c>
      <c r="N527" s="552">
        <v>41791</v>
      </c>
      <c r="O527" s="205">
        <f t="shared" si="40"/>
        <v>0</v>
      </c>
      <c r="P527" s="555">
        <f>(1+$R$1)*Table33[[#This Row],[Hours]]</f>
        <v>0</v>
      </c>
      <c r="Q527" s="207">
        <f t="shared" si="44"/>
        <v>0</v>
      </c>
      <c r="R527" s="208">
        <f t="shared" si="41"/>
        <v>0</v>
      </c>
      <c r="S527" s="208">
        <f t="shared" si="42"/>
        <v>0</v>
      </c>
      <c r="T527" s="208" t="str">
        <f t="shared" si="43"/>
        <v/>
      </c>
      <c r="U527" s="195">
        <f>Table33[[#This Row],[gal/100ft]]*Table33[[#This Row],[QTY]]/100</f>
        <v>0</v>
      </c>
      <c r="V527" s="195"/>
      <c r="W527" s="195"/>
      <c r="X527" s="195"/>
      <c r="Y527" s="195"/>
    </row>
    <row r="528" spans="1:25" ht="12.75" x14ac:dyDescent="0.2">
      <c r="A528" s="195" t="s">
        <v>602</v>
      </c>
      <c r="B528" s="536" t="s">
        <v>874</v>
      </c>
      <c r="C528" s="195" t="s">
        <v>642</v>
      </c>
      <c r="D528" s="195" t="s">
        <v>640</v>
      </c>
      <c r="E528" s="288"/>
      <c r="F528" s="204">
        <v>12</v>
      </c>
      <c r="G528" s="204" t="s">
        <v>576</v>
      </c>
      <c r="H528" s="197" t="s">
        <v>641</v>
      </c>
      <c r="I528" s="198"/>
      <c r="J528" s="205">
        <v>1.52</v>
      </c>
      <c r="K528" s="287">
        <v>1.52</v>
      </c>
      <c r="L528" s="206">
        <v>4.24</v>
      </c>
      <c r="M528" s="286">
        <v>4.24</v>
      </c>
      <c r="N528" s="552">
        <v>41791</v>
      </c>
      <c r="O528" s="205">
        <f t="shared" si="40"/>
        <v>0</v>
      </c>
      <c r="P528" s="555">
        <f>(1+$R$1)*Table33[[#This Row],[Hours]]</f>
        <v>0</v>
      </c>
      <c r="Q528" s="207">
        <f t="shared" si="44"/>
        <v>0</v>
      </c>
      <c r="R528" s="208">
        <f t="shared" si="41"/>
        <v>0</v>
      </c>
      <c r="S528" s="208">
        <f t="shared" si="42"/>
        <v>0</v>
      </c>
      <c r="T528" s="208" t="str">
        <f t="shared" si="43"/>
        <v/>
      </c>
      <c r="U528" s="195">
        <f>Table33[[#This Row],[gal/100ft]]*Table33[[#This Row],[QTY]]/100</f>
        <v>0</v>
      </c>
      <c r="V528" s="195"/>
      <c r="W528" s="195"/>
      <c r="X528" s="195"/>
      <c r="Y528" s="195"/>
    </row>
    <row r="529" spans="1:25" ht="12.75" x14ac:dyDescent="0.2">
      <c r="A529" s="195" t="s">
        <v>602</v>
      </c>
      <c r="B529" s="536" t="s">
        <v>874</v>
      </c>
      <c r="C529" s="195" t="s">
        <v>642</v>
      </c>
      <c r="D529" s="195" t="s">
        <v>640</v>
      </c>
      <c r="E529" s="288"/>
      <c r="F529" s="204">
        <v>12</v>
      </c>
      <c r="G529" s="204" t="s">
        <v>576</v>
      </c>
      <c r="H529" s="197">
        <v>1</v>
      </c>
      <c r="I529" s="198"/>
      <c r="J529" s="205">
        <v>1.98</v>
      </c>
      <c r="K529" s="287">
        <v>1.98</v>
      </c>
      <c r="L529" s="206">
        <v>4.9400000000000004</v>
      </c>
      <c r="M529" s="286">
        <v>4.9400000000000004</v>
      </c>
      <c r="N529" s="552">
        <v>41791</v>
      </c>
      <c r="O529" s="205">
        <f t="shared" si="40"/>
        <v>0</v>
      </c>
      <c r="P529" s="555">
        <f>(1+$R$1)*Table33[[#This Row],[Hours]]</f>
        <v>0</v>
      </c>
      <c r="Q529" s="207">
        <f t="shared" si="44"/>
        <v>0</v>
      </c>
      <c r="R529" s="208">
        <f t="shared" si="41"/>
        <v>0</v>
      </c>
      <c r="S529" s="208">
        <f t="shared" si="42"/>
        <v>0</v>
      </c>
      <c r="T529" s="208" t="str">
        <f t="shared" si="43"/>
        <v/>
      </c>
      <c r="U529" s="195">
        <f>Table33[[#This Row],[gal/100ft]]*Table33[[#This Row],[QTY]]/100</f>
        <v>0</v>
      </c>
      <c r="V529" s="195"/>
      <c r="W529" s="195"/>
      <c r="X529" s="195"/>
      <c r="Y529" s="195"/>
    </row>
    <row r="530" spans="1:25" ht="12.75" x14ac:dyDescent="0.2">
      <c r="A530" s="195" t="s">
        <v>602</v>
      </c>
      <c r="B530" s="536" t="s">
        <v>874</v>
      </c>
      <c r="C530" s="195" t="s">
        <v>642</v>
      </c>
      <c r="D530" s="195" t="s">
        <v>640</v>
      </c>
      <c r="E530" s="288"/>
      <c r="F530" s="204">
        <v>12</v>
      </c>
      <c r="G530" s="204" t="s">
        <v>576</v>
      </c>
      <c r="H530" s="197">
        <v>1.25</v>
      </c>
      <c r="I530" s="198"/>
      <c r="J530" s="205">
        <v>2.4500000000000002</v>
      </c>
      <c r="K530" s="287">
        <v>2.4500000000000002</v>
      </c>
      <c r="L530" s="206">
        <v>7.84</v>
      </c>
      <c r="M530" s="286">
        <v>7.84</v>
      </c>
      <c r="N530" s="552">
        <v>41791</v>
      </c>
      <c r="O530" s="205">
        <f t="shared" si="40"/>
        <v>0</v>
      </c>
      <c r="P530" s="555">
        <f>(1+$R$1)*Table33[[#This Row],[Hours]]</f>
        <v>0</v>
      </c>
      <c r="Q530" s="207">
        <f t="shared" si="44"/>
        <v>0</v>
      </c>
      <c r="R530" s="208">
        <f t="shared" si="41"/>
        <v>0</v>
      </c>
      <c r="S530" s="208">
        <f t="shared" si="42"/>
        <v>0</v>
      </c>
      <c r="T530" s="208" t="str">
        <f t="shared" si="43"/>
        <v/>
      </c>
      <c r="U530" s="195">
        <f>Table33[[#This Row],[gal/100ft]]*Table33[[#This Row],[QTY]]/100</f>
        <v>0</v>
      </c>
      <c r="V530" s="195"/>
      <c r="W530" s="195"/>
      <c r="X530" s="195"/>
      <c r="Y530" s="195"/>
    </row>
    <row r="531" spans="1:25" ht="12.75" x14ac:dyDescent="0.2">
      <c r="A531" s="195" t="s">
        <v>602</v>
      </c>
      <c r="B531" s="536" t="s">
        <v>874</v>
      </c>
      <c r="C531" s="195" t="s">
        <v>642</v>
      </c>
      <c r="D531" s="195" t="s">
        <v>640</v>
      </c>
      <c r="E531" s="288"/>
      <c r="F531" s="204">
        <v>12</v>
      </c>
      <c r="G531" s="204" t="s">
        <v>576</v>
      </c>
      <c r="H531" s="197">
        <v>1.5</v>
      </c>
      <c r="I531" s="198"/>
      <c r="J531" s="205">
        <v>2.88</v>
      </c>
      <c r="K531" s="287">
        <v>2.88</v>
      </c>
      <c r="L531" s="206">
        <v>7.84</v>
      </c>
      <c r="M531" s="286">
        <v>7.84</v>
      </c>
      <c r="N531" s="552">
        <v>41791</v>
      </c>
      <c r="O531" s="205">
        <f t="shared" si="40"/>
        <v>0</v>
      </c>
      <c r="P531" s="555">
        <f>(1+$R$1)*Table33[[#This Row],[Hours]]</f>
        <v>0</v>
      </c>
      <c r="Q531" s="207">
        <f t="shared" si="44"/>
        <v>0</v>
      </c>
      <c r="R531" s="208">
        <f t="shared" si="41"/>
        <v>0</v>
      </c>
      <c r="S531" s="208">
        <f t="shared" si="42"/>
        <v>0</v>
      </c>
      <c r="T531" s="208" t="str">
        <f t="shared" si="43"/>
        <v/>
      </c>
      <c r="U531" s="195">
        <f>Table33[[#This Row],[gal/100ft]]*Table33[[#This Row],[QTY]]/100</f>
        <v>0</v>
      </c>
      <c r="V531" s="195"/>
      <c r="W531" s="195"/>
      <c r="X531" s="195"/>
      <c r="Y531" s="195"/>
    </row>
    <row r="532" spans="1:25" ht="12.75" x14ac:dyDescent="0.2">
      <c r="A532" s="195" t="s">
        <v>602</v>
      </c>
      <c r="B532" s="536" t="s">
        <v>874</v>
      </c>
      <c r="C532" s="195" t="s">
        <v>642</v>
      </c>
      <c r="D532" s="195" t="s">
        <v>640</v>
      </c>
      <c r="E532" s="288"/>
      <c r="F532" s="204">
        <v>12</v>
      </c>
      <c r="G532" s="204" t="s">
        <v>576</v>
      </c>
      <c r="H532" s="197">
        <v>2</v>
      </c>
      <c r="I532" s="198"/>
      <c r="J532" s="205">
        <v>3.74</v>
      </c>
      <c r="K532" s="287">
        <v>3.74</v>
      </c>
      <c r="L532" s="206">
        <v>8.92</v>
      </c>
      <c r="M532" s="286">
        <v>8.92</v>
      </c>
      <c r="N532" s="552">
        <v>41791</v>
      </c>
      <c r="O532" s="205">
        <f t="shared" si="40"/>
        <v>0</v>
      </c>
      <c r="P532" s="555">
        <f>(1+$R$1)*Table33[[#This Row],[Hours]]</f>
        <v>0</v>
      </c>
      <c r="Q532" s="207">
        <f t="shared" si="44"/>
        <v>0</v>
      </c>
      <c r="R532" s="208">
        <f t="shared" si="41"/>
        <v>0</v>
      </c>
      <c r="S532" s="208">
        <f t="shared" si="42"/>
        <v>0</v>
      </c>
      <c r="T532" s="208" t="str">
        <f t="shared" si="43"/>
        <v/>
      </c>
      <c r="U532" s="195">
        <f>Table33[[#This Row],[gal/100ft]]*Table33[[#This Row],[QTY]]/100</f>
        <v>0</v>
      </c>
      <c r="V532" s="195"/>
      <c r="W532" s="195"/>
      <c r="X532" s="195"/>
      <c r="Y532" s="195"/>
    </row>
    <row r="533" spans="1:25" ht="12.75" x14ac:dyDescent="0.2">
      <c r="A533" s="195" t="s">
        <v>602</v>
      </c>
      <c r="B533" s="536" t="s">
        <v>874</v>
      </c>
      <c r="C533" s="195" t="s">
        <v>642</v>
      </c>
      <c r="D533" s="195" t="s">
        <v>640</v>
      </c>
      <c r="E533" s="288"/>
      <c r="F533" s="204">
        <v>14</v>
      </c>
      <c r="G533" s="204" t="s">
        <v>576</v>
      </c>
      <c r="H533" s="197" t="s">
        <v>596</v>
      </c>
      <c r="I533" s="198"/>
      <c r="J533" s="205">
        <v>1.06</v>
      </c>
      <c r="K533" s="287">
        <v>1.06</v>
      </c>
      <c r="L533" s="206">
        <v>3.68</v>
      </c>
      <c r="M533" s="286">
        <v>3.68</v>
      </c>
      <c r="N533" s="552">
        <v>41791</v>
      </c>
      <c r="O533" s="205">
        <f t="shared" si="40"/>
        <v>0</v>
      </c>
      <c r="P533" s="555">
        <f>(1+$R$1)*Table33[[#This Row],[Hours]]</f>
        <v>0</v>
      </c>
      <c r="Q533" s="207">
        <f t="shared" si="44"/>
        <v>0</v>
      </c>
      <c r="R533" s="208">
        <f t="shared" si="41"/>
        <v>0</v>
      </c>
      <c r="S533" s="208">
        <f t="shared" si="42"/>
        <v>0</v>
      </c>
      <c r="T533" s="208" t="str">
        <f t="shared" si="43"/>
        <v/>
      </c>
      <c r="U533" s="195">
        <f>Table33[[#This Row],[gal/100ft]]*Table33[[#This Row],[QTY]]/100</f>
        <v>0</v>
      </c>
      <c r="V533" s="195"/>
      <c r="W533" s="195"/>
      <c r="X533" s="195"/>
      <c r="Y533" s="195"/>
    </row>
    <row r="534" spans="1:25" ht="12.75" x14ac:dyDescent="0.2">
      <c r="A534" s="195" t="s">
        <v>602</v>
      </c>
      <c r="B534" s="536" t="s">
        <v>874</v>
      </c>
      <c r="C534" s="195" t="s">
        <v>642</v>
      </c>
      <c r="D534" s="195" t="s">
        <v>640</v>
      </c>
      <c r="E534" s="288"/>
      <c r="F534" s="204">
        <v>14</v>
      </c>
      <c r="G534" s="204" t="s">
        <v>576</v>
      </c>
      <c r="H534" s="197" t="s">
        <v>641</v>
      </c>
      <c r="I534" s="198"/>
      <c r="J534" s="205">
        <v>1.52</v>
      </c>
      <c r="K534" s="287">
        <v>1.52</v>
      </c>
      <c r="L534" s="206">
        <v>4.24</v>
      </c>
      <c r="M534" s="286">
        <v>4.24</v>
      </c>
      <c r="N534" s="552">
        <v>41791</v>
      </c>
      <c r="O534" s="205">
        <f t="shared" si="40"/>
        <v>0</v>
      </c>
      <c r="P534" s="555">
        <f>(1+$R$1)*Table33[[#This Row],[Hours]]</f>
        <v>0</v>
      </c>
      <c r="Q534" s="207">
        <f t="shared" si="44"/>
        <v>0</v>
      </c>
      <c r="R534" s="208">
        <f t="shared" si="41"/>
        <v>0</v>
      </c>
      <c r="S534" s="208">
        <f t="shared" si="42"/>
        <v>0</v>
      </c>
      <c r="T534" s="208" t="str">
        <f t="shared" si="43"/>
        <v/>
      </c>
      <c r="U534" s="195">
        <f>Table33[[#This Row],[gal/100ft]]*Table33[[#This Row],[QTY]]/100</f>
        <v>0</v>
      </c>
      <c r="V534" s="195"/>
      <c r="W534" s="195"/>
      <c r="X534" s="195"/>
      <c r="Y534" s="195"/>
    </row>
    <row r="535" spans="1:25" ht="12.75" x14ac:dyDescent="0.2">
      <c r="A535" s="195" t="s">
        <v>602</v>
      </c>
      <c r="B535" s="536" t="s">
        <v>874</v>
      </c>
      <c r="C535" s="195" t="s">
        <v>642</v>
      </c>
      <c r="D535" s="195" t="s">
        <v>640</v>
      </c>
      <c r="E535" s="288"/>
      <c r="F535" s="204">
        <v>14</v>
      </c>
      <c r="G535" s="204" t="s">
        <v>576</v>
      </c>
      <c r="H535" s="197">
        <v>1</v>
      </c>
      <c r="I535" s="198"/>
      <c r="J535" s="205">
        <v>1.98</v>
      </c>
      <c r="K535" s="287">
        <v>1.98</v>
      </c>
      <c r="L535" s="206">
        <v>4.9400000000000004</v>
      </c>
      <c r="M535" s="286">
        <v>4.9400000000000004</v>
      </c>
      <c r="N535" s="552">
        <v>41791</v>
      </c>
      <c r="O535" s="205">
        <f t="shared" ref="O535:O598" si="45">K535*E535</f>
        <v>0</v>
      </c>
      <c r="P535" s="555">
        <f>(1+$R$1)*Table33[[#This Row],[Hours]]</f>
        <v>0</v>
      </c>
      <c r="Q535" s="207">
        <f t="shared" si="44"/>
        <v>0</v>
      </c>
      <c r="R535" s="208">
        <f t="shared" ref="R535:R598" si="46">M535*E535</f>
        <v>0</v>
      </c>
      <c r="S535" s="208">
        <f t="shared" ref="S535:S598" si="47">R535+Q535</f>
        <v>0</v>
      </c>
      <c r="T535" s="208" t="str">
        <f t="shared" ref="T535:T598" si="48">IF(E535="","",S535/E535)</f>
        <v/>
      </c>
      <c r="U535" s="195">
        <f>Table33[[#This Row],[gal/100ft]]*Table33[[#This Row],[QTY]]/100</f>
        <v>0</v>
      </c>
      <c r="V535" s="195"/>
      <c r="W535" s="195"/>
      <c r="X535" s="195"/>
      <c r="Y535" s="195"/>
    </row>
    <row r="536" spans="1:25" ht="12.75" x14ac:dyDescent="0.2">
      <c r="A536" s="195" t="s">
        <v>602</v>
      </c>
      <c r="B536" s="536" t="s">
        <v>874</v>
      </c>
      <c r="C536" s="195" t="s">
        <v>642</v>
      </c>
      <c r="D536" s="195" t="s">
        <v>640</v>
      </c>
      <c r="E536" s="288"/>
      <c r="F536" s="204">
        <v>14</v>
      </c>
      <c r="G536" s="204" t="s">
        <v>576</v>
      </c>
      <c r="H536" s="197">
        <v>1.25</v>
      </c>
      <c r="I536" s="198"/>
      <c r="J536" s="205">
        <v>2.4500000000000002</v>
      </c>
      <c r="K536" s="287">
        <v>2.4500000000000002</v>
      </c>
      <c r="L536" s="206">
        <v>7.84</v>
      </c>
      <c r="M536" s="286">
        <v>7.84</v>
      </c>
      <c r="N536" s="552">
        <v>41791</v>
      </c>
      <c r="O536" s="205">
        <f t="shared" si="45"/>
        <v>0</v>
      </c>
      <c r="P536" s="555">
        <f>(1+$R$1)*Table33[[#This Row],[Hours]]</f>
        <v>0</v>
      </c>
      <c r="Q536" s="207">
        <f t="shared" si="44"/>
        <v>0</v>
      </c>
      <c r="R536" s="208">
        <f t="shared" si="46"/>
        <v>0</v>
      </c>
      <c r="S536" s="208">
        <f t="shared" si="47"/>
        <v>0</v>
      </c>
      <c r="T536" s="208" t="str">
        <f t="shared" si="48"/>
        <v/>
      </c>
      <c r="U536" s="195">
        <f>Table33[[#This Row],[gal/100ft]]*Table33[[#This Row],[QTY]]/100</f>
        <v>0</v>
      </c>
      <c r="V536" s="195"/>
      <c r="W536" s="195"/>
      <c r="X536" s="195"/>
      <c r="Y536" s="195"/>
    </row>
    <row r="537" spans="1:25" ht="12.75" x14ac:dyDescent="0.2">
      <c r="A537" s="195" t="s">
        <v>602</v>
      </c>
      <c r="B537" s="536" t="s">
        <v>874</v>
      </c>
      <c r="C537" s="195" t="s">
        <v>642</v>
      </c>
      <c r="D537" s="195" t="s">
        <v>640</v>
      </c>
      <c r="E537" s="288"/>
      <c r="F537" s="204">
        <v>14</v>
      </c>
      <c r="G537" s="204" t="s">
        <v>576</v>
      </c>
      <c r="H537" s="197">
        <v>1.5</v>
      </c>
      <c r="I537" s="198"/>
      <c r="J537" s="205">
        <v>2.88</v>
      </c>
      <c r="K537" s="287">
        <v>2.88</v>
      </c>
      <c r="L537" s="206">
        <v>7.84</v>
      </c>
      <c r="M537" s="286">
        <v>7.84</v>
      </c>
      <c r="N537" s="552">
        <v>41791</v>
      </c>
      <c r="O537" s="205">
        <f t="shared" si="45"/>
        <v>0</v>
      </c>
      <c r="P537" s="555">
        <f>(1+$R$1)*Table33[[#This Row],[Hours]]</f>
        <v>0</v>
      </c>
      <c r="Q537" s="207">
        <f t="shared" si="44"/>
        <v>0</v>
      </c>
      <c r="R537" s="208">
        <f t="shared" si="46"/>
        <v>0</v>
      </c>
      <c r="S537" s="208">
        <f t="shared" si="47"/>
        <v>0</v>
      </c>
      <c r="T537" s="208" t="str">
        <f t="shared" si="48"/>
        <v/>
      </c>
      <c r="U537" s="195">
        <f>Table33[[#This Row],[gal/100ft]]*Table33[[#This Row],[QTY]]/100</f>
        <v>0</v>
      </c>
      <c r="V537" s="195"/>
      <c r="W537" s="195"/>
      <c r="X537" s="195"/>
      <c r="Y537" s="195"/>
    </row>
    <row r="538" spans="1:25" ht="12.75" x14ac:dyDescent="0.2">
      <c r="A538" s="195" t="s">
        <v>602</v>
      </c>
      <c r="B538" s="536" t="s">
        <v>874</v>
      </c>
      <c r="C538" s="195" t="s">
        <v>642</v>
      </c>
      <c r="D538" s="195" t="s">
        <v>640</v>
      </c>
      <c r="E538" s="288"/>
      <c r="F538" s="204">
        <v>14</v>
      </c>
      <c r="G538" s="204" t="s">
        <v>576</v>
      </c>
      <c r="H538" s="197">
        <v>2</v>
      </c>
      <c r="I538" s="198"/>
      <c r="J538" s="205">
        <v>3.74</v>
      </c>
      <c r="K538" s="287">
        <v>3.74</v>
      </c>
      <c r="L538" s="206">
        <v>8.92</v>
      </c>
      <c r="M538" s="286">
        <v>8.92</v>
      </c>
      <c r="N538" s="552">
        <v>41791</v>
      </c>
      <c r="O538" s="205">
        <f t="shared" si="45"/>
        <v>0</v>
      </c>
      <c r="P538" s="555">
        <f>(1+$R$1)*Table33[[#This Row],[Hours]]</f>
        <v>0</v>
      </c>
      <c r="Q538" s="207">
        <f t="shared" si="44"/>
        <v>0</v>
      </c>
      <c r="R538" s="208">
        <f t="shared" si="46"/>
        <v>0</v>
      </c>
      <c r="S538" s="208">
        <f t="shared" si="47"/>
        <v>0</v>
      </c>
      <c r="T538" s="208" t="str">
        <f t="shared" si="48"/>
        <v/>
      </c>
      <c r="U538" s="195">
        <f>Table33[[#This Row],[gal/100ft]]*Table33[[#This Row],[QTY]]/100</f>
        <v>0</v>
      </c>
      <c r="V538" s="195"/>
      <c r="W538" s="195"/>
      <c r="X538" s="195"/>
      <c r="Y538" s="195"/>
    </row>
    <row r="539" spans="1:25" ht="12.75" x14ac:dyDescent="0.2">
      <c r="A539" s="195" t="s">
        <v>602</v>
      </c>
      <c r="B539" s="536" t="s">
        <v>874</v>
      </c>
      <c r="C539" s="195" t="s">
        <v>642</v>
      </c>
      <c r="D539" s="195" t="s">
        <v>640</v>
      </c>
      <c r="E539" s="288"/>
      <c r="F539" s="204">
        <v>16</v>
      </c>
      <c r="G539" s="204" t="s">
        <v>576</v>
      </c>
      <c r="H539" s="197" t="s">
        <v>596</v>
      </c>
      <c r="I539" s="198"/>
      <c r="J539" s="205">
        <v>1.06</v>
      </c>
      <c r="K539" s="287">
        <v>1.06</v>
      </c>
      <c r="L539" s="206">
        <v>3.68</v>
      </c>
      <c r="M539" s="286">
        <v>3.68</v>
      </c>
      <c r="N539" s="552">
        <v>41791</v>
      </c>
      <c r="O539" s="205">
        <f t="shared" si="45"/>
        <v>0</v>
      </c>
      <c r="P539" s="555">
        <f>(1+$R$1)*Table33[[#This Row],[Hours]]</f>
        <v>0</v>
      </c>
      <c r="Q539" s="207">
        <f t="shared" si="44"/>
        <v>0</v>
      </c>
      <c r="R539" s="208">
        <f t="shared" si="46"/>
        <v>0</v>
      </c>
      <c r="S539" s="208">
        <f t="shared" si="47"/>
        <v>0</v>
      </c>
      <c r="T539" s="208" t="str">
        <f t="shared" si="48"/>
        <v/>
      </c>
      <c r="U539" s="195">
        <f>Table33[[#This Row],[gal/100ft]]*Table33[[#This Row],[QTY]]/100</f>
        <v>0</v>
      </c>
      <c r="V539" s="195"/>
      <c r="W539" s="195"/>
      <c r="X539" s="195"/>
      <c r="Y539" s="195"/>
    </row>
    <row r="540" spans="1:25" ht="12.75" x14ac:dyDescent="0.2">
      <c r="A540" s="195" t="s">
        <v>602</v>
      </c>
      <c r="B540" s="536" t="s">
        <v>874</v>
      </c>
      <c r="C540" s="195" t="s">
        <v>642</v>
      </c>
      <c r="D540" s="195" t="s">
        <v>640</v>
      </c>
      <c r="E540" s="288"/>
      <c r="F540" s="204">
        <v>16</v>
      </c>
      <c r="G540" s="204" t="s">
        <v>576</v>
      </c>
      <c r="H540" s="197" t="s">
        <v>641</v>
      </c>
      <c r="I540" s="198"/>
      <c r="J540" s="205">
        <v>1.52</v>
      </c>
      <c r="K540" s="287">
        <v>1.52</v>
      </c>
      <c r="L540" s="206">
        <v>4.24</v>
      </c>
      <c r="M540" s="286">
        <v>4.24</v>
      </c>
      <c r="N540" s="552">
        <v>41791</v>
      </c>
      <c r="O540" s="205">
        <f t="shared" si="45"/>
        <v>0</v>
      </c>
      <c r="P540" s="555">
        <f>(1+$R$1)*Table33[[#This Row],[Hours]]</f>
        <v>0</v>
      </c>
      <c r="Q540" s="207">
        <f t="shared" si="44"/>
        <v>0</v>
      </c>
      <c r="R540" s="208">
        <f t="shared" si="46"/>
        <v>0</v>
      </c>
      <c r="S540" s="208">
        <f t="shared" si="47"/>
        <v>0</v>
      </c>
      <c r="T540" s="208" t="str">
        <f t="shared" si="48"/>
        <v/>
      </c>
      <c r="U540" s="195">
        <f>Table33[[#This Row],[gal/100ft]]*Table33[[#This Row],[QTY]]/100</f>
        <v>0</v>
      </c>
      <c r="V540" s="195"/>
      <c r="W540" s="195"/>
      <c r="X540" s="195"/>
      <c r="Y540" s="195"/>
    </row>
    <row r="541" spans="1:25" ht="12.75" x14ac:dyDescent="0.2">
      <c r="A541" s="195" t="s">
        <v>602</v>
      </c>
      <c r="B541" s="536" t="s">
        <v>874</v>
      </c>
      <c r="C541" s="195" t="s">
        <v>642</v>
      </c>
      <c r="D541" s="195" t="s">
        <v>640</v>
      </c>
      <c r="E541" s="288"/>
      <c r="F541" s="204">
        <v>16</v>
      </c>
      <c r="G541" s="204" t="s">
        <v>576</v>
      </c>
      <c r="H541" s="197">
        <v>1</v>
      </c>
      <c r="I541" s="198"/>
      <c r="J541" s="205">
        <v>1.98</v>
      </c>
      <c r="K541" s="287">
        <v>1.98</v>
      </c>
      <c r="L541" s="206">
        <v>4.9400000000000004</v>
      </c>
      <c r="M541" s="286">
        <v>4.9400000000000004</v>
      </c>
      <c r="N541" s="552">
        <v>41791</v>
      </c>
      <c r="O541" s="205">
        <f t="shared" si="45"/>
        <v>0</v>
      </c>
      <c r="P541" s="555">
        <f>(1+$R$1)*Table33[[#This Row],[Hours]]</f>
        <v>0</v>
      </c>
      <c r="Q541" s="207">
        <f t="shared" si="44"/>
        <v>0</v>
      </c>
      <c r="R541" s="208">
        <f t="shared" si="46"/>
        <v>0</v>
      </c>
      <c r="S541" s="208">
        <f t="shared" si="47"/>
        <v>0</v>
      </c>
      <c r="T541" s="208" t="str">
        <f t="shared" si="48"/>
        <v/>
      </c>
      <c r="U541" s="195">
        <f>Table33[[#This Row],[gal/100ft]]*Table33[[#This Row],[QTY]]/100</f>
        <v>0</v>
      </c>
      <c r="V541" s="195"/>
      <c r="W541" s="195"/>
      <c r="X541" s="195"/>
      <c r="Y541" s="195"/>
    </row>
    <row r="542" spans="1:25" ht="12.75" x14ac:dyDescent="0.2">
      <c r="A542" s="195" t="s">
        <v>602</v>
      </c>
      <c r="B542" s="536" t="s">
        <v>874</v>
      </c>
      <c r="C542" s="195" t="s">
        <v>642</v>
      </c>
      <c r="D542" s="195" t="s">
        <v>640</v>
      </c>
      <c r="E542" s="288"/>
      <c r="F542" s="204">
        <v>16</v>
      </c>
      <c r="G542" s="204" t="s">
        <v>576</v>
      </c>
      <c r="H542" s="197">
        <v>1.25</v>
      </c>
      <c r="I542" s="198"/>
      <c r="J542" s="205">
        <v>2.4500000000000002</v>
      </c>
      <c r="K542" s="287">
        <v>2.4500000000000002</v>
      </c>
      <c r="L542" s="206">
        <v>7.84</v>
      </c>
      <c r="M542" s="286">
        <v>7.84</v>
      </c>
      <c r="N542" s="552">
        <v>41791</v>
      </c>
      <c r="O542" s="205">
        <f t="shared" si="45"/>
        <v>0</v>
      </c>
      <c r="P542" s="555">
        <f>(1+$R$1)*Table33[[#This Row],[Hours]]</f>
        <v>0</v>
      </c>
      <c r="Q542" s="207">
        <f t="shared" si="44"/>
        <v>0</v>
      </c>
      <c r="R542" s="208">
        <f t="shared" si="46"/>
        <v>0</v>
      </c>
      <c r="S542" s="208">
        <f t="shared" si="47"/>
        <v>0</v>
      </c>
      <c r="T542" s="208" t="str">
        <f t="shared" si="48"/>
        <v/>
      </c>
      <c r="U542" s="195">
        <f>Table33[[#This Row],[gal/100ft]]*Table33[[#This Row],[QTY]]/100</f>
        <v>0</v>
      </c>
      <c r="V542" s="195"/>
      <c r="W542" s="195"/>
      <c r="X542" s="195"/>
      <c r="Y542" s="195"/>
    </row>
    <row r="543" spans="1:25" ht="12.75" x14ac:dyDescent="0.2">
      <c r="A543" s="195" t="s">
        <v>602</v>
      </c>
      <c r="B543" s="536" t="s">
        <v>874</v>
      </c>
      <c r="C543" s="195" t="s">
        <v>642</v>
      </c>
      <c r="D543" s="195" t="s">
        <v>640</v>
      </c>
      <c r="E543" s="288"/>
      <c r="F543" s="204">
        <v>16</v>
      </c>
      <c r="G543" s="204" t="s">
        <v>576</v>
      </c>
      <c r="H543" s="197">
        <v>1.5</v>
      </c>
      <c r="I543" s="198"/>
      <c r="J543" s="205">
        <v>2.88</v>
      </c>
      <c r="K543" s="287">
        <v>2.88</v>
      </c>
      <c r="L543" s="206">
        <v>7.84</v>
      </c>
      <c r="M543" s="286">
        <v>7.84</v>
      </c>
      <c r="N543" s="552">
        <v>41791</v>
      </c>
      <c r="O543" s="205">
        <f t="shared" si="45"/>
        <v>0</v>
      </c>
      <c r="P543" s="555">
        <f>(1+$R$1)*Table33[[#This Row],[Hours]]</f>
        <v>0</v>
      </c>
      <c r="Q543" s="207">
        <f t="shared" si="44"/>
        <v>0</v>
      </c>
      <c r="R543" s="208">
        <f t="shared" si="46"/>
        <v>0</v>
      </c>
      <c r="S543" s="208">
        <f t="shared" si="47"/>
        <v>0</v>
      </c>
      <c r="T543" s="208" t="str">
        <f t="shared" si="48"/>
        <v/>
      </c>
      <c r="U543" s="195">
        <f>Table33[[#This Row],[gal/100ft]]*Table33[[#This Row],[QTY]]/100</f>
        <v>0</v>
      </c>
      <c r="V543" s="195"/>
      <c r="W543" s="195"/>
      <c r="X543" s="195"/>
      <c r="Y543" s="195"/>
    </row>
    <row r="544" spans="1:25" ht="12.75" x14ac:dyDescent="0.2">
      <c r="A544" s="195" t="s">
        <v>602</v>
      </c>
      <c r="B544" s="536" t="s">
        <v>874</v>
      </c>
      <c r="C544" s="195" t="s">
        <v>642</v>
      </c>
      <c r="D544" s="195" t="s">
        <v>640</v>
      </c>
      <c r="E544" s="288"/>
      <c r="F544" s="204">
        <v>16</v>
      </c>
      <c r="G544" s="204" t="s">
        <v>576</v>
      </c>
      <c r="H544" s="197">
        <v>2</v>
      </c>
      <c r="I544" s="198"/>
      <c r="J544" s="205">
        <v>3.74</v>
      </c>
      <c r="K544" s="287">
        <v>3.74</v>
      </c>
      <c r="L544" s="206">
        <v>8.92</v>
      </c>
      <c r="M544" s="286">
        <v>8.92</v>
      </c>
      <c r="N544" s="552">
        <v>41791</v>
      </c>
      <c r="O544" s="205">
        <f t="shared" si="45"/>
        <v>0</v>
      </c>
      <c r="P544" s="555">
        <f>(1+$R$1)*Table33[[#This Row],[Hours]]</f>
        <v>0</v>
      </c>
      <c r="Q544" s="207">
        <f t="shared" si="44"/>
        <v>0</v>
      </c>
      <c r="R544" s="208">
        <f t="shared" si="46"/>
        <v>0</v>
      </c>
      <c r="S544" s="208">
        <f t="shared" si="47"/>
        <v>0</v>
      </c>
      <c r="T544" s="208" t="str">
        <f t="shared" si="48"/>
        <v/>
      </c>
      <c r="U544" s="195">
        <f>Table33[[#This Row],[gal/100ft]]*Table33[[#This Row],[QTY]]/100</f>
        <v>0</v>
      </c>
      <c r="V544" s="195"/>
      <c r="W544" s="195"/>
      <c r="X544" s="195"/>
      <c r="Y544" s="195"/>
    </row>
    <row r="545" spans="1:25" ht="12.75" x14ac:dyDescent="0.2">
      <c r="A545" s="195" t="s">
        <v>602</v>
      </c>
      <c r="B545" s="536" t="s">
        <v>874</v>
      </c>
      <c r="C545" s="195" t="s">
        <v>642</v>
      </c>
      <c r="D545" s="195" t="s">
        <v>640</v>
      </c>
      <c r="E545" s="288"/>
      <c r="F545" s="204">
        <v>18</v>
      </c>
      <c r="G545" s="204" t="s">
        <v>576</v>
      </c>
      <c r="H545" s="197" t="s">
        <v>596</v>
      </c>
      <c r="I545" s="198"/>
      <c r="J545" s="205">
        <v>1.06</v>
      </c>
      <c r="K545" s="287">
        <v>1.06</v>
      </c>
      <c r="L545" s="206">
        <v>3.68</v>
      </c>
      <c r="M545" s="286">
        <v>3.68</v>
      </c>
      <c r="N545" s="552">
        <v>41791</v>
      </c>
      <c r="O545" s="205">
        <f t="shared" si="45"/>
        <v>0</v>
      </c>
      <c r="P545" s="555">
        <f>(1+$R$1)*Table33[[#This Row],[Hours]]</f>
        <v>0</v>
      </c>
      <c r="Q545" s="207">
        <f t="shared" si="44"/>
        <v>0</v>
      </c>
      <c r="R545" s="208">
        <f t="shared" si="46"/>
        <v>0</v>
      </c>
      <c r="S545" s="208">
        <f t="shared" si="47"/>
        <v>0</v>
      </c>
      <c r="T545" s="208" t="str">
        <f t="shared" si="48"/>
        <v/>
      </c>
      <c r="U545" s="195">
        <f>Table33[[#This Row],[gal/100ft]]*Table33[[#This Row],[QTY]]/100</f>
        <v>0</v>
      </c>
      <c r="V545" s="195"/>
      <c r="W545" s="195"/>
      <c r="X545" s="195"/>
      <c r="Y545" s="195"/>
    </row>
    <row r="546" spans="1:25" ht="12.75" x14ac:dyDescent="0.2">
      <c r="A546" s="195" t="s">
        <v>602</v>
      </c>
      <c r="B546" s="536" t="s">
        <v>874</v>
      </c>
      <c r="C546" s="195" t="s">
        <v>642</v>
      </c>
      <c r="D546" s="195" t="s">
        <v>640</v>
      </c>
      <c r="E546" s="288"/>
      <c r="F546" s="204">
        <v>18</v>
      </c>
      <c r="G546" s="204" t="s">
        <v>576</v>
      </c>
      <c r="H546" s="197" t="s">
        <v>641</v>
      </c>
      <c r="I546" s="198"/>
      <c r="J546" s="205">
        <v>1.52</v>
      </c>
      <c r="K546" s="287">
        <v>1.52</v>
      </c>
      <c r="L546" s="206">
        <v>4.24</v>
      </c>
      <c r="M546" s="286">
        <v>4.24</v>
      </c>
      <c r="N546" s="552">
        <v>41791</v>
      </c>
      <c r="O546" s="205">
        <f t="shared" si="45"/>
        <v>0</v>
      </c>
      <c r="P546" s="555">
        <f>(1+$R$1)*Table33[[#This Row],[Hours]]</f>
        <v>0</v>
      </c>
      <c r="Q546" s="207">
        <f t="shared" si="44"/>
        <v>0</v>
      </c>
      <c r="R546" s="208">
        <f t="shared" si="46"/>
        <v>0</v>
      </c>
      <c r="S546" s="208">
        <f t="shared" si="47"/>
        <v>0</v>
      </c>
      <c r="T546" s="208" t="str">
        <f t="shared" si="48"/>
        <v/>
      </c>
      <c r="U546" s="195">
        <f>Table33[[#This Row],[gal/100ft]]*Table33[[#This Row],[QTY]]/100</f>
        <v>0</v>
      </c>
      <c r="V546" s="195"/>
      <c r="W546" s="195"/>
      <c r="X546" s="195"/>
      <c r="Y546" s="195"/>
    </row>
    <row r="547" spans="1:25" ht="12.75" x14ac:dyDescent="0.2">
      <c r="A547" s="195" t="s">
        <v>602</v>
      </c>
      <c r="B547" s="536" t="s">
        <v>874</v>
      </c>
      <c r="C547" s="195" t="s">
        <v>642</v>
      </c>
      <c r="D547" s="195" t="s">
        <v>640</v>
      </c>
      <c r="E547" s="288"/>
      <c r="F547" s="204">
        <v>18</v>
      </c>
      <c r="G547" s="204" t="s">
        <v>576</v>
      </c>
      <c r="H547" s="197">
        <v>1</v>
      </c>
      <c r="I547" s="198"/>
      <c r="J547" s="205">
        <v>1.98</v>
      </c>
      <c r="K547" s="287">
        <v>1.98</v>
      </c>
      <c r="L547" s="206">
        <v>4.9400000000000004</v>
      </c>
      <c r="M547" s="286">
        <v>4.9400000000000004</v>
      </c>
      <c r="N547" s="552">
        <v>41791</v>
      </c>
      <c r="O547" s="205">
        <f t="shared" si="45"/>
        <v>0</v>
      </c>
      <c r="P547" s="555">
        <f>(1+$R$1)*Table33[[#This Row],[Hours]]</f>
        <v>0</v>
      </c>
      <c r="Q547" s="207">
        <f t="shared" si="44"/>
        <v>0</v>
      </c>
      <c r="R547" s="208">
        <f t="shared" si="46"/>
        <v>0</v>
      </c>
      <c r="S547" s="208">
        <f t="shared" si="47"/>
        <v>0</v>
      </c>
      <c r="T547" s="208" t="str">
        <f t="shared" si="48"/>
        <v/>
      </c>
      <c r="U547" s="195">
        <f>Table33[[#This Row],[gal/100ft]]*Table33[[#This Row],[QTY]]/100</f>
        <v>0</v>
      </c>
      <c r="V547" s="195"/>
      <c r="W547" s="195"/>
      <c r="X547" s="195"/>
      <c r="Y547" s="195"/>
    </row>
    <row r="548" spans="1:25" ht="12.75" x14ac:dyDescent="0.2">
      <c r="A548" s="195" t="s">
        <v>602</v>
      </c>
      <c r="B548" s="536" t="s">
        <v>874</v>
      </c>
      <c r="C548" s="195" t="s">
        <v>642</v>
      </c>
      <c r="D548" s="195" t="s">
        <v>640</v>
      </c>
      <c r="E548" s="288"/>
      <c r="F548" s="204">
        <v>18</v>
      </c>
      <c r="G548" s="204" t="s">
        <v>576</v>
      </c>
      <c r="H548" s="197">
        <v>1.25</v>
      </c>
      <c r="I548" s="198"/>
      <c r="J548" s="205">
        <v>2.4500000000000002</v>
      </c>
      <c r="K548" s="287">
        <v>2.4500000000000002</v>
      </c>
      <c r="L548" s="206">
        <v>7.84</v>
      </c>
      <c r="M548" s="286">
        <v>7.84</v>
      </c>
      <c r="N548" s="552">
        <v>41791</v>
      </c>
      <c r="O548" s="205">
        <f t="shared" si="45"/>
        <v>0</v>
      </c>
      <c r="P548" s="555">
        <f>(1+$R$1)*Table33[[#This Row],[Hours]]</f>
        <v>0</v>
      </c>
      <c r="Q548" s="207">
        <f t="shared" si="44"/>
        <v>0</v>
      </c>
      <c r="R548" s="208">
        <f t="shared" si="46"/>
        <v>0</v>
      </c>
      <c r="S548" s="208">
        <f t="shared" si="47"/>
        <v>0</v>
      </c>
      <c r="T548" s="208" t="str">
        <f t="shared" si="48"/>
        <v/>
      </c>
      <c r="U548" s="195">
        <f>Table33[[#This Row],[gal/100ft]]*Table33[[#This Row],[QTY]]/100</f>
        <v>0</v>
      </c>
      <c r="V548" s="195"/>
      <c r="W548" s="195"/>
      <c r="X548" s="195"/>
      <c r="Y548" s="195"/>
    </row>
    <row r="549" spans="1:25" ht="12.75" x14ac:dyDescent="0.2">
      <c r="A549" s="195" t="s">
        <v>602</v>
      </c>
      <c r="B549" s="536" t="s">
        <v>874</v>
      </c>
      <c r="C549" s="195" t="s">
        <v>642</v>
      </c>
      <c r="D549" s="195" t="s">
        <v>640</v>
      </c>
      <c r="E549" s="288"/>
      <c r="F549" s="204">
        <v>18</v>
      </c>
      <c r="G549" s="204" t="s">
        <v>576</v>
      </c>
      <c r="H549" s="197">
        <v>1.5</v>
      </c>
      <c r="I549" s="198"/>
      <c r="J549" s="205">
        <v>2.88</v>
      </c>
      <c r="K549" s="287">
        <v>2.88</v>
      </c>
      <c r="L549" s="206">
        <v>7.84</v>
      </c>
      <c r="M549" s="286">
        <v>7.84</v>
      </c>
      <c r="N549" s="552">
        <v>41791</v>
      </c>
      <c r="O549" s="205">
        <f t="shared" si="45"/>
        <v>0</v>
      </c>
      <c r="P549" s="555">
        <f>(1+$R$1)*Table33[[#This Row],[Hours]]</f>
        <v>0</v>
      </c>
      <c r="Q549" s="207">
        <f t="shared" si="44"/>
        <v>0</v>
      </c>
      <c r="R549" s="208">
        <f t="shared" si="46"/>
        <v>0</v>
      </c>
      <c r="S549" s="208">
        <f t="shared" si="47"/>
        <v>0</v>
      </c>
      <c r="T549" s="208" t="str">
        <f t="shared" si="48"/>
        <v/>
      </c>
      <c r="U549" s="195">
        <f>Table33[[#This Row],[gal/100ft]]*Table33[[#This Row],[QTY]]/100</f>
        <v>0</v>
      </c>
      <c r="V549" s="195"/>
      <c r="W549" s="195"/>
      <c r="X549" s="195"/>
      <c r="Y549" s="195"/>
    </row>
    <row r="550" spans="1:25" ht="12.75" x14ac:dyDescent="0.2">
      <c r="A550" s="195" t="s">
        <v>602</v>
      </c>
      <c r="B550" s="536" t="s">
        <v>874</v>
      </c>
      <c r="C550" s="195" t="s">
        <v>642</v>
      </c>
      <c r="D550" s="195" t="s">
        <v>640</v>
      </c>
      <c r="E550" s="288"/>
      <c r="F550" s="204">
        <v>18</v>
      </c>
      <c r="G550" s="204" t="s">
        <v>576</v>
      </c>
      <c r="H550" s="197">
        <v>2</v>
      </c>
      <c r="I550" s="198"/>
      <c r="J550" s="205">
        <v>3.74</v>
      </c>
      <c r="K550" s="287">
        <v>3.74</v>
      </c>
      <c r="L550" s="206">
        <v>8.92</v>
      </c>
      <c r="M550" s="286">
        <v>8.92</v>
      </c>
      <c r="N550" s="552">
        <v>41791</v>
      </c>
      <c r="O550" s="205">
        <f t="shared" si="45"/>
        <v>0</v>
      </c>
      <c r="P550" s="555">
        <f>(1+$R$1)*Table33[[#This Row],[Hours]]</f>
        <v>0</v>
      </c>
      <c r="Q550" s="207">
        <f t="shared" si="44"/>
        <v>0</v>
      </c>
      <c r="R550" s="208">
        <f t="shared" si="46"/>
        <v>0</v>
      </c>
      <c r="S550" s="208">
        <f t="shared" si="47"/>
        <v>0</v>
      </c>
      <c r="T550" s="208" t="str">
        <f t="shared" si="48"/>
        <v/>
      </c>
      <c r="U550" s="195">
        <f>Table33[[#This Row],[gal/100ft]]*Table33[[#This Row],[QTY]]/100</f>
        <v>0</v>
      </c>
      <c r="V550" s="195"/>
      <c r="W550" s="195"/>
      <c r="X550" s="195"/>
      <c r="Y550" s="195"/>
    </row>
    <row r="551" spans="1:25" ht="12.75" x14ac:dyDescent="0.2">
      <c r="A551" s="195" t="s">
        <v>602</v>
      </c>
      <c r="B551" s="536" t="s">
        <v>874</v>
      </c>
      <c r="C551" s="195" t="s">
        <v>642</v>
      </c>
      <c r="D551" s="195" t="s">
        <v>640</v>
      </c>
      <c r="E551" s="288"/>
      <c r="F551" s="204">
        <v>20</v>
      </c>
      <c r="G551" s="204" t="s">
        <v>576</v>
      </c>
      <c r="H551" s="197" t="s">
        <v>596</v>
      </c>
      <c r="I551" s="198"/>
      <c r="J551" s="205">
        <v>1.06</v>
      </c>
      <c r="K551" s="287">
        <v>1.06</v>
      </c>
      <c r="L551" s="206">
        <v>3.68</v>
      </c>
      <c r="M551" s="286">
        <v>3.68</v>
      </c>
      <c r="N551" s="552">
        <v>41791</v>
      </c>
      <c r="O551" s="205">
        <f t="shared" si="45"/>
        <v>0</v>
      </c>
      <c r="P551" s="555">
        <f>(1+$R$1)*Table33[[#This Row],[Hours]]</f>
        <v>0</v>
      </c>
      <c r="Q551" s="207">
        <f t="shared" si="44"/>
        <v>0</v>
      </c>
      <c r="R551" s="208">
        <f t="shared" si="46"/>
        <v>0</v>
      </c>
      <c r="S551" s="208">
        <f t="shared" si="47"/>
        <v>0</v>
      </c>
      <c r="T551" s="208" t="str">
        <f t="shared" si="48"/>
        <v/>
      </c>
      <c r="U551" s="195">
        <f>Table33[[#This Row],[gal/100ft]]*Table33[[#This Row],[QTY]]/100</f>
        <v>0</v>
      </c>
      <c r="V551" s="195"/>
      <c r="W551" s="195"/>
      <c r="X551" s="195"/>
      <c r="Y551" s="195"/>
    </row>
    <row r="552" spans="1:25" ht="12.75" x14ac:dyDescent="0.2">
      <c r="A552" s="195" t="s">
        <v>602</v>
      </c>
      <c r="B552" s="536" t="s">
        <v>874</v>
      </c>
      <c r="C552" s="195" t="s">
        <v>642</v>
      </c>
      <c r="D552" s="195" t="s">
        <v>640</v>
      </c>
      <c r="E552" s="288"/>
      <c r="F552" s="204">
        <v>20</v>
      </c>
      <c r="G552" s="204" t="s">
        <v>576</v>
      </c>
      <c r="H552" s="197" t="s">
        <v>641</v>
      </c>
      <c r="I552" s="198"/>
      <c r="J552" s="205">
        <v>1.52</v>
      </c>
      <c r="K552" s="287">
        <v>1.52</v>
      </c>
      <c r="L552" s="206">
        <v>4.24</v>
      </c>
      <c r="M552" s="286">
        <v>4.24</v>
      </c>
      <c r="N552" s="552">
        <v>41791</v>
      </c>
      <c r="O552" s="205">
        <f t="shared" si="45"/>
        <v>0</v>
      </c>
      <c r="P552" s="555">
        <f>(1+$R$1)*Table33[[#This Row],[Hours]]</f>
        <v>0</v>
      </c>
      <c r="Q552" s="207">
        <f t="shared" si="44"/>
        <v>0</v>
      </c>
      <c r="R552" s="208">
        <f t="shared" si="46"/>
        <v>0</v>
      </c>
      <c r="S552" s="208">
        <f t="shared" si="47"/>
        <v>0</v>
      </c>
      <c r="T552" s="208" t="str">
        <f t="shared" si="48"/>
        <v/>
      </c>
      <c r="U552" s="195">
        <f>Table33[[#This Row],[gal/100ft]]*Table33[[#This Row],[QTY]]/100</f>
        <v>0</v>
      </c>
      <c r="V552" s="195"/>
      <c r="W552" s="195"/>
      <c r="X552" s="195"/>
      <c r="Y552" s="195"/>
    </row>
    <row r="553" spans="1:25" ht="12.75" x14ac:dyDescent="0.2">
      <c r="A553" s="195" t="s">
        <v>602</v>
      </c>
      <c r="B553" s="536" t="s">
        <v>874</v>
      </c>
      <c r="C553" s="195" t="s">
        <v>642</v>
      </c>
      <c r="D553" s="195" t="s">
        <v>640</v>
      </c>
      <c r="E553" s="288"/>
      <c r="F553" s="204">
        <v>20</v>
      </c>
      <c r="G553" s="204" t="s">
        <v>576</v>
      </c>
      <c r="H553" s="197">
        <v>1</v>
      </c>
      <c r="I553" s="198"/>
      <c r="J553" s="205">
        <v>1.98</v>
      </c>
      <c r="K553" s="287">
        <v>1.98</v>
      </c>
      <c r="L553" s="206">
        <v>4.9400000000000004</v>
      </c>
      <c r="M553" s="286">
        <v>4.9400000000000004</v>
      </c>
      <c r="N553" s="552">
        <v>41791</v>
      </c>
      <c r="O553" s="205">
        <f t="shared" si="45"/>
        <v>0</v>
      </c>
      <c r="P553" s="555">
        <f>(1+$R$1)*Table33[[#This Row],[Hours]]</f>
        <v>0</v>
      </c>
      <c r="Q553" s="207">
        <f t="shared" si="44"/>
        <v>0</v>
      </c>
      <c r="R553" s="208">
        <f t="shared" si="46"/>
        <v>0</v>
      </c>
      <c r="S553" s="208">
        <f t="shared" si="47"/>
        <v>0</v>
      </c>
      <c r="T553" s="208" t="str">
        <f t="shared" si="48"/>
        <v/>
      </c>
      <c r="U553" s="195">
        <f>Table33[[#This Row],[gal/100ft]]*Table33[[#This Row],[QTY]]/100</f>
        <v>0</v>
      </c>
      <c r="V553" s="195"/>
      <c r="W553" s="195"/>
      <c r="X553" s="195"/>
      <c r="Y553" s="195"/>
    </row>
    <row r="554" spans="1:25" ht="12.75" x14ac:dyDescent="0.2">
      <c r="A554" s="195" t="s">
        <v>602</v>
      </c>
      <c r="B554" s="536" t="s">
        <v>874</v>
      </c>
      <c r="C554" s="195" t="s">
        <v>642</v>
      </c>
      <c r="D554" s="195" t="s">
        <v>640</v>
      </c>
      <c r="E554" s="288"/>
      <c r="F554" s="204">
        <v>20</v>
      </c>
      <c r="G554" s="204" t="s">
        <v>576</v>
      </c>
      <c r="H554" s="197">
        <v>1.25</v>
      </c>
      <c r="I554" s="198"/>
      <c r="J554" s="205">
        <v>2.4500000000000002</v>
      </c>
      <c r="K554" s="287">
        <v>2.4500000000000002</v>
      </c>
      <c r="L554" s="206">
        <v>7.84</v>
      </c>
      <c r="M554" s="286">
        <v>7.84</v>
      </c>
      <c r="N554" s="552">
        <v>41791</v>
      </c>
      <c r="O554" s="205">
        <f t="shared" si="45"/>
        <v>0</v>
      </c>
      <c r="P554" s="555">
        <f>(1+$R$1)*Table33[[#This Row],[Hours]]</f>
        <v>0</v>
      </c>
      <c r="Q554" s="207">
        <f t="shared" si="44"/>
        <v>0</v>
      </c>
      <c r="R554" s="208">
        <f t="shared" si="46"/>
        <v>0</v>
      </c>
      <c r="S554" s="208">
        <f t="shared" si="47"/>
        <v>0</v>
      </c>
      <c r="T554" s="208" t="str">
        <f t="shared" si="48"/>
        <v/>
      </c>
      <c r="U554" s="195">
        <f>Table33[[#This Row],[gal/100ft]]*Table33[[#This Row],[QTY]]/100</f>
        <v>0</v>
      </c>
      <c r="V554" s="195"/>
      <c r="W554" s="195"/>
      <c r="X554" s="195"/>
      <c r="Y554" s="195"/>
    </row>
    <row r="555" spans="1:25" ht="12.75" x14ac:dyDescent="0.2">
      <c r="A555" s="195" t="s">
        <v>602</v>
      </c>
      <c r="B555" s="536" t="s">
        <v>874</v>
      </c>
      <c r="C555" s="195" t="s">
        <v>642</v>
      </c>
      <c r="D555" s="195" t="s">
        <v>640</v>
      </c>
      <c r="E555" s="288"/>
      <c r="F555" s="204">
        <v>20</v>
      </c>
      <c r="G555" s="204" t="s">
        <v>576</v>
      </c>
      <c r="H555" s="197">
        <v>1.5</v>
      </c>
      <c r="I555" s="198"/>
      <c r="J555" s="205">
        <v>2.88</v>
      </c>
      <c r="K555" s="287">
        <v>2.88</v>
      </c>
      <c r="L555" s="206">
        <v>7.84</v>
      </c>
      <c r="M555" s="286">
        <v>7.84</v>
      </c>
      <c r="N555" s="552">
        <v>41791</v>
      </c>
      <c r="O555" s="205">
        <f t="shared" si="45"/>
        <v>0</v>
      </c>
      <c r="P555" s="555">
        <f>(1+$R$1)*Table33[[#This Row],[Hours]]</f>
        <v>0</v>
      </c>
      <c r="Q555" s="207">
        <f t="shared" si="44"/>
        <v>0</v>
      </c>
      <c r="R555" s="208">
        <f t="shared" si="46"/>
        <v>0</v>
      </c>
      <c r="S555" s="208">
        <f t="shared" si="47"/>
        <v>0</v>
      </c>
      <c r="T555" s="208" t="str">
        <f t="shared" si="48"/>
        <v/>
      </c>
      <c r="U555" s="195">
        <f>Table33[[#This Row],[gal/100ft]]*Table33[[#This Row],[QTY]]/100</f>
        <v>0</v>
      </c>
      <c r="V555" s="195"/>
      <c r="W555" s="195"/>
      <c r="X555" s="195"/>
      <c r="Y555" s="195"/>
    </row>
    <row r="556" spans="1:25" ht="12.75" x14ac:dyDescent="0.2">
      <c r="A556" s="195" t="s">
        <v>602</v>
      </c>
      <c r="B556" s="536" t="s">
        <v>874</v>
      </c>
      <c r="C556" s="195" t="s">
        <v>642</v>
      </c>
      <c r="D556" s="195" t="s">
        <v>640</v>
      </c>
      <c r="E556" s="288"/>
      <c r="F556" s="204">
        <v>20</v>
      </c>
      <c r="G556" s="204" t="s">
        <v>576</v>
      </c>
      <c r="H556" s="197">
        <v>2</v>
      </c>
      <c r="I556" s="198"/>
      <c r="J556" s="205">
        <v>3.74</v>
      </c>
      <c r="K556" s="287">
        <v>3.74</v>
      </c>
      <c r="L556" s="206">
        <v>8.92</v>
      </c>
      <c r="M556" s="286">
        <v>8.92</v>
      </c>
      <c r="N556" s="552">
        <v>41791</v>
      </c>
      <c r="O556" s="205">
        <f t="shared" si="45"/>
        <v>0</v>
      </c>
      <c r="P556" s="555">
        <f>(1+$R$1)*Table33[[#This Row],[Hours]]</f>
        <v>0</v>
      </c>
      <c r="Q556" s="207">
        <f t="shared" si="44"/>
        <v>0</v>
      </c>
      <c r="R556" s="208">
        <f t="shared" si="46"/>
        <v>0</v>
      </c>
      <c r="S556" s="208">
        <f t="shared" si="47"/>
        <v>0</v>
      </c>
      <c r="T556" s="208" t="str">
        <f t="shared" si="48"/>
        <v/>
      </c>
      <c r="U556" s="195">
        <f>Table33[[#This Row],[gal/100ft]]*Table33[[#This Row],[QTY]]/100</f>
        <v>0</v>
      </c>
      <c r="V556" s="195"/>
      <c r="W556" s="195"/>
      <c r="X556" s="195"/>
      <c r="Y556" s="195"/>
    </row>
    <row r="557" spans="1:25" ht="12.75" x14ac:dyDescent="0.2">
      <c r="A557" s="195" t="s">
        <v>602</v>
      </c>
      <c r="B557" s="536" t="s">
        <v>874</v>
      </c>
      <c r="C557" s="195" t="s">
        <v>642</v>
      </c>
      <c r="D557" s="195" t="s">
        <v>640</v>
      </c>
      <c r="E557" s="288"/>
      <c r="F557" s="204">
        <v>24</v>
      </c>
      <c r="G557" s="204" t="s">
        <v>576</v>
      </c>
      <c r="H557" s="197" t="s">
        <v>596</v>
      </c>
      <c r="I557" s="198"/>
      <c r="J557" s="205">
        <v>1.06</v>
      </c>
      <c r="K557" s="287">
        <v>1.06</v>
      </c>
      <c r="L557" s="206">
        <v>3.68</v>
      </c>
      <c r="M557" s="286">
        <v>3.68</v>
      </c>
      <c r="N557" s="552">
        <v>41791</v>
      </c>
      <c r="O557" s="205">
        <f t="shared" si="45"/>
        <v>0</v>
      </c>
      <c r="P557" s="555">
        <f>(1+$R$1)*Table33[[#This Row],[Hours]]</f>
        <v>0</v>
      </c>
      <c r="Q557" s="207">
        <f t="shared" si="44"/>
        <v>0</v>
      </c>
      <c r="R557" s="208">
        <f t="shared" si="46"/>
        <v>0</v>
      </c>
      <c r="S557" s="208">
        <f t="shared" si="47"/>
        <v>0</v>
      </c>
      <c r="T557" s="208" t="str">
        <f t="shared" si="48"/>
        <v/>
      </c>
      <c r="U557" s="195">
        <f>Table33[[#This Row],[gal/100ft]]*Table33[[#This Row],[QTY]]/100</f>
        <v>0</v>
      </c>
      <c r="V557" s="195"/>
      <c r="W557" s="195"/>
      <c r="X557" s="195"/>
      <c r="Y557" s="195"/>
    </row>
    <row r="558" spans="1:25" ht="12.75" x14ac:dyDescent="0.2">
      <c r="A558" s="195" t="s">
        <v>602</v>
      </c>
      <c r="B558" s="536" t="s">
        <v>874</v>
      </c>
      <c r="C558" s="195" t="s">
        <v>642</v>
      </c>
      <c r="D558" s="195" t="s">
        <v>640</v>
      </c>
      <c r="E558" s="288"/>
      <c r="F558" s="204">
        <v>24</v>
      </c>
      <c r="G558" s="204" t="s">
        <v>576</v>
      </c>
      <c r="H558" s="197" t="s">
        <v>641</v>
      </c>
      <c r="I558" s="198"/>
      <c r="J558" s="205">
        <v>1.52</v>
      </c>
      <c r="K558" s="287">
        <v>1.52</v>
      </c>
      <c r="L558" s="206">
        <v>4.24</v>
      </c>
      <c r="M558" s="286">
        <v>4.24</v>
      </c>
      <c r="N558" s="552">
        <v>41791</v>
      </c>
      <c r="O558" s="205">
        <f t="shared" si="45"/>
        <v>0</v>
      </c>
      <c r="P558" s="555">
        <f>(1+$R$1)*Table33[[#This Row],[Hours]]</f>
        <v>0</v>
      </c>
      <c r="Q558" s="207">
        <f t="shared" si="44"/>
        <v>0</v>
      </c>
      <c r="R558" s="208">
        <f t="shared" si="46"/>
        <v>0</v>
      </c>
      <c r="S558" s="208">
        <f t="shared" si="47"/>
        <v>0</v>
      </c>
      <c r="T558" s="208" t="str">
        <f t="shared" si="48"/>
        <v/>
      </c>
      <c r="U558" s="195">
        <f>Table33[[#This Row],[gal/100ft]]*Table33[[#This Row],[QTY]]/100</f>
        <v>0</v>
      </c>
      <c r="V558" s="195"/>
      <c r="W558" s="195"/>
      <c r="X558" s="195"/>
      <c r="Y558" s="195"/>
    </row>
    <row r="559" spans="1:25" ht="12.75" x14ac:dyDescent="0.2">
      <c r="A559" s="195" t="s">
        <v>602</v>
      </c>
      <c r="B559" s="536" t="s">
        <v>874</v>
      </c>
      <c r="C559" s="195" t="s">
        <v>642</v>
      </c>
      <c r="D559" s="195" t="s">
        <v>640</v>
      </c>
      <c r="E559" s="288"/>
      <c r="F559" s="204">
        <v>24</v>
      </c>
      <c r="G559" s="204" t="s">
        <v>576</v>
      </c>
      <c r="H559" s="197">
        <v>1</v>
      </c>
      <c r="I559" s="198"/>
      <c r="J559" s="205">
        <v>1.98</v>
      </c>
      <c r="K559" s="287">
        <v>1.98</v>
      </c>
      <c r="L559" s="206">
        <v>4.9400000000000004</v>
      </c>
      <c r="M559" s="286">
        <v>4.9400000000000004</v>
      </c>
      <c r="N559" s="552">
        <v>41791</v>
      </c>
      <c r="O559" s="205">
        <f t="shared" si="45"/>
        <v>0</v>
      </c>
      <c r="P559" s="555">
        <f>(1+$R$1)*Table33[[#This Row],[Hours]]</f>
        <v>0</v>
      </c>
      <c r="Q559" s="207">
        <f t="shared" si="44"/>
        <v>0</v>
      </c>
      <c r="R559" s="208">
        <f t="shared" si="46"/>
        <v>0</v>
      </c>
      <c r="S559" s="208">
        <f t="shared" si="47"/>
        <v>0</v>
      </c>
      <c r="T559" s="208" t="str">
        <f t="shared" si="48"/>
        <v/>
      </c>
      <c r="U559" s="195">
        <f>Table33[[#This Row],[gal/100ft]]*Table33[[#This Row],[QTY]]/100</f>
        <v>0</v>
      </c>
      <c r="V559" s="195"/>
      <c r="W559" s="195"/>
      <c r="X559" s="195"/>
      <c r="Y559" s="195"/>
    </row>
    <row r="560" spans="1:25" ht="12.75" x14ac:dyDescent="0.2">
      <c r="A560" s="195" t="s">
        <v>602</v>
      </c>
      <c r="B560" s="536" t="s">
        <v>874</v>
      </c>
      <c r="C560" s="195" t="s">
        <v>642</v>
      </c>
      <c r="D560" s="195" t="s">
        <v>640</v>
      </c>
      <c r="E560" s="288"/>
      <c r="F560" s="204">
        <v>24</v>
      </c>
      <c r="G560" s="204" t="s">
        <v>576</v>
      </c>
      <c r="H560" s="197">
        <v>1.25</v>
      </c>
      <c r="I560" s="198"/>
      <c r="J560" s="205">
        <v>2.4500000000000002</v>
      </c>
      <c r="K560" s="287">
        <v>2.4500000000000002</v>
      </c>
      <c r="L560" s="206">
        <v>7.84</v>
      </c>
      <c r="M560" s="286">
        <v>7.84</v>
      </c>
      <c r="N560" s="552">
        <v>41791</v>
      </c>
      <c r="O560" s="205">
        <f t="shared" si="45"/>
        <v>0</v>
      </c>
      <c r="P560" s="555">
        <f>(1+$R$1)*Table33[[#This Row],[Hours]]</f>
        <v>0</v>
      </c>
      <c r="Q560" s="207">
        <f t="shared" si="44"/>
        <v>0</v>
      </c>
      <c r="R560" s="208">
        <f t="shared" si="46"/>
        <v>0</v>
      </c>
      <c r="S560" s="208">
        <f t="shared" si="47"/>
        <v>0</v>
      </c>
      <c r="T560" s="208" t="str">
        <f t="shared" si="48"/>
        <v/>
      </c>
      <c r="U560" s="195">
        <f>Table33[[#This Row],[gal/100ft]]*Table33[[#This Row],[QTY]]/100</f>
        <v>0</v>
      </c>
      <c r="V560" s="195"/>
      <c r="W560" s="195"/>
      <c r="X560" s="195"/>
      <c r="Y560" s="195"/>
    </row>
    <row r="561" spans="1:25" ht="12.75" x14ac:dyDescent="0.2">
      <c r="A561" s="195" t="s">
        <v>602</v>
      </c>
      <c r="B561" s="536" t="s">
        <v>874</v>
      </c>
      <c r="C561" s="195" t="s">
        <v>642</v>
      </c>
      <c r="D561" s="195" t="s">
        <v>640</v>
      </c>
      <c r="E561" s="288"/>
      <c r="F561" s="204">
        <v>24</v>
      </c>
      <c r="G561" s="204" t="s">
        <v>576</v>
      </c>
      <c r="H561" s="197">
        <v>1.5</v>
      </c>
      <c r="I561" s="198"/>
      <c r="J561" s="205">
        <v>2.88</v>
      </c>
      <c r="K561" s="287">
        <v>2.88</v>
      </c>
      <c r="L561" s="206">
        <v>7.84</v>
      </c>
      <c r="M561" s="286">
        <v>7.84</v>
      </c>
      <c r="N561" s="552">
        <v>41791</v>
      </c>
      <c r="O561" s="205">
        <f t="shared" si="45"/>
        <v>0</v>
      </c>
      <c r="P561" s="555">
        <f>(1+$R$1)*Table33[[#This Row],[Hours]]</f>
        <v>0</v>
      </c>
      <c r="Q561" s="207">
        <f t="shared" si="44"/>
        <v>0</v>
      </c>
      <c r="R561" s="208">
        <f t="shared" si="46"/>
        <v>0</v>
      </c>
      <c r="S561" s="208">
        <f t="shared" si="47"/>
        <v>0</v>
      </c>
      <c r="T561" s="208" t="str">
        <f t="shared" si="48"/>
        <v/>
      </c>
      <c r="U561" s="195">
        <f>Table33[[#This Row],[gal/100ft]]*Table33[[#This Row],[QTY]]/100</f>
        <v>0</v>
      </c>
      <c r="V561" s="195"/>
      <c r="W561" s="195"/>
      <c r="X561" s="195"/>
      <c r="Y561" s="195"/>
    </row>
    <row r="562" spans="1:25" ht="12.75" x14ac:dyDescent="0.2">
      <c r="A562" s="195" t="s">
        <v>602</v>
      </c>
      <c r="B562" s="536" t="s">
        <v>874</v>
      </c>
      <c r="C562" s="195" t="s">
        <v>642</v>
      </c>
      <c r="D562" s="195" t="s">
        <v>640</v>
      </c>
      <c r="E562" s="288"/>
      <c r="F562" s="204">
        <v>24</v>
      </c>
      <c r="G562" s="204" t="s">
        <v>576</v>
      </c>
      <c r="H562" s="197">
        <v>2</v>
      </c>
      <c r="I562" s="198"/>
      <c r="J562" s="205">
        <v>3.74</v>
      </c>
      <c r="K562" s="287">
        <v>3.74</v>
      </c>
      <c r="L562" s="206">
        <v>8.92</v>
      </c>
      <c r="M562" s="286">
        <v>8.92</v>
      </c>
      <c r="N562" s="552">
        <v>41791</v>
      </c>
      <c r="O562" s="205">
        <f t="shared" si="45"/>
        <v>0</v>
      </c>
      <c r="P562" s="555">
        <f>(1+$R$1)*Table33[[#This Row],[Hours]]</f>
        <v>0</v>
      </c>
      <c r="Q562" s="207">
        <f t="shared" si="44"/>
        <v>0</v>
      </c>
      <c r="R562" s="208">
        <f t="shared" si="46"/>
        <v>0</v>
      </c>
      <c r="S562" s="208">
        <f t="shared" si="47"/>
        <v>0</v>
      </c>
      <c r="T562" s="208" t="str">
        <f t="shared" si="48"/>
        <v/>
      </c>
      <c r="U562" s="195">
        <f>Table33[[#This Row],[gal/100ft]]*Table33[[#This Row],[QTY]]/100</f>
        <v>0</v>
      </c>
      <c r="V562" s="195"/>
      <c r="W562" s="195"/>
      <c r="X562" s="195"/>
      <c r="Y562" s="195"/>
    </row>
    <row r="563" spans="1:25" ht="12.75" x14ac:dyDescent="0.2">
      <c r="A563" s="195" t="s">
        <v>602</v>
      </c>
      <c r="B563" s="536" t="s">
        <v>874</v>
      </c>
      <c r="C563" s="195" t="s">
        <v>642</v>
      </c>
      <c r="D563" s="195" t="s">
        <v>640</v>
      </c>
      <c r="E563" s="288"/>
      <c r="F563" s="204">
        <v>26</v>
      </c>
      <c r="G563" s="204" t="s">
        <v>576</v>
      </c>
      <c r="H563" s="197" t="s">
        <v>596</v>
      </c>
      <c r="I563" s="198"/>
      <c r="J563" s="205">
        <v>1.06</v>
      </c>
      <c r="K563" s="287">
        <v>1.06</v>
      </c>
      <c r="L563" s="206">
        <v>3.68</v>
      </c>
      <c r="M563" s="286">
        <v>3.68</v>
      </c>
      <c r="N563" s="552">
        <v>41791</v>
      </c>
      <c r="O563" s="205">
        <f t="shared" si="45"/>
        <v>0</v>
      </c>
      <c r="P563" s="555">
        <f>(1+$R$1)*Table33[[#This Row],[Hours]]</f>
        <v>0</v>
      </c>
      <c r="Q563" s="207">
        <f t="shared" si="44"/>
        <v>0</v>
      </c>
      <c r="R563" s="208">
        <f t="shared" si="46"/>
        <v>0</v>
      </c>
      <c r="S563" s="208">
        <f t="shared" si="47"/>
        <v>0</v>
      </c>
      <c r="T563" s="208" t="str">
        <f t="shared" si="48"/>
        <v/>
      </c>
      <c r="U563" s="195">
        <f>Table33[[#This Row],[gal/100ft]]*Table33[[#This Row],[QTY]]/100</f>
        <v>0</v>
      </c>
      <c r="V563" s="195"/>
      <c r="W563" s="195"/>
      <c r="X563" s="195"/>
      <c r="Y563" s="195"/>
    </row>
    <row r="564" spans="1:25" ht="12.75" x14ac:dyDescent="0.2">
      <c r="A564" s="195" t="s">
        <v>602</v>
      </c>
      <c r="B564" s="536" t="s">
        <v>874</v>
      </c>
      <c r="C564" s="195" t="s">
        <v>642</v>
      </c>
      <c r="D564" s="195" t="s">
        <v>640</v>
      </c>
      <c r="E564" s="288"/>
      <c r="F564" s="204">
        <v>26</v>
      </c>
      <c r="G564" s="204" t="s">
        <v>576</v>
      </c>
      <c r="H564" s="197" t="s">
        <v>641</v>
      </c>
      <c r="I564" s="198"/>
      <c r="J564" s="205">
        <v>1.52</v>
      </c>
      <c r="K564" s="287">
        <v>1.52</v>
      </c>
      <c r="L564" s="206">
        <v>4.24</v>
      </c>
      <c r="M564" s="286">
        <v>4.24</v>
      </c>
      <c r="N564" s="552">
        <v>41791</v>
      </c>
      <c r="O564" s="205">
        <f t="shared" si="45"/>
        <v>0</v>
      </c>
      <c r="P564" s="555">
        <f>(1+$R$1)*Table33[[#This Row],[Hours]]</f>
        <v>0</v>
      </c>
      <c r="Q564" s="207">
        <f t="shared" si="44"/>
        <v>0</v>
      </c>
      <c r="R564" s="208">
        <f t="shared" si="46"/>
        <v>0</v>
      </c>
      <c r="S564" s="208">
        <f t="shared" si="47"/>
        <v>0</v>
      </c>
      <c r="T564" s="208" t="str">
        <f t="shared" si="48"/>
        <v/>
      </c>
      <c r="U564" s="195">
        <f>Table33[[#This Row],[gal/100ft]]*Table33[[#This Row],[QTY]]/100</f>
        <v>0</v>
      </c>
      <c r="V564" s="195"/>
      <c r="W564" s="195"/>
      <c r="X564" s="195"/>
      <c r="Y564" s="195"/>
    </row>
    <row r="565" spans="1:25" ht="12.75" x14ac:dyDescent="0.2">
      <c r="A565" s="195" t="s">
        <v>602</v>
      </c>
      <c r="B565" s="536" t="s">
        <v>874</v>
      </c>
      <c r="C565" s="195" t="s">
        <v>642</v>
      </c>
      <c r="D565" s="195" t="s">
        <v>640</v>
      </c>
      <c r="E565" s="288"/>
      <c r="F565" s="204">
        <v>26</v>
      </c>
      <c r="G565" s="204" t="s">
        <v>576</v>
      </c>
      <c r="H565" s="195">
        <v>1</v>
      </c>
      <c r="I565" s="198"/>
      <c r="J565" s="205">
        <v>1.98</v>
      </c>
      <c r="K565" s="287">
        <v>1.98</v>
      </c>
      <c r="L565" s="206">
        <v>4.9400000000000004</v>
      </c>
      <c r="M565" s="286">
        <v>4.9400000000000004</v>
      </c>
      <c r="N565" s="552">
        <v>41791</v>
      </c>
      <c r="O565" s="205">
        <f t="shared" si="45"/>
        <v>0</v>
      </c>
      <c r="P565" s="555">
        <f>(1+$R$1)*Table33[[#This Row],[Hours]]</f>
        <v>0</v>
      </c>
      <c r="Q565" s="207">
        <f t="shared" si="44"/>
        <v>0</v>
      </c>
      <c r="R565" s="208">
        <f t="shared" si="46"/>
        <v>0</v>
      </c>
      <c r="S565" s="208">
        <f t="shared" si="47"/>
        <v>0</v>
      </c>
      <c r="T565" s="208" t="str">
        <f t="shared" si="48"/>
        <v/>
      </c>
      <c r="U565" s="195">
        <f>Table33[[#This Row],[gal/100ft]]*Table33[[#This Row],[QTY]]/100</f>
        <v>0</v>
      </c>
      <c r="V565" s="195"/>
      <c r="W565" s="195"/>
      <c r="X565" s="195"/>
      <c r="Y565" s="195"/>
    </row>
    <row r="566" spans="1:25" ht="12.75" x14ac:dyDescent="0.2">
      <c r="A566" s="195" t="s">
        <v>602</v>
      </c>
      <c r="B566" s="536" t="s">
        <v>874</v>
      </c>
      <c r="C566" s="195" t="s">
        <v>642</v>
      </c>
      <c r="D566" s="195" t="s">
        <v>640</v>
      </c>
      <c r="E566" s="288"/>
      <c r="F566" s="204">
        <v>26</v>
      </c>
      <c r="G566" s="204" t="s">
        <v>576</v>
      </c>
      <c r="H566" s="197">
        <v>1.25</v>
      </c>
      <c r="I566" s="198"/>
      <c r="J566" s="205">
        <v>2.4500000000000002</v>
      </c>
      <c r="K566" s="287">
        <v>2.4500000000000002</v>
      </c>
      <c r="L566" s="206">
        <v>7.84</v>
      </c>
      <c r="M566" s="286">
        <v>7.84</v>
      </c>
      <c r="N566" s="552">
        <v>41791</v>
      </c>
      <c r="O566" s="205">
        <f t="shared" si="45"/>
        <v>0</v>
      </c>
      <c r="P566" s="555">
        <f>(1+$R$1)*Table33[[#This Row],[Hours]]</f>
        <v>0</v>
      </c>
      <c r="Q566" s="207">
        <f t="shared" si="44"/>
        <v>0</v>
      </c>
      <c r="R566" s="208">
        <f t="shared" si="46"/>
        <v>0</v>
      </c>
      <c r="S566" s="208">
        <f t="shared" si="47"/>
        <v>0</v>
      </c>
      <c r="T566" s="208" t="str">
        <f t="shared" si="48"/>
        <v/>
      </c>
      <c r="U566" s="195">
        <f>Table33[[#This Row],[gal/100ft]]*Table33[[#This Row],[QTY]]/100</f>
        <v>0</v>
      </c>
      <c r="V566" s="195"/>
      <c r="W566" s="195"/>
      <c r="X566" s="195"/>
      <c r="Y566" s="195"/>
    </row>
    <row r="567" spans="1:25" ht="12.75" x14ac:dyDescent="0.2">
      <c r="A567" s="195" t="s">
        <v>602</v>
      </c>
      <c r="B567" s="536" t="s">
        <v>874</v>
      </c>
      <c r="C567" s="195" t="s">
        <v>642</v>
      </c>
      <c r="D567" s="195" t="s">
        <v>640</v>
      </c>
      <c r="E567" s="288"/>
      <c r="F567" s="204">
        <v>26</v>
      </c>
      <c r="G567" s="204" t="s">
        <v>576</v>
      </c>
      <c r="H567" s="197">
        <v>1.5</v>
      </c>
      <c r="I567" s="198"/>
      <c r="J567" s="205">
        <v>2.88</v>
      </c>
      <c r="K567" s="287">
        <v>2.88</v>
      </c>
      <c r="L567" s="206">
        <v>7.84</v>
      </c>
      <c r="M567" s="286">
        <v>7.84</v>
      </c>
      <c r="N567" s="552">
        <v>41791</v>
      </c>
      <c r="O567" s="205">
        <f t="shared" si="45"/>
        <v>0</v>
      </c>
      <c r="P567" s="555">
        <f>(1+$R$1)*Table33[[#This Row],[Hours]]</f>
        <v>0</v>
      </c>
      <c r="Q567" s="207">
        <f t="shared" si="44"/>
        <v>0</v>
      </c>
      <c r="R567" s="208">
        <f t="shared" si="46"/>
        <v>0</v>
      </c>
      <c r="S567" s="208">
        <f t="shared" si="47"/>
        <v>0</v>
      </c>
      <c r="T567" s="208" t="str">
        <f t="shared" si="48"/>
        <v/>
      </c>
      <c r="U567" s="195">
        <f>Table33[[#This Row],[gal/100ft]]*Table33[[#This Row],[QTY]]/100</f>
        <v>0</v>
      </c>
      <c r="V567" s="195"/>
      <c r="W567" s="195"/>
      <c r="X567" s="195"/>
      <c r="Y567" s="195"/>
    </row>
    <row r="568" spans="1:25" ht="12.75" x14ac:dyDescent="0.2">
      <c r="A568" s="195" t="s">
        <v>602</v>
      </c>
      <c r="B568" s="536" t="s">
        <v>874</v>
      </c>
      <c r="C568" s="195" t="s">
        <v>642</v>
      </c>
      <c r="D568" s="195" t="s">
        <v>640</v>
      </c>
      <c r="E568" s="288"/>
      <c r="F568" s="204">
        <v>26</v>
      </c>
      <c r="G568" s="204" t="s">
        <v>576</v>
      </c>
      <c r="H568" s="195">
        <v>2</v>
      </c>
      <c r="I568" s="198"/>
      <c r="J568" s="205">
        <v>3.74</v>
      </c>
      <c r="K568" s="287">
        <v>3.74</v>
      </c>
      <c r="L568" s="206">
        <v>8.92</v>
      </c>
      <c r="M568" s="286">
        <v>8.92</v>
      </c>
      <c r="N568" s="552">
        <v>41791</v>
      </c>
      <c r="O568" s="205">
        <f t="shared" si="45"/>
        <v>0</v>
      </c>
      <c r="P568" s="555">
        <f>(1+$R$1)*Table33[[#This Row],[Hours]]</f>
        <v>0</v>
      </c>
      <c r="Q568" s="207">
        <f t="shared" si="44"/>
        <v>0</v>
      </c>
      <c r="R568" s="208">
        <f t="shared" si="46"/>
        <v>0</v>
      </c>
      <c r="S568" s="208">
        <f t="shared" si="47"/>
        <v>0</v>
      </c>
      <c r="T568" s="208" t="str">
        <f t="shared" si="48"/>
        <v/>
      </c>
      <c r="U568" s="195">
        <f>Table33[[#This Row],[gal/100ft]]*Table33[[#This Row],[QTY]]/100</f>
        <v>0</v>
      </c>
      <c r="V568" s="195"/>
      <c r="W568" s="195"/>
      <c r="X568" s="195"/>
      <c r="Y568" s="195"/>
    </row>
    <row r="569" spans="1:25" ht="12.75" x14ac:dyDescent="0.2">
      <c r="A569" s="195" t="s">
        <v>602</v>
      </c>
      <c r="B569" s="536" t="s">
        <v>874</v>
      </c>
      <c r="C569" s="195" t="s">
        <v>642</v>
      </c>
      <c r="D569" s="195" t="s">
        <v>640</v>
      </c>
      <c r="E569" s="288"/>
      <c r="F569" s="204">
        <v>30</v>
      </c>
      <c r="G569" s="204" t="s">
        <v>576</v>
      </c>
      <c r="H569" s="197" t="s">
        <v>596</v>
      </c>
      <c r="I569" s="198"/>
      <c r="J569" s="205">
        <v>1.06</v>
      </c>
      <c r="K569" s="287">
        <v>1.06</v>
      </c>
      <c r="L569" s="206">
        <v>3.68</v>
      </c>
      <c r="M569" s="286">
        <v>3.68</v>
      </c>
      <c r="N569" s="552">
        <v>41791</v>
      </c>
      <c r="O569" s="205">
        <f t="shared" si="45"/>
        <v>0</v>
      </c>
      <c r="P569" s="555">
        <f>(1+$R$1)*Table33[[#This Row],[Hours]]</f>
        <v>0</v>
      </c>
      <c r="Q569" s="207">
        <f t="shared" si="44"/>
        <v>0</v>
      </c>
      <c r="R569" s="208">
        <f t="shared" si="46"/>
        <v>0</v>
      </c>
      <c r="S569" s="208">
        <f t="shared" si="47"/>
        <v>0</v>
      </c>
      <c r="T569" s="208" t="str">
        <f t="shared" si="48"/>
        <v/>
      </c>
      <c r="U569" s="195">
        <f>Table33[[#This Row],[gal/100ft]]*Table33[[#This Row],[QTY]]/100</f>
        <v>0</v>
      </c>
      <c r="V569" s="195"/>
      <c r="W569" s="195"/>
      <c r="X569" s="195"/>
      <c r="Y569" s="195"/>
    </row>
    <row r="570" spans="1:25" ht="12.75" x14ac:dyDescent="0.2">
      <c r="A570" s="195" t="s">
        <v>602</v>
      </c>
      <c r="B570" s="536" t="s">
        <v>874</v>
      </c>
      <c r="C570" s="195" t="s">
        <v>642</v>
      </c>
      <c r="D570" s="195" t="s">
        <v>640</v>
      </c>
      <c r="E570" s="288"/>
      <c r="F570" s="204">
        <v>30</v>
      </c>
      <c r="G570" s="204" t="s">
        <v>576</v>
      </c>
      <c r="H570" s="197" t="s">
        <v>641</v>
      </c>
      <c r="I570" s="198"/>
      <c r="J570" s="205">
        <v>1.52</v>
      </c>
      <c r="K570" s="287">
        <v>1.52</v>
      </c>
      <c r="L570" s="206">
        <v>4.24</v>
      </c>
      <c r="M570" s="286">
        <v>4.24</v>
      </c>
      <c r="N570" s="552">
        <v>41791</v>
      </c>
      <c r="O570" s="205">
        <f t="shared" si="45"/>
        <v>0</v>
      </c>
      <c r="P570" s="555">
        <f>(1+$R$1)*Table33[[#This Row],[Hours]]</f>
        <v>0</v>
      </c>
      <c r="Q570" s="207">
        <f t="shared" si="44"/>
        <v>0</v>
      </c>
      <c r="R570" s="208">
        <f t="shared" si="46"/>
        <v>0</v>
      </c>
      <c r="S570" s="208">
        <f t="shared" si="47"/>
        <v>0</v>
      </c>
      <c r="T570" s="208" t="str">
        <f t="shared" si="48"/>
        <v/>
      </c>
      <c r="U570" s="195">
        <f>Table33[[#This Row],[gal/100ft]]*Table33[[#This Row],[QTY]]/100</f>
        <v>0</v>
      </c>
      <c r="V570" s="195"/>
      <c r="W570" s="195"/>
      <c r="X570" s="195"/>
      <c r="Y570" s="195"/>
    </row>
    <row r="571" spans="1:25" ht="12.75" x14ac:dyDescent="0.2">
      <c r="A571" s="195" t="s">
        <v>602</v>
      </c>
      <c r="B571" s="536" t="s">
        <v>874</v>
      </c>
      <c r="C571" s="195" t="s">
        <v>642</v>
      </c>
      <c r="D571" s="195" t="s">
        <v>640</v>
      </c>
      <c r="E571" s="288"/>
      <c r="F571" s="204">
        <v>30</v>
      </c>
      <c r="G571" s="204" t="s">
        <v>576</v>
      </c>
      <c r="H571" s="197">
        <v>1</v>
      </c>
      <c r="I571" s="198"/>
      <c r="J571" s="205">
        <v>1.98</v>
      </c>
      <c r="K571" s="287">
        <v>1.98</v>
      </c>
      <c r="L571" s="206">
        <v>4.9400000000000004</v>
      </c>
      <c r="M571" s="286">
        <v>4.9400000000000004</v>
      </c>
      <c r="N571" s="552">
        <v>41791</v>
      </c>
      <c r="O571" s="205">
        <f t="shared" si="45"/>
        <v>0</v>
      </c>
      <c r="P571" s="555">
        <f>(1+$R$1)*Table33[[#This Row],[Hours]]</f>
        <v>0</v>
      </c>
      <c r="Q571" s="207">
        <f t="shared" si="44"/>
        <v>0</v>
      </c>
      <c r="R571" s="208">
        <f t="shared" si="46"/>
        <v>0</v>
      </c>
      <c r="S571" s="208">
        <f t="shared" si="47"/>
        <v>0</v>
      </c>
      <c r="T571" s="208" t="str">
        <f t="shared" si="48"/>
        <v/>
      </c>
      <c r="U571" s="195">
        <f>Table33[[#This Row],[gal/100ft]]*Table33[[#This Row],[QTY]]/100</f>
        <v>0</v>
      </c>
      <c r="V571" s="195"/>
      <c r="W571" s="195"/>
      <c r="X571" s="195"/>
      <c r="Y571" s="195"/>
    </row>
    <row r="572" spans="1:25" ht="12.75" x14ac:dyDescent="0.2">
      <c r="A572" s="195" t="s">
        <v>602</v>
      </c>
      <c r="B572" s="536" t="s">
        <v>874</v>
      </c>
      <c r="C572" s="195" t="s">
        <v>642</v>
      </c>
      <c r="D572" s="195" t="s">
        <v>640</v>
      </c>
      <c r="E572" s="288"/>
      <c r="F572" s="204">
        <v>30</v>
      </c>
      <c r="G572" s="204" t="s">
        <v>576</v>
      </c>
      <c r="H572" s="197">
        <v>1.25</v>
      </c>
      <c r="I572" s="198"/>
      <c r="J572" s="205">
        <v>2.4500000000000002</v>
      </c>
      <c r="K572" s="287">
        <v>2.4500000000000002</v>
      </c>
      <c r="L572" s="206">
        <v>7.84</v>
      </c>
      <c r="M572" s="286">
        <v>7.84</v>
      </c>
      <c r="N572" s="552">
        <v>41791</v>
      </c>
      <c r="O572" s="205">
        <f t="shared" si="45"/>
        <v>0</v>
      </c>
      <c r="P572" s="555">
        <f>(1+$R$1)*Table33[[#This Row],[Hours]]</f>
        <v>0</v>
      </c>
      <c r="Q572" s="207">
        <f t="shared" si="44"/>
        <v>0</v>
      </c>
      <c r="R572" s="208">
        <f t="shared" si="46"/>
        <v>0</v>
      </c>
      <c r="S572" s="208">
        <f t="shared" si="47"/>
        <v>0</v>
      </c>
      <c r="T572" s="208" t="str">
        <f t="shared" si="48"/>
        <v/>
      </c>
      <c r="U572" s="195">
        <f>Table33[[#This Row],[gal/100ft]]*Table33[[#This Row],[QTY]]/100</f>
        <v>0</v>
      </c>
      <c r="V572" s="195"/>
      <c r="W572" s="195"/>
      <c r="X572" s="195"/>
      <c r="Y572" s="195"/>
    </row>
    <row r="573" spans="1:25" ht="12.75" x14ac:dyDescent="0.2">
      <c r="A573" s="195" t="s">
        <v>602</v>
      </c>
      <c r="B573" s="536" t="s">
        <v>874</v>
      </c>
      <c r="C573" s="195" t="s">
        <v>642</v>
      </c>
      <c r="D573" s="195" t="s">
        <v>640</v>
      </c>
      <c r="E573" s="288"/>
      <c r="F573" s="204">
        <v>30</v>
      </c>
      <c r="G573" s="204" t="s">
        <v>576</v>
      </c>
      <c r="H573" s="197">
        <v>1.5</v>
      </c>
      <c r="I573" s="198"/>
      <c r="J573" s="205">
        <v>2.88</v>
      </c>
      <c r="K573" s="287">
        <v>2.88</v>
      </c>
      <c r="L573" s="206">
        <v>7.84</v>
      </c>
      <c r="M573" s="286">
        <v>7.84</v>
      </c>
      <c r="N573" s="552">
        <v>41791</v>
      </c>
      <c r="O573" s="205">
        <f t="shared" si="45"/>
        <v>0</v>
      </c>
      <c r="P573" s="555">
        <f>(1+$R$1)*Table33[[#This Row],[Hours]]</f>
        <v>0</v>
      </c>
      <c r="Q573" s="207">
        <f t="shared" si="44"/>
        <v>0</v>
      </c>
      <c r="R573" s="208">
        <f t="shared" si="46"/>
        <v>0</v>
      </c>
      <c r="S573" s="208">
        <f t="shared" si="47"/>
        <v>0</v>
      </c>
      <c r="T573" s="208" t="str">
        <f t="shared" si="48"/>
        <v/>
      </c>
      <c r="U573" s="195">
        <f>Table33[[#This Row],[gal/100ft]]*Table33[[#This Row],[QTY]]/100</f>
        <v>0</v>
      </c>
      <c r="V573" s="195"/>
      <c r="W573" s="195"/>
      <c r="X573" s="195"/>
      <c r="Y573" s="195"/>
    </row>
    <row r="574" spans="1:25" ht="12.75" x14ac:dyDescent="0.2">
      <c r="A574" s="195" t="s">
        <v>602</v>
      </c>
      <c r="B574" s="536" t="s">
        <v>874</v>
      </c>
      <c r="C574" s="195" t="s">
        <v>642</v>
      </c>
      <c r="D574" s="195" t="s">
        <v>640</v>
      </c>
      <c r="E574" s="288"/>
      <c r="F574" s="204">
        <v>30</v>
      </c>
      <c r="G574" s="204" t="s">
        <v>576</v>
      </c>
      <c r="H574" s="197">
        <v>2</v>
      </c>
      <c r="I574" s="198"/>
      <c r="J574" s="205">
        <v>3.74</v>
      </c>
      <c r="K574" s="287">
        <v>3.74</v>
      </c>
      <c r="L574" s="206">
        <v>8.92</v>
      </c>
      <c r="M574" s="286">
        <v>8.92</v>
      </c>
      <c r="N574" s="552">
        <v>41791</v>
      </c>
      <c r="O574" s="205">
        <f t="shared" si="45"/>
        <v>0</v>
      </c>
      <c r="P574" s="555">
        <f>(1+$R$1)*Table33[[#This Row],[Hours]]</f>
        <v>0</v>
      </c>
      <c r="Q574" s="207">
        <f t="shared" si="44"/>
        <v>0</v>
      </c>
      <c r="R574" s="208">
        <f t="shared" si="46"/>
        <v>0</v>
      </c>
      <c r="S574" s="208">
        <f t="shared" si="47"/>
        <v>0</v>
      </c>
      <c r="T574" s="208" t="str">
        <f t="shared" si="48"/>
        <v/>
      </c>
      <c r="U574" s="195">
        <f>Table33[[#This Row],[gal/100ft]]*Table33[[#This Row],[QTY]]/100</f>
        <v>0</v>
      </c>
      <c r="V574" s="195"/>
      <c r="W574" s="195"/>
      <c r="X574" s="195"/>
      <c r="Y574" s="195"/>
    </row>
    <row r="575" spans="1:25" ht="12.75" x14ac:dyDescent="0.2">
      <c r="A575" s="195" t="s">
        <v>602</v>
      </c>
      <c r="B575" s="536" t="s">
        <v>874</v>
      </c>
      <c r="C575" s="195" t="s">
        <v>642</v>
      </c>
      <c r="D575" s="195" t="s">
        <v>640</v>
      </c>
      <c r="E575" s="288"/>
      <c r="F575" s="204">
        <v>36</v>
      </c>
      <c r="G575" s="204" t="s">
        <v>576</v>
      </c>
      <c r="H575" s="197" t="s">
        <v>596</v>
      </c>
      <c r="I575" s="198"/>
      <c r="J575" s="205">
        <v>1.06</v>
      </c>
      <c r="K575" s="287">
        <v>1.06</v>
      </c>
      <c r="L575" s="206">
        <v>3.68</v>
      </c>
      <c r="M575" s="286">
        <v>3.68</v>
      </c>
      <c r="N575" s="552">
        <v>41791</v>
      </c>
      <c r="O575" s="205">
        <f t="shared" si="45"/>
        <v>0</v>
      </c>
      <c r="P575" s="555">
        <f>(1+$R$1)*Table33[[#This Row],[Hours]]</f>
        <v>0</v>
      </c>
      <c r="Q575" s="207">
        <f t="shared" si="44"/>
        <v>0</v>
      </c>
      <c r="R575" s="208">
        <f t="shared" si="46"/>
        <v>0</v>
      </c>
      <c r="S575" s="208">
        <f t="shared" si="47"/>
        <v>0</v>
      </c>
      <c r="T575" s="208" t="str">
        <f t="shared" si="48"/>
        <v/>
      </c>
      <c r="U575" s="195">
        <f>Table33[[#This Row],[gal/100ft]]*Table33[[#This Row],[QTY]]/100</f>
        <v>0</v>
      </c>
      <c r="V575" s="195"/>
      <c r="W575" s="195"/>
      <c r="X575" s="195"/>
      <c r="Y575" s="195"/>
    </row>
    <row r="576" spans="1:25" ht="12.75" x14ac:dyDescent="0.2">
      <c r="A576" s="195" t="s">
        <v>602</v>
      </c>
      <c r="B576" s="536" t="s">
        <v>874</v>
      </c>
      <c r="C576" s="195" t="s">
        <v>642</v>
      </c>
      <c r="D576" s="195" t="s">
        <v>640</v>
      </c>
      <c r="E576" s="288"/>
      <c r="F576" s="204">
        <v>36</v>
      </c>
      <c r="G576" s="204" t="s">
        <v>576</v>
      </c>
      <c r="H576" s="197" t="s">
        <v>641</v>
      </c>
      <c r="I576" s="198"/>
      <c r="J576" s="205">
        <v>1.52</v>
      </c>
      <c r="K576" s="287">
        <v>1.52</v>
      </c>
      <c r="L576" s="206">
        <v>4.24</v>
      </c>
      <c r="M576" s="286">
        <v>4.24</v>
      </c>
      <c r="N576" s="552">
        <v>41791</v>
      </c>
      <c r="O576" s="205">
        <f t="shared" si="45"/>
        <v>0</v>
      </c>
      <c r="P576" s="555">
        <f>(1+$R$1)*Table33[[#This Row],[Hours]]</f>
        <v>0</v>
      </c>
      <c r="Q576" s="207">
        <f t="shared" si="44"/>
        <v>0</v>
      </c>
      <c r="R576" s="208">
        <f t="shared" si="46"/>
        <v>0</v>
      </c>
      <c r="S576" s="208">
        <f t="shared" si="47"/>
        <v>0</v>
      </c>
      <c r="T576" s="208" t="str">
        <f t="shared" si="48"/>
        <v/>
      </c>
      <c r="U576" s="195">
        <f>Table33[[#This Row],[gal/100ft]]*Table33[[#This Row],[QTY]]/100</f>
        <v>0</v>
      </c>
      <c r="V576" s="195"/>
      <c r="W576" s="195"/>
      <c r="X576" s="195"/>
      <c r="Y576" s="195"/>
    </row>
    <row r="577" spans="1:25" ht="12.75" x14ac:dyDescent="0.2">
      <c r="A577" s="195" t="s">
        <v>602</v>
      </c>
      <c r="B577" s="536" t="s">
        <v>874</v>
      </c>
      <c r="C577" s="195" t="s">
        <v>642</v>
      </c>
      <c r="D577" s="195" t="s">
        <v>640</v>
      </c>
      <c r="E577" s="288"/>
      <c r="F577" s="204">
        <v>36</v>
      </c>
      <c r="G577" s="204" t="s">
        <v>576</v>
      </c>
      <c r="H577" s="197">
        <v>1</v>
      </c>
      <c r="I577" s="198"/>
      <c r="J577" s="205">
        <v>1.98</v>
      </c>
      <c r="K577" s="287">
        <v>1.98</v>
      </c>
      <c r="L577" s="206">
        <v>4.9400000000000004</v>
      </c>
      <c r="M577" s="286">
        <v>4.9400000000000004</v>
      </c>
      <c r="N577" s="552">
        <v>41791</v>
      </c>
      <c r="O577" s="205">
        <f t="shared" si="45"/>
        <v>0</v>
      </c>
      <c r="P577" s="555">
        <f>(1+$R$1)*Table33[[#This Row],[Hours]]</f>
        <v>0</v>
      </c>
      <c r="Q577" s="207">
        <f t="shared" si="44"/>
        <v>0</v>
      </c>
      <c r="R577" s="208">
        <f t="shared" si="46"/>
        <v>0</v>
      </c>
      <c r="S577" s="208">
        <f t="shared" si="47"/>
        <v>0</v>
      </c>
      <c r="T577" s="208" t="str">
        <f t="shared" si="48"/>
        <v/>
      </c>
      <c r="U577" s="195">
        <f>Table33[[#This Row],[gal/100ft]]*Table33[[#This Row],[QTY]]/100</f>
        <v>0</v>
      </c>
      <c r="V577" s="195"/>
      <c r="W577" s="195"/>
      <c r="X577" s="195"/>
      <c r="Y577" s="195"/>
    </row>
    <row r="578" spans="1:25" ht="12.75" x14ac:dyDescent="0.2">
      <c r="A578" s="195" t="s">
        <v>602</v>
      </c>
      <c r="B578" s="536" t="s">
        <v>874</v>
      </c>
      <c r="C578" s="195" t="s">
        <v>642</v>
      </c>
      <c r="D578" s="195" t="s">
        <v>640</v>
      </c>
      <c r="E578" s="288"/>
      <c r="F578" s="204">
        <v>36</v>
      </c>
      <c r="G578" s="204" t="s">
        <v>576</v>
      </c>
      <c r="H578" s="197">
        <v>1.25</v>
      </c>
      <c r="I578" s="198"/>
      <c r="J578" s="205">
        <v>2.4500000000000002</v>
      </c>
      <c r="K578" s="287">
        <v>2.4500000000000002</v>
      </c>
      <c r="L578" s="206">
        <v>7.84</v>
      </c>
      <c r="M578" s="286">
        <v>7.84</v>
      </c>
      <c r="N578" s="552">
        <v>41791</v>
      </c>
      <c r="O578" s="205">
        <f t="shared" si="45"/>
        <v>0</v>
      </c>
      <c r="P578" s="555">
        <f>(1+$R$1)*Table33[[#This Row],[Hours]]</f>
        <v>0</v>
      </c>
      <c r="Q578" s="207">
        <f t="shared" si="44"/>
        <v>0</v>
      </c>
      <c r="R578" s="208">
        <f t="shared" si="46"/>
        <v>0</v>
      </c>
      <c r="S578" s="208">
        <f t="shared" si="47"/>
        <v>0</v>
      </c>
      <c r="T578" s="208" t="str">
        <f t="shared" si="48"/>
        <v/>
      </c>
      <c r="U578" s="195">
        <f>Table33[[#This Row],[gal/100ft]]*Table33[[#This Row],[QTY]]/100</f>
        <v>0</v>
      </c>
      <c r="V578" s="195"/>
      <c r="W578" s="195"/>
      <c r="X578" s="195"/>
      <c r="Y578" s="195"/>
    </row>
    <row r="579" spans="1:25" ht="12.75" x14ac:dyDescent="0.2">
      <c r="A579" s="195" t="s">
        <v>602</v>
      </c>
      <c r="B579" s="536" t="s">
        <v>874</v>
      </c>
      <c r="C579" s="195" t="s">
        <v>642</v>
      </c>
      <c r="D579" s="195" t="s">
        <v>640</v>
      </c>
      <c r="E579" s="288"/>
      <c r="F579" s="204">
        <v>36</v>
      </c>
      <c r="G579" s="204" t="s">
        <v>576</v>
      </c>
      <c r="H579" s="197">
        <v>1.5</v>
      </c>
      <c r="I579" s="198"/>
      <c r="J579" s="205">
        <v>2.88</v>
      </c>
      <c r="K579" s="287">
        <v>2.88</v>
      </c>
      <c r="L579" s="206">
        <v>7.84</v>
      </c>
      <c r="M579" s="286">
        <v>7.84</v>
      </c>
      <c r="N579" s="552">
        <v>41791</v>
      </c>
      <c r="O579" s="205">
        <f t="shared" si="45"/>
        <v>0</v>
      </c>
      <c r="P579" s="555">
        <f>(1+$R$1)*Table33[[#This Row],[Hours]]</f>
        <v>0</v>
      </c>
      <c r="Q579" s="207">
        <f t="shared" si="44"/>
        <v>0</v>
      </c>
      <c r="R579" s="208">
        <f t="shared" si="46"/>
        <v>0</v>
      </c>
      <c r="S579" s="208">
        <f t="shared" si="47"/>
        <v>0</v>
      </c>
      <c r="T579" s="208" t="str">
        <f t="shared" si="48"/>
        <v/>
      </c>
      <c r="U579" s="195">
        <f>Table33[[#This Row],[gal/100ft]]*Table33[[#This Row],[QTY]]/100</f>
        <v>0</v>
      </c>
      <c r="V579" s="195"/>
      <c r="W579" s="195"/>
      <c r="X579" s="195"/>
      <c r="Y579" s="195"/>
    </row>
    <row r="580" spans="1:25" ht="12.75" x14ac:dyDescent="0.2">
      <c r="A580" s="195" t="s">
        <v>602</v>
      </c>
      <c r="B580" s="536" t="s">
        <v>874</v>
      </c>
      <c r="C580" s="195" t="s">
        <v>642</v>
      </c>
      <c r="D580" s="195" t="s">
        <v>640</v>
      </c>
      <c r="E580" s="288"/>
      <c r="F580" s="204">
        <v>36</v>
      </c>
      <c r="G580" s="204" t="s">
        <v>576</v>
      </c>
      <c r="H580" s="197">
        <v>2</v>
      </c>
      <c r="I580" s="198"/>
      <c r="J580" s="205">
        <v>3.74</v>
      </c>
      <c r="K580" s="287">
        <v>3.74</v>
      </c>
      <c r="L580" s="206">
        <v>8.92</v>
      </c>
      <c r="M580" s="286">
        <v>8.92</v>
      </c>
      <c r="N580" s="552">
        <v>41791</v>
      </c>
      <c r="O580" s="205">
        <f t="shared" si="45"/>
        <v>0</v>
      </c>
      <c r="P580" s="555">
        <f>(1+$R$1)*Table33[[#This Row],[Hours]]</f>
        <v>0</v>
      </c>
      <c r="Q580" s="207">
        <f t="shared" si="44"/>
        <v>0</v>
      </c>
      <c r="R580" s="208">
        <f t="shared" si="46"/>
        <v>0</v>
      </c>
      <c r="S580" s="208">
        <f t="shared" si="47"/>
        <v>0</v>
      </c>
      <c r="T580" s="208" t="str">
        <f t="shared" si="48"/>
        <v/>
      </c>
      <c r="U580" s="195">
        <f>Table33[[#This Row],[gal/100ft]]*Table33[[#This Row],[QTY]]/100</f>
        <v>0</v>
      </c>
      <c r="V580" s="195"/>
      <c r="W580" s="195"/>
      <c r="X580" s="195"/>
      <c r="Y580" s="195"/>
    </row>
    <row r="581" spans="1:25" ht="12.75" x14ac:dyDescent="0.2">
      <c r="A581" s="195" t="s">
        <v>602</v>
      </c>
      <c r="B581" s="536" t="s">
        <v>874</v>
      </c>
      <c r="C581" s="195" t="s">
        <v>639</v>
      </c>
      <c r="D581" s="195" t="s">
        <v>640</v>
      </c>
      <c r="E581" s="288"/>
      <c r="F581" s="204">
        <v>2.5</v>
      </c>
      <c r="G581" s="204" t="s">
        <v>576</v>
      </c>
      <c r="H581" s="197" t="s">
        <v>596</v>
      </c>
      <c r="I581" s="198"/>
      <c r="J581" s="205">
        <v>1.06</v>
      </c>
      <c r="K581" s="287">
        <v>1.06</v>
      </c>
      <c r="L581" s="206">
        <v>3.68</v>
      </c>
      <c r="M581" s="286">
        <v>3.68</v>
      </c>
      <c r="N581" s="552">
        <v>41791</v>
      </c>
      <c r="O581" s="205">
        <f t="shared" si="45"/>
        <v>0</v>
      </c>
      <c r="P581" s="555">
        <f>(1+$R$1)*Table33[[#This Row],[Hours]]</f>
        <v>0</v>
      </c>
      <c r="Q581" s="207">
        <f t="shared" si="44"/>
        <v>0</v>
      </c>
      <c r="R581" s="208">
        <f t="shared" si="46"/>
        <v>0</v>
      </c>
      <c r="S581" s="208">
        <f t="shared" si="47"/>
        <v>0</v>
      </c>
      <c r="T581" s="208" t="str">
        <f t="shared" si="48"/>
        <v/>
      </c>
      <c r="U581" s="195">
        <f>Table33[[#This Row],[gal/100ft]]*Table33[[#This Row],[QTY]]/100</f>
        <v>0</v>
      </c>
      <c r="V581" s="195"/>
      <c r="W581" s="195"/>
      <c r="X581" s="195"/>
      <c r="Y581" s="195"/>
    </row>
    <row r="582" spans="1:25" ht="12.75" x14ac:dyDescent="0.2">
      <c r="A582" s="195" t="s">
        <v>602</v>
      </c>
      <c r="B582" s="536" t="s">
        <v>874</v>
      </c>
      <c r="C582" s="195" t="s">
        <v>639</v>
      </c>
      <c r="D582" s="195" t="s">
        <v>640</v>
      </c>
      <c r="E582" s="288"/>
      <c r="F582" s="204">
        <v>2.5</v>
      </c>
      <c r="G582" s="204" t="s">
        <v>576</v>
      </c>
      <c r="H582" s="197" t="s">
        <v>641</v>
      </c>
      <c r="I582" s="198"/>
      <c r="J582" s="205">
        <v>1.52</v>
      </c>
      <c r="K582" s="287">
        <v>1.52</v>
      </c>
      <c r="L582" s="206">
        <v>4.24</v>
      </c>
      <c r="M582" s="286">
        <v>4.24</v>
      </c>
      <c r="N582" s="552">
        <v>41791</v>
      </c>
      <c r="O582" s="205">
        <f t="shared" si="45"/>
        <v>0</v>
      </c>
      <c r="P582" s="555">
        <f>(1+$R$1)*Table33[[#This Row],[Hours]]</f>
        <v>0</v>
      </c>
      <c r="Q582" s="207">
        <f t="shared" si="44"/>
        <v>0</v>
      </c>
      <c r="R582" s="208">
        <f t="shared" si="46"/>
        <v>0</v>
      </c>
      <c r="S582" s="208">
        <f t="shared" si="47"/>
        <v>0</v>
      </c>
      <c r="T582" s="208" t="str">
        <f t="shared" si="48"/>
        <v/>
      </c>
      <c r="U582" s="195">
        <f>Table33[[#This Row],[gal/100ft]]*Table33[[#This Row],[QTY]]/100</f>
        <v>0</v>
      </c>
      <c r="V582" s="195"/>
      <c r="W582" s="195"/>
      <c r="X582" s="195"/>
      <c r="Y582" s="195"/>
    </row>
    <row r="583" spans="1:25" ht="12.75" x14ac:dyDescent="0.2">
      <c r="A583" s="195" t="s">
        <v>602</v>
      </c>
      <c r="B583" s="536" t="s">
        <v>874</v>
      </c>
      <c r="C583" s="195" t="s">
        <v>639</v>
      </c>
      <c r="D583" s="195" t="s">
        <v>640</v>
      </c>
      <c r="E583" s="288"/>
      <c r="F583" s="204">
        <v>2.5</v>
      </c>
      <c r="G583" s="204" t="s">
        <v>576</v>
      </c>
      <c r="H583" s="197">
        <v>1</v>
      </c>
      <c r="I583" s="198"/>
      <c r="J583" s="205">
        <v>1.98</v>
      </c>
      <c r="K583" s="287">
        <v>1.98</v>
      </c>
      <c r="L583" s="206">
        <v>4.9400000000000004</v>
      </c>
      <c r="M583" s="286">
        <v>4.9400000000000004</v>
      </c>
      <c r="N583" s="552">
        <v>41791</v>
      </c>
      <c r="O583" s="205">
        <f t="shared" si="45"/>
        <v>0</v>
      </c>
      <c r="P583" s="555">
        <f>(1+$R$1)*Table33[[#This Row],[Hours]]</f>
        <v>0</v>
      </c>
      <c r="Q583" s="207">
        <f t="shared" ref="Q583:Q646" si="49">P583*$O$1</f>
        <v>0</v>
      </c>
      <c r="R583" s="208">
        <f t="shared" si="46"/>
        <v>0</v>
      </c>
      <c r="S583" s="208">
        <f t="shared" si="47"/>
        <v>0</v>
      </c>
      <c r="T583" s="208" t="str">
        <f t="shared" si="48"/>
        <v/>
      </c>
      <c r="U583" s="195">
        <f>Table33[[#This Row],[gal/100ft]]*Table33[[#This Row],[QTY]]/100</f>
        <v>0</v>
      </c>
      <c r="V583" s="195"/>
      <c r="W583" s="195"/>
      <c r="X583" s="195"/>
      <c r="Y583" s="195"/>
    </row>
    <row r="584" spans="1:25" ht="12.75" x14ac:dyDescent="0.2">
      <c r="A584" s="195" t="s">
        <v>602</v>
      </c>
      <c r="B584" s="536" t="s">
        <v>874</v>
      </c>
      <c r="C584" s="195" t="s">
        <v>639</v>
      </c>
      <c r="D584" s="195" t="s">
        <v>640</v>
      </c>
      <c r="E584" s="288"/>
      <c r="F584" s="204">
        <v>2.5</v>
      </c>
      <c r="G584" s="204" t="s">
        <v>576</v>
      </c>
      <c r="H584" s="197">
        <v>1.25</v>
      </c>
      <c r="I584" s="198"/>
      <c r="J584" s="205">
        <v>2.4500000000000002</v>
      </c>
      <c r="K584" s="287">
        <v>2.4500000000000002</v>
      </c>
      <c r="L584" s="206">
        <v>7.84</v>
      </c>
      <c r="M584" s="286">
        <v>7.84</v>
      </c>
      <c r="N584" s="552">
        <v>41791</v>
      </c>
      <c r="O584" s="205">
        <f t="shared" si="45"/>
        <v>0</v>
      </c>
      <c r="P584" s="555">
        <f>(1+$R$1)*Table33[[#This Row],[Hours]]</f>
        <v>0</v>
      </c>
      <c r="Q584" s="207">
        <f t="shared" si="49"/>
        <v>0</v>
      </c>
      <c r="R584" s="208">
        <f t="shared" si="46"/>
        <v>0</v>
      </c>
      <c r="S584" s="208">
        <f t="shared" si="47"/>
        <v>0</v>
      </c>
      <c r="T584" s="208" t="str">
        <f t="shared" si="48"/>
        <v/>
      </c>
      <c r="U584" s="195">
        <f>Table33[[#This Row],[gal/100ft]]*Table33[[#This Row],[QTY]]/100</f>
        <v>0</v>
      </c>
      <c r="V584" s="195"/>
      <c r="W584" s="195"/>
      <c r="X584" s="195"/>
      <c r="Y584" s="195"/>
    </row>
    <row r="585" spans="1:25" ht="12.75" x14ac:dyDescent="0.2">
      <c r="A585" s="195" t="s">
        <v>602</v>
      </c>
      <c r="B585" s="536" t="s">
        <v>874</v>
      </c>
      <c r="C585" s="195" t="s">
        <v>639</v>
      </c>
      <c r="D585" s="195" t="s">
        <v>640</v>
      </c>
      <c r="E585" s="288"/>
      <c r="F585" s="204">
        <v>2.5</v>
      </c>
      <c r="G585" s="204" t="s">
        <v>576</v>
      </c>
      <c r="H585" s="197">
        <v>1.5</v>
      </c>
      <c r="I585" s="198"/>
      <c r="J585" s="205">
        <v>2.88</v>
      </c>
      <c r="K585" s="287">
        <v>2.88</v>
      </c>
      <c r="L585" s="206">
        <v>7.84</v>
      </c>
      <c r="M585" s="286">
        <v>7.84</v>
      </c>
      <c r="N585" s="552">
        <v>41791</v>
      </c>
      <c r="O585" s="205">
        <f t="shared" si="45"/>
        <v>0</v>
      </c>
      <c r="P585" s="555">
        <f>(1+$R$1)*Table33[[#This Row],[Hours]]</f>
        <v>0</v>
      </c>
      <c r="Q585" s="207">
        <f t="shared" si="49"/>
        <v>0</v>
      </c>
      <c r="R585" s="208">
        <f t="shared" si="46"/>
        <v>0</v>
      </c>
      <c r="S585" s="208">
        <f t="shared" si="47"/>
        <v>0</v>
      </c>
      <c r="T585" s="208" t="str">
        <f t="shared" si="48"/>
        <v/>
      </c>
      <c r="U585" s="195">
        <f>Table33[[#This Row],[gal/100ft]]*Table33[[#This Row],[QTY]]/100</f>
        <v>0</v>
      </c>
      <c r="V585" s="195"/>
      <c r="W585" s="195"/>
      <c r="X585" s="195"/>
      <c r="Y585" s="195"/>
    </row>
    <row r="586" spans="1:25" ht="12.75" x14ac:dyDescent="0.2">
      <c r="A586" s="195" t="s">
        <v>602</v>
      </c>
      <c r="B586" s="536" t="s">
        <v>874</v>
      </c>
      <c r="C586" s="195" t="s">
        <v>639</v>
      </c>
      <c r="D586" s="195" t="s">
        <v>640</v>
      </c>
      <c r="E586" s="288"/>
      <c r="F586" s="204">
        <v>2.5</v>
      </c>
      <c r="G586" s="204" t="s">
        <v>576</v>
      </c>
      <c r="H586" s="197">
        <v>2</v>
      </c>
      <c r="I586" s="198"/>
      <c r="J586" s="205">
        <v>3.74</v>
      </c>
      <c r="K586" s="287">
        <v>3.74</v>
      </c>
      <c r="L586" s="206">
        <v>8.92</v>
      </c>
      <c r="M586" s="286">
        <v>8.92</v>
      </c>
      <c r="N586" s="552">
        <v>41791</v>
      </c>
      <c r="O586" s="205">
        <f t="shared" si="45"/>
        <v>0</v>
      </c>
      <c r="P586" s="555">
        <f>(1+$R$1)*Table33[[#This Row],[Hours]]</f>
        <v>0</v>
      </c>
      <c r="Q586" s="207">
        <f t="shared" si="49"/>
        <v>0</v>
      </c>
      <c r="R586" s="208">
        <f t="shared" si="46"/>
        <v>0</v>
      </c>
      <c r="S586" s="208">
        <f t="shared" si="47"/>
        <v>0</v>
      </c>
      <c r="T586" s="208" t="str">
        <f t="shared" si="48"/>
        <v/>
      </c>
      <c r="U586" s="195">
        <f>Table33[[#This Row],[gal/100ft]]*Table33[[#This Row],[QTY]]/100</f>
        <v>0</v>
      </c>
      <c r="V586" s="195"/>
      <c r="W586" s="195"/>
      <c r="X586" s="195"/>
      <c r="Y586" s="195"/>
    </row>
    <row r="587" spans="1:25" ht="12.75" x14ac:dyDescent="0.2">
      <c r="A587" s="195" t="s">
        <v>602</v>
      </c>
      <c r="B587" s="536" t="s">
        <v>874</v>
      </c>
      <c r="C587" s="195" t="s">
        <v>639</v>
      </c>
      <c r="D587" s="195" t="s">
        <v>640</v>
      </c>
      <c r="E587" s="288"/>
      <c r="F587" s="204">
        <v>2.5</v>
      </c>
      <c r="G587" s="204" t="s">
        <v>576</v>
      </c>
      <c r="H587" s="197">
        <v>2.5</v>
      </c>
      <c r="I587" s="198"/>
      <c r="J587" s="205">
        <v>4.68</v>
      </c>
      <c r="K587" s="287">
        <v>4.68</v>
      </c>
      <c r="L587" s="206"/>
      <c r="M587" s="286"/>
      <c r="N587" s="552">
        <v>41791</v>
      </c>
      <c r="O587" s="205">
        <f t="shared" si="45"/>
        <v>0</v>
      </c>
      <c r="P587" s="555">
        <f>(1+$R$1)*Table33[[#This Row],[Hours]]</f>
        <v>0</v>
      </c>
      <c r="Q587" s="207">
        <f t="shared" si="49"/>
        <v>0</v>
      </c>
      <c r="R587" s="208">
        <f t="shared" si="46"/>
        <v>0</v>
      </c>
      <c r="S587" s="208">
        <f t="shared" si="47"/>
        <v>0</v>
      </c>
      <c r="T587" s="208" t="str">
        <f t="shared" si="48"/>
        <v/>
      </c>
      <c r="U587" s="195">
        <f>Table33[[#This Row],[gal/100ft]]*Table33[[#This Row],[QTY]]/100</f>
        <v>0</v>
      </c>
      <c r="V587" s="195"/>
      <c r="W587" s="195"/>
      <c r="X587" s="195"/>
      <c r="Y587" s="195"/>
    </row>
    <row r="588" spans="1:25" ht="12.75" x14ac:dyDescent="0.2">
      <c r="A588" s="195" t="s">
        <v>602</v>
      </c>
      <c r="B588" s="536" t="s">
        <v>874</v>
      </c>
      <c r="C588" s="195" t="s">
        <v>639</v>
      </c>
      <c r="D588" s="195" t="s">
        <v>640</v>
      </c>
      <c r="E588" s="288"/>
      <c r="F588" s="204">
        <v>4</v>
      </c>
      <c r="G588" s="204" t="s">
        <v>576</v>
      </c>
      <c r="H588" s="197" t="s">
        <v>596</v>
      </c>
      <c r="I588" s="198"/>
      <c r="J588" s="205">
        <v>1.06</v>
      </c>
      <c r="K588" s="287">
        <v>1.06</v>
      </c>
      <c r="L588" s="206">
        <v>3.68</v>
      </c>
      <c r="M588" s="286">
        <v>3.68</v>
      </c>
      <c r="N588" s="552">
        <v>41791</v>
      </c>
      <c r="O588" s="205">
        <f t="shared" si="45"/>
        <v>0</v>
      </c>
      <c r="P588" s="555">
        <f>(1+$R$1)*Table33[[#This Row],[Hours]]</f>
        <v>0</v>
      </c>
      <c r="Q588" s="207">
        <f t="shared" si="49"/>
        <v>0</v>
      </c>
      <c r="R588" s="208">
        <f t="shared" si="46"/>
        <v>0</v>
      </c>
      <c r="S588" s="208">
        <f t="shared" si="47"/>
        <v>0</v>
      </c>
      <c r="T588" s="208" t="str">
        <f t="shared" si="48"/>
        <v/>
      </c>
      <c r="U588" s="195">
        <f>Table33[[#This Row],[gal/100ft]]*Table33[[#This Row],[QTY]]/100</f>
        <v>0</v>
      </c>
      <c r="V588" s="195"/>
      <c r="W588" s="195"/>
      <c r="X588" s="195"/>
      <c r="Y588" s="195"/>
    </row>
    <row r="589" spans="1:25" ht="12.75" x14ac:dyDescent="0.2">
      <c r="A589" s="195" t="s">
        <v>602</v>
      </c>
      <c r="B589" s="536" t="s">
        <v>874</v>
      </c>
      <c r="C589" s="195" t="s">
        <v>639</v>
      </c>
      <c r="D589" s="195" t="s">
        <v>640</v>
      </c>
      <c r="E589" s="288"/>
      <c r="F589" s="204">
        <v>4</v>
      </c>
      <c r="G589" s="204" t="s">
        <v>576</v>
      </c>
      <c r="H589" s="197" t="s">
        <v>641</v>
      </c>
      <c r="I589" s="198"/>
      <c r="J589" s="205">
        <v>1.52</v>
      </c>
      <c r="K589" s="287">
        <v>1.52</v>
      </c>
      <c r="L589" s="206">
        <v>4.24</v>
      </c>
      <c r="M589" s="286">
        <v>4.24</v>
      </c>
      <c r="N589" s="552">
        <v>41791</v>
      </c>
      <c r="O589" s="205">
        <f t="shared" si="45"/>
        <v>0</v>
      </c>
      <c r="P589" s="555">
        <f>(1+$R$1)*Table33[[#This Row],[Hours]]</f>
        <v>0</v>
      </c>
      <c r="Q589" s="207">
        <f t="shared" si="49"/>
        <v>0</v>
      </c>
      <c r="R589" s="208">
        <f t="shared" si="46"/>
        <v>0</v>
      </c>
      <c r="S589" s="208">
        <f t="shared" si="47"/>
        <v>0</v>
      </c>
      <c r="T589" s="208" t="str">
        <f t="shared" si="48"/>
        <v/>
      </c>
      <c r="U589" s="195">
        <f>Table33[[#This Row],[gal/100ft]]*Table33[[#This Row],[QTY]]/100</f>
        <v>0</v>
      </c>
      <c r="V589" s="195"/>
      <c r="W589" s="195"/>
      <c r="X589" s="195"/>
      <c r="Y589" s="195"/>
    </row>
    <row r="590" spans="1:25" ht="12.75" x14ac:dyDescent="0.2">
      <c r="A590" s="195" t="s">
        <v>602</v>
      </c>
      <c r="B590" s="536" t="s">
        <v>874</v>
      </c>
      <c r="C590" s="195" t="s">
        <v>639</v>
      </c>
      <c r="D590" s="195" t="s">
        <v>640</v>
      </c>
      <c r="E590" s="288"/>
      <c r="F590" s="204">
        <v>4</v>
      </c>
      <c r="G590" s="204" t="s">
        <v>576</v>
      </c>
      <c r="H590" s="197">
        <v>1</v>
      </c>
      <c r="I590" s="198"/>
      <c r="J590" s="205">
        <v>1.98</v>
      </c>
      <c r="K590" s="287">
        <v>1.98</v>
      </c>
      <c r="L590" s="206">
        <v>4.9400000000000004</v>
      </c>
      <c r="M590" s="286">
        <v>4.9400000000000004</v>
      </c>
      <c r="N590" s="552">
        <v>41791</v>
      </c>
      <c r="O590" s="205">
        <f t="shared" si="45"/>
        <v>0</v>
      </c>
      <c r="P590" s="555">
        <f>(1+$R$1)*Table33[[#This Row],[Hours]]</f>
        <v>0</v>
      </c>
      <c r="Q590" s="207">
        <f t="shared" si="49"/>
        <v>0</v>
      </c>
      <c r="R590" s="208">
        <f t="shared" si="46"/>
        <v>0</v>
      </c>
      <c r="S590" s="208">
        <f t="shared" si="47"/>
        <v>0</v>
      </c>
      <c r="T590" s="208" t="str">
        <f t="shared" si="48"/>
        <v/>
      </c>
      <c r="U590" s="195">
        <f>Table33[[#This Row],[gal/100ft]]*Table33[[#This Row],[QTY]]/100</f>
        <v>0</v>
      </c>
      <c r="V590" s="195"/>
      <c r="W590" s="195"/>
      <c r="X590" s="195"/>
      <c r="Y590" s="195"/>
    </row>
    <row r="591" spans="1:25" ht="12.75" x14ac:dyDescent="0.2">
      <c r="A591" s="195" t="s">
        <v>602</v>
      </c>
      <c r="B591" s="536" t="s">
        <v>874</v>
      </c>
      <c r="C591" s="195" t="s">
        <v>639</v>
      </c>
      <c r="D591" s="195" t="s">
        <v>640</v>
      </c>
      <c r="E591" s="288"/>
      <c r="F591" s="204">
        <v>4</v>
      </c>
      <c r="G591" s="204" t="s">
        <v>576</v>
      </c>
      <c r="H591" s="197">
        <v>1.25</v>
      </c>
      <c r="I591" s="198"/>
      <c r="J591" s="205">
        <v>2.4500000000000002</v>
      </c>
      <c r="K591" s="287">
        <v>2.4500000000000002</v>
      </c>
      <c r="L591" s="206">
        <v>7.84</v>
      </c>
      <c r="M591" s="286">
        <v>7.84</v>
      </c>
      <c r="N591" s="552">
        <v>41791</v>
      </c>
      <c r="O591" s="205">
        <f t="shared" si="45"/>
        <v>0</v>
      </c>
      <c r="P591" s="555">
        <f>(1+$R$1)*Table33[[#This Row],[Hours]]</f>
        <v>0</v>
      </c>
      <c r="Q591" s="207">
        <f t="shared" si="49"/>
        <v>0</v>
      </c>
      <c r="R591" s="208">
        <f t="shared" si="46"/>
        <v>0</v>
      </c>
      <c r="S591" s="208">
        <f t="shared" si="47"/>
        <v>0</v>
      </c>
      <c r="T591" s="208" t="str">
        <f t="shared" si="48"/>
        <v/>
      </c>
      <c r="U591" s="195">
        <f>Table33[[#This Row],[gal/100ft]]*Table33[[#This Row],[QTY]]/100</f>
        <v>0</v>
      </c>
      <c r="V591" s="195"/>
      <c r="W591" s="195"/>
      <c r="X591" s="195"/>
      <c r="Y591" s="195"/>
    </row>
    <row r="592" spans="1:25" ht="12.75" x14ac:dyDescent="0.2">
      <c r="A592" s="195" t="s">
        <v>602</v>
      </c>
      <c r="B592" s="536" t="s">
        <v>874</v>
      </c>
      <c r="C592" s="195" t="s">
        <v>639</v>
      </c>
      <c r="D592" s="195" t="s">
        <v>640</v>
      </c>
      <c r="E592" s="288"/>
      <c r="F592" s="204">
        <v>4</v>
      </c>
      <c r="G592" s="204" t="s">
        <v>576</v>
      </c>
      <c r="H592" s="197">
        <v>1.5</v>
      </c>
      <c r="I592" s="198"/>
      <c r="J592" s="205">
        <v>2.88</v>
      </c>
      <c r="K592" s="287">
        <v>2.88</v>
      </c>
      <c r="L592" s="206">
        <v>7.84</v>
      </c>
      <c r="M592" s="286">
        <v>7.84</v>
      </c>
      <c r="N592" s="552">
        <v>41791</v>
      </c>
      <c r="O592" s="205">
        <f t="shared" si="45"/>
        <v>0</v>
      </c>
      <c r="P592" s="555">
        <f>(1+$R$1)*Table33[[#This Row],[Hours]]</f>
        <v>0</v>
      </c>
      <c r="Q592" s="207">
        <f t="shared" si="49"/>
        <v>0</v>
      </c>
      <c r="R592" s="208">
        <f t="shared" si="46"/>
        <v>0</v>
      </c>
      <c r="S592" s="208">
        <f t="shared" si="47"/>
        <v>0</v>
      </c>
      <c r="T592" s="208" t="str">
        <f t="shared" si="48"/>
        <v/>
      </c>
      <c r="U592" s="195">
        <f>Table33[[#This Row],[gal/100ft]]*Table33[[#This Row],[QTY]]/100</f>
        <v>0</v>
      </c>
      <c r="V592" s="195"/>
      <c r="W592" s="195"/>
      <c r="X592" s="195"/>
      <c r="Y592" s="195"/>
    </row>
    <row r="593" spans="1:25" ht="12.75" x14ac:dyDescent="0.2">
      <c r="A593" s="195" t="s">
        <v>602</v>
      </c>
      <c r="B593" s="536" t="s">
        <v>874</v>
      </c>
      <c r="C593" s="195" t="s">
        <v>639</v>
      </c>
      <c r="D593" s="195" t="s">
        <v>640</v>
      </c>
      <c r="E593" s="288"/>
      <c r="F593" s="204">
        <v>4</v>
      </c>
      <c r="G593" s="204" t="s">
        <v>576</v>
      </c>
      <c r="H593" s="197">
        <v>2</v>
      </c>
      <c r="I593" s="198"/>
      <c r="J593" s="205">
        <v>3.74</v>
      </c>
      <c r="K593" s="287">
        <v>3.74</v>
      </c>
      <c r="L593" s="206">
        <v>8.92</v>
      </c>
      <c r="M593" s="286">
        <v>8.92</v>
      </c>
      <c r="N593" s="552">
        <v>41791</v>
      </c>
      <c r="O593" s="205">
        <f t="shared" si="45"/>
        <v>0</v>
      </c>
      <c r="P593" s="555">
        <f>(1+$R$1)*Table33[[#This Row],[Hours]]</f>
        <v>0</v>
      </c>
      <c r="Q593" s="207">
        <f t="shared" si="49"/>
        <v>0</v>
      </c>
      <c r="R593" s="208">
        <f t="shared" si="46"/>
        <v>0</v>
      </c>
      <c r="S593" s="208">
        <f t="shared" si="47"/>
        <v>0</v>
      </c>
      <c r="T593" s="208" t="str">
        <f t="shared" si="48"/>
        <v/>
      </c>
      <c r="U593" s="195">
        <f>Table33[[#This Row],[gal/100ft]]*Table33[[#This Row],[QTY]]/100</f>
        <v>0</v>
      </c>
      <c r="V593" s="195"/>
      <c r="W593" s="195"/>
      <c r="X593" s="195"/>
      <c r="Y593" s="195"/>
    </row>
    <row r="594" spans="1:25" ht="12.75" x14ac:dyDescent="0.2">
      <c r="A594" s="195" t="s">
        <v>602</v>
      </c>
      <c r="B594" s="536" t="s">
        <v>874</v>
      </c>
      <c r="C594" s="195" t="s">
        <v>639</v>
      </c>
      <c r="D594" s="195" t="s">
        <v>640</v>
      </c>
      <c r="E594" s="288"/>
      <c r="F594" s="204">
        <v>4</v>
      </c>
      <c r="G594" s="204" t="s">
        <v>576</v>
      </c>
      <c r="H594" s="197">
        <v>2.5</v>
      </c>
      <c r="I594" s="198"/>
      <c r="J594" s="205">
        <v>4.68</v>
      </c>
      <c r="K594" s="287">
        <v>4.68</v>
      </c>
      <c r="L594" s="206"/>
      <c r="M594" s="286"/>
      <c r="N594" s="552">
        <v>41791</v>
      </c>
      <c r="O594" s="205">
        <f t="shared" si="45"/>
        <v>0</v>
      </c>
      <c r="P594" s="555">
        <f>(1+$R$1)*Table33[[#This Row],[Hours]]</f>
        <v>0</v>
      </c>
      <c r="Q594" s="207">
        <f t="shared" si="49"/>
        <v>0</v>
      </c>
      <c r="R594" s="208">
        <f t="shared" si="46"/>
        <v>0</v>
      </c>
      <c r="S594" s="208">
        <f t="shared" si="47"/>
        <v>0</v>
      </c>
      <c r="T594" s="208" t="str">
        <f t="shared" si="48"/>
        <v/>
      </c>
      <c r="U594" s="195">
        <f>Table33[[#This Row],[gal/100ft]]*Table33[[#This Row],[QTY]]/100</f>
        <v>0</v>
      </c>
      <c r="V594" s="195"/>
      <c r="W594" s="195"/>
      <c r="X594" s="195"/>
      <c r="Y594" s="195"/>
    </row>
    <row r="595" spans="1:25" ht="12.75" x14ac:dyDescent="0.2">
      <c r="A595" s="195" t="s">
        <v>602</v>
      </c>
      <c r="B595" s="536" t="s">
        <v>874</v>
      </c>
      <c r="C595" s="195" t="s">
        <v>639</v>
      </c>
      <c r="D595" s="195" t="s">
        <v>640</v>
      </c>
      <c r="E595" s="288"/>
      <c r="F595" s="204">
        <v>4</v>
      </c>
      <c r="G595" s="204" t="s">
        <v>576</v>
      </c>
      <c r="H595" s="197">
        <v>3</v>
      </c>
      <c r="I595" s="198"/>
      <c r="J595" s="205">
        <v>5.07</v>
      </c>
      <c r="K595" s="287">
        <v>5.07</v>
      </c>
      <c r="L595" s="206"/>
      <c r="M595" s="286"/>
      <c r="N595" s="552">
        <v>41791</v>
      </c>
      <c r="O595" s="205">
        <f t="shared" si="45"/>
        <v>0</v>
      </c>
      <c r="P595" s="555">
        <f>(1+$R$1)*Table33[[#This Row],[Hours]]</f>
        <v>0</v>
      </c>
      <c r="Q595" s="207">
        <f t="shared" si="49"/>
        <v>0</v>
      </c>
      <c r="R595" s="208">
        <f t="shared" si="46"/>
        <v>0</v>
      </c>
      <c r="S595" s="208">
        <f t="shared" si="47"/>
        <v>0</v>
      </c>
      <c r="T595" s="208" t="str">
        <f t="shared" si="48"/>
        <v/>
      </c>
      <c r="U595" s="195">
        <f>Table33[[#This Row],[gal/100ft]]*Table33[[#This Row],[QTY]]/100</f>
        <v>0</v>
      </c>
      <c r="V595" s="195"/>
      <c r="W595" s="195"/>
      <c r="X595" s="195"/>
      <c r="Y595" s="195"/>
    </row>
    <row r="596" spans="1:25" ht="12.75" x14ac:dyDescent="0.2">
      <c r="A596" s="195" t="s">
        <v>602</v>
      </c>
      <c r="B596" s="536" t="s">
        <v>874</v>
      </c>
      <c r="C596" s="195" t="s">
        <v>639</v>
      </c>
      <c r="D596" s="195" t="s">
        <v>640</v>
      </c>
      <c r="E596" s="288"/>
      <c r="F596" s="204">
        <v>5</v>
      </c>
      <c r="G596" s="204" t="s">
        <v>576</v>
      </c>
      <c r="H596" s="197" t="s">
        <v>596</v>
      </c>
      <c r="I596" s="198"/>
      <c r="J596" s="205">
        <v>1.06</v>
      </c>
      <c r="K596" s="287">
        <v>1.06</v>
      </c>
      <c r="L596" s="206">
        <v>3.68</v>
      </c>
      <c r="M596" s="286">
        <v>3.68</v>
      </c>
      <c r="N596" s="552">
        <v>41791</v>
      </c>
      <c r="O596" s="205">
        <f t="shared" si="45"/>
        <v>0</v>
      </c>
      <c r="P596" s="555">
        <f>(1+$R$1)*Table33[[#This Row],[Hours]]</f>
        <v>0</v>
      </c>
      <c r="Q596" s="207">
        <f t="shared" si="49"/>
        <v>0</v>
      </c>
      <c r="R596" s="208">
        <f t="shared" si="46"/>
        <v>0</v>
      </c>
      <c r="S596" s="208">
        <f t="shared" si="47"/>
        <v>0</v>
      </c>
      <c r="T596" s="208" t="str">
        <f t="shared" si="48"/>
        <v/>
      </c>
      <c r="U596" s="195">
        <f>Table33[[#This Row],[gal/100ft]]*Table33[[#This Row],[QTY]]/100</f>
        <v>0</v>
      </c>
      <c r="V596" s="195"/>
      <c r="W596" s="195"/>
      <c r="X596" s="195"/>
      <c r="Y596" s="195"/>
    </row>
    <row r="597" spans="1:25" ht="12.75" x14ac:dyDescent="0.2">
      <c r="A597" s="195" t="s">
        <v>602</v>
      </c>
      <c r="B597" s="536" t="s">
        <v>874</v>
      </c>
      <c r="C597" s="195" t="s">
        <v>639</v>
      </c>
      <c r="D597" s="195" t="s">
        <v>640</v>
      </c>
      <c r="E597" s="288"/>
      <c r="F597" s="204">
        <v>5</v>
      </c>
      <c r="G597" s="204" t="s">
        <v>576</v>
      </c>
      <c r="H597" s="197" t="s">
        <v>641</v>
      </c>
      <c r="I597" s="198"/>
      <c r="J597" s="205">
        <v>1.52</v>
      </c>
      <c r="K597" s="287">
        <v>1.52</v>
      </c>
      <c r="L597" s="206">
        <v>4.24</v>
      </c>
      <c r="M597" s="286">
        <v>4.24</v>
      </c>
      <c r="N597" s="552">
        <v>41791</v>
      </c>
      <c r="O597" s="205">
        <f t="shared" si="45"/>
        <v>0</v>
      </c>
      <c r="P597" s="555">
        <f>(1+$R$1)*Table33[[#This Row],[Hours]]</f>
        <v>0</v>
      </c>
      <c r="Q597" s="207">
        <f t="shared" si="49"/>
        <v>0</v>
      </c>
      <c r="R597" s="208">
        <f t="shared" si="46"/>
        <v>0</v>
      </c>
      <c r="S597" s="208">
        <f t="shared" si="47"/>
        <v>0</v>
      </c>
      <c r="T597" s="208" t="str">
        <f t="shared" si="48"/>
        <v/>
      </c>
      <c r="U597" s="195">
        <f>Table33[[#This Row],[gal/100ft]]*Table33[[#This Row],[QTY]]/100</f>
        <v>0</v>
      </c>
      <c r="V597" s="195"/>
      <c r="W597" s="195"/>
      <c r="X597" s="195"/>
      <c r="Y597" s="195"/>
    </row>
    <row r="598" spans="1:25" ht="12.75" x14ac:dyDescent="0.2">
      <c r="A598" s="195" t="s">
        <v>602</v>
      </c>
      <c r="B598" s="536" t="s">
        <v>874</v>
      </c>
      <c r="C598" s="195" t="s">
        <v>639</v>
      </c>
      <c r="D598" s="195" t="s">
        <v>640</v>
      </c>
      <c r="E598" s="288"/>
      <c r="F598" s="204">
        <v>5</v>
      </c>
      <c r="G598" s="204" t="s">
        <v>576</v>
      </c>
      <c r="H598" s="197">
        <v>1</v>
      </c>
      <c r="I598" s="198"/>
      <c r="J598" s="205">
        <v>1.98</v>
      </c>
      <c r="K598" s="287">
        <v>1.98</v>
      </c>
      <c r="L598" s="206">
        <v>4.9400000000000004</v>
      </c>
      <c r="M598" s="286">
        <v>4.9400000000000004</v>
      </c>
      <c r="N598" s="552">
        <v>41791</v>
      </c>
      <c r="O598" s="205">
        <f t="shared" si="45"/>
        <v>0</v>
      </c>
      <c r="P598" s="555">
        <f>(1+$R$1)*Table33[[#This Row],[Hours]]</f>
        <v>0</v>
      </c>
      <c r="Q598" s="207">
        <f t="shared" si="49"/>
        <v>0</v>
      </c>
      <c r="R598" s="208">
        <f t="shared" si="46"/>
        <v>0</v>
      </c>
      <c r="S598" s="208">
        <f t="shared" si="47"/>
        <v>0</v>
      </c>
      <c r="T598" s="208" t="str">
        <f t="shared" si="48"/>
        <v/>
      </c>
      <c r="U598" s="195">
        <f>Table33[[#This Row],[gal/100ft]]*Table33[[#This Row],[QTY]]/100</f>
        <v>0</v>
      </c>
      <c r="V598" s="195"/>
      <c r="W598" s="195"/>
      <c r="X598" s="195"/>
      <c r="Y598" s="195"/>
    </row>
    <row r="599" spans="1:25" ht="12.75" x14ac:dyDescent="0.2">
      <c r="A599" s="195" t="s">
        <v>602</v>
      </c>
      <c r="B599" s="536" t="s">
        <v>874</v>
      </c>
      <c r="C599" s="195" t="s">
        <v>639</v>
      </c>
      <c r="D599" s="195" t="s">
        <v>640</v>
      </c>
      <c r="E599" s="288"/>
      <c r="F599" s="204">
        <v>5</v>
      </c>
      <c r="G599" s="204" t="s">
        <v>576</v>
      </c>
      <c r="H599" s="197">
        <v>1.25</v>
      </c>
      <c r="I599" s="198"/>
      <c r="J599" s="205">
        <v>2.4500000000000002</v>
      </c>
      <c r="K599" s="287">
        <v>2.4500000000000002</v>
      </c>
      <c r="L599" s="206">
        <v>7.84</v>
      </c>
      <c r="M599" s="286">
        <v>7.84</v>
      </c>
      <c r="N599" s="552">
        <v>41791</v>
      </c>
      <c r="O599" s="205">
        <f t="shared" ref="O599:O662" si="50">K599*E599</f>
        <v>0</v>
      </c>
      <c r="P599" s="555">
        <f>(1+$R$1)*Table33[[#This Row],[Hours]]</f>
        <v>0</v>
      </c>
      <c r="Q599" s="207">
        <f t="shared" si="49"/>
        <v>0</v>
      </c>
      <c r="R599" s="208">
        <f t="shared" ref="R599:R662" si="51">M599*E599</f>
        <v>0</v>
      </c>
      <c r="S599" s="208">
        <f t="shared" ref="S599:S662" si="52">R599+Q599</f>
        <v>0</v>
      </c>
      <c r="T599" s="208" t="str">
        <f t="shared" ref="T599:T662" si="53">IF(E599="","",S599/E599)</f>
        <v/>
      </c>
      <c r="U599" s="195">
        <f>Table33[[#This Row],[gal/100ft]]*Table33[[#This Row],[QTY]]/100</f>
        <v>0</v>
      </c>
      <c r="V599" s="195"/>
      <c r="W599" s="195"/>
      <c r="X599" s="195"/>
      <c r="Y599" s="195"/>
    </row>
    <row r="600" spans="1:25" ht="12.75" x14ac:dyDescent="0.2">
      <c r="A600" s="195" t="s">
        <v>602</v>
      </c>
      <c r="B600" s="536" t="s">
        <v>874</v>
      </c>
      <c r="C600" s="195" t="s">
        <v>639</v>
      </c>
      <c r="D600" s="195" t="s">
        <v>640</v>
      </c>
      <c r="E600" s="288"/>
      <c r="F600" s="204">
        <v>5</v>
      </c>
      <c r="G600" s="204" t="s">
        <v>576</v>
      </c>
      <c r="H600" s="197">
        <v>1.5</v>
      </c>
      <c r="I600" s="198"/>
      <c r="J600" s="205">
        <v>2.88</v>
      </c>
      <c r="K600" s="287">
        <v>2.88</v>
      </c>
      <c r="L600" s="206">
        <v>7.84</v>
      </c>
      <c r="M600" s="286">
        <v>7.84</v>
      </c>
      <c r="N600" s="552">
        <v>41791</v>
      </c>
      <c r="O600" s="205">
        <f t="shared" si="50"/>
        <v>0</v>
      </c>
      <c r="P600" s="555">
        <f>(1+$R$1)*Table33[[#This Row],[Hours]]</f>
        <v>0</v>
      </c>
      <c r="Q600" s="207">
        <f t="shared" si="49"/>
        <v>0</v>
      </c>
      <c r="R600" s="208">
        <f t="shared" si="51"/>
        <v>0</v>
      </c>
      <c r="S600" s="208">
        <f t="shared" si="52"/>
        <v>0</v>
      </c>
      <c r="T600" s="208" t="str">
        <f t="shared" si="53"/>
        <v/>
      </c>
      <c r="U600" s="195">
        <f>Table33[[#This Row],[gal/100ft]]*Table33[[#This Row],[QTY]]/100</f>
        <v>0</v>
      </c>
      <c r="V600" s="195"/>
      <c r="W600" s="195"/>
      <c r="X600" s="195"/>
      <c r="Y600" s="195"/>
    </row>
    <row r="601" spans="1:25" ht="12.75" x14ac:dyDescent="0.2">
      <c r="A601" s="195" t="s">
        <v>602</v>
      </c>
      <c r="B601" s="536" t="s">
        <v>874</v>
      </c>
      <c r="C601" s="195" t="s">
        <v>639</v>
      </c>
      <c r="D601" s="195" t="s">
        <v>640</v>
      </c>
      <c r="E601" s="288"/>
      <c r="F601" s="204">
        <v>5</v>
      </c>
      <c r="G601" s="204" t="s">
        <v>576</v>
      </c>
      <c r="H601" s="197">
        <v>2</v>
      </c>
      <c r="I601" s="198"/>
      <c r="J601" s="205">
        <v>3.74</v>
      </c>
      <c r="K601" s="287">
        <v>3.74</v>
      </c>
      <c r="L601" s="206">
        <v>8.92</v>
      </c>
      <c r="M601" s="286">
        <v>8.92</v>
      </c>
      <c r="N601" s="552">
        <v>41791</v>
      </c>
      <c r="O601" s="205">
        <f t="shared" si="50"/>
        <v>0</v>
      </c>
      <c r="P601" s="555">
        <f>(1+$R$1)*Table33[[#This Row],[Hours]]</f>
        <v>0</v>
      </c>
      <c r="Q601" s="207">
        <f t="shared" si="49"/>
        <v>0</v>
      </c>
      <c r="R601" s="208">
        <f t="shared" si="51"/>
        <v>0</v>
      </c>
      <c r="S601" s="208">
        <f t="shared" si="52"/>
        <v>0</v>
      </c>
      <c r="T601" s="208" t="str">
        <f t="shared" si="53"/>
        <v/>
      </c>
      <c r="U601" s="195">
        <f>Table33[[#This Row],[gal/100ft]]*Table33[[#This Row],[QTY]]/100</f>
        <v>0</v>
      </c>
      <c r="V601" s="195"/>
      <c r="W601" s="195"/>
      <c r="X601" s="195"/>
      <c r="Y601" s="195"/>
    </row>
    <row r="602" spans="1:25" ht="12.75" x14ac:dyDescent="0.2">
      <c r="A602" s="195" t="s">
        <v>602</v>
      </c>
      <c r="B602" s="536" t="s">
        <v>874</v>
      </c>
      <c r="C602" s="195" t="s">
        <v>639</v>
      </c>
      <c r="D602" s="195" t="s">
        <v>640</v>
      </c>
      <c r="E602" s="288"/>
      <c r="F602" s="204">
        <v>6</v>
      </c>
      <c r="G602" s="204" t="s">
        <v>576</v>
      </c>
      <c r="H602" s="197" t="s">
        <v>596</v>
      </c>
      <c r="I602" s="198"/>
      <c r="J602" s="205">
        <v>1.06</v>
      </c>
      <c r="K602" s="287">
        <v>1.06</v>
      </c>
      <c r="L602" s="206">
        <v>3.68</v>
      </c>
      <c r="M602" s="286">
        <v>3.68</v>
      </c>
      <c r="N602" s="552">
        <v>41791</v>
      </c>
      <c r="O602" s="205">
        <f t="shared" si="50"/>
        <v>0</v>
      </c>
      <c r="P602" s="555">
        <f>(1+$R$1)*Table33[[#This Row],[Hours]]</f>
        <v>0</v>
      </c>
      <c r="Q602" s="207">
        <f t="shared" si="49"/>
        <v>0</v>
      </c>
      <c r="R602" s="208">
        <f t="shared" si="51"/>
        <v>0</v>
      </c>
      <c r="S602" s="208">
        <f t="shared" si="52"/>
        <v>0</v>
      </c>
      <c r="T602" s="208" t="str">
        <f t="shared" si="53"/>
        <v/>
      </c>
      <c r="U602" s="195">
        <f>Table33[[#This Row],[gal/100ft]]*Table33[[#This Row],[QTY]]/100</f>
        <v>0</v>
      </c>
      <c r="V602" s="195"/>
      <c r="W602" s="195"/>
      <c r="X602" s="195"/>
      <c r="Y602" s="195"/>
    </row>
    <row r="603" spans="1:25" ht="12.75" x14ac:dyDescent="0.2">
      <c r="A603" s="195" t="s">
        <v>602</v>
      </c>
      <c r="B603" s="536" t="s">
        <v>874</v>
      </c>
      <c r="C603" s="195" t="s">
        <v>639</v>
      </c>
      <c r="D603" s="195" t="s">
        <v>640</v>
      </c>
      <c r="E603" s="288"/>
      <c r="F603" s="204">
        <v>6</v>
      </c>
      <c r="G603" s="204" t="s">
        <v>576</v>
      </c>
      <c r="H603" s="197" t="s">
        <v>641</v>
      </c>
      <c r="I603" s="198"/>
      <c r="J603" s="205">
        <v>1.52</v>
      </c>
      <c r="K603" s="287">
        <v>1.52</v>
      </c>
      <c r="L603" s="206">
        <v>4.24</v>
      </c>
      <c r="M603" s="286">
        <v>4.24</v>
      </c>
      <c r="N603" s="552">
        <v>41791</v>
      </c>
      <c r="O603" s="205">
        <f t="shared" si="50"/>
        <v>0</v>
      </c>
      <c r="P603" s="555">
        <f>(1+$R$1)*Table33[[#This Row],[Hours]]</f>
        <v>0</v>
      </c>
      <c r="Q603" s="207">
        <f t="shared" si="49"/>
        <v>0</v>
      </c>
      <c r="R603" s="208">
        <f t="shared" si="51"/>
        <v>0</v>
      </c>
      <c r="S603" s="208">
        <f t="shared" si="52"/>
        <v>0</v>
      </c>
      <c r="T603" s="208" t="str">
        <f t="shared" si="53"/>
        <v/>
      </c>
      <c r="U603" s="195">
        <f>Table33[[#This Row],[gal/100ft]]*Table33[[#This Row],[QTY]]/100</f>
        <v>0</v>
      </c>
      <c r="V603" s="195"/>
      <c r="W603" s="195"/>
      <c r="X603" s="195"/>
      <c r="Y603" s="195"/>
    </row>
    <row r="604" spans="1:25" ht="12.75" x14ac:dyDescent="0.2">
      <c r="A604" s="195" t="s">
        <v>602</v>
      </c>
      <c r="B604" s="536" t="s">
        <v>874</v>
      </c>
      <c r="C604" s="195" t="s">
        <v>639</v>
      </c>
      <c r="D604" s="195" t="s">
        <v>640</v>
      </c>
      <c r="E604" s="288"/>
      <c r="F604" s="204">
        <v>6</v>
      </c>
      <c r="G604" s="204" t="s">
        <v>576</v>
      </c>
      <c r="H604" s="197">
        <v>1</v>
      </c>
      <c r="I604" s="198"/>
      <c r="J604" s="205">
        <v>1.98</v>
      </c>
      <c r="K604" s="287">
        <v>1.98</v>
      </c>
      <c r="L604" s="206">
        <v>4.9400000000000004</v>
      </c>
      <c r="M604" s="286">
        <v>4.9400000000000004</v>
      </c>
      <c r="N604" s="552">
        <v>41791</v>
      </c>
      <c r="O604" s="205">
        <f t="shared" si="50"/>
        <v>0</v>
      </c>
      <c r="P604" s="555">
        <f>(1+$R$1)*Table33[[#This Row],[Hours]]</f>
        <v>0</v>
      </c>
      <c r="Q604" s="207">
        <f t="shared" si="49"/>
        <v>0</v>
      </c>
      <c r="R604" s="208">
        <f t="shared" si="51"/>
        <v>0</v>
      </c>
      <c r="S604" s="208">
        <f t="shared" si="52"/>
        <v>0</v>
      </c>
      <c r="T604" s="208" t="str">
        <f t="shared" si="53"/>
        <v/>
      </c>
      <c r="U604" s="195">
        <f>Table33[[#This Row],[gal/100ft]]*Table33[[#This Row],[QTY]]/100</f>
        <v>0</v>
      </c>
      <c r="V604" s="195"/>
      <c r="W604" s="195"/>
      <c r="X604" s="195"/>
      <c r="Y604" s="195"/>
    </row>
    <row r="605" spans="1:25" ht="12.75" x14ac:dyDescent="0.2">
      <c r="A605" s="195" t="s">
        <v>602</v>
      </c>
      <c r="B605" s="536" t="s">
        <v>874</v>
      </c>
      <c r="C605" s="195" t="s">
        <v>639</v>
      </c>
      <c r="D605" s="195" t="s">
        <v>640</v>
      </c>
      <c r="E605" s="288"/>
      <c r="F605" s="204">
        <v>6</v>
      </c>
      <c r="G605" s="204" t="s">
        <v>576</v>
      </c>
      <c r="H605" s="197">
        <v>1.25</v>
      </c>
      <c r="I605" s="198"/>
      <c r="J605" s="205">
        <v>2.4500000000000002</v>
      </c>
      <c r="K605" s="287">
        <v>2.4500000000000002</v>
      </c>
      <c r="L605" s="206">
        <v>7.84</v>
      </c>
      <c r="M605" s="286">
        <v>7.84</v>
      </c>
      <c r="N605" s="552">
        <v>41791</v>
      </c>
      <c r="O605" s="205">
        <f t="shared" si="50"/>
        <v>0</v>
      </c>
      <c r="P605" s="555">
        <f>(1+$R$1)*Table33[[#This Row],[Hours]]</f>
        <v>0</v>
      </c>
      <c r="Q605" s="207">
        <f t="shared" si="49"/>
        <v>0</v>
      </c>
      <c r="R605" s="208">
        <f t="shared" si="51"/>
        <v>0</v>
      </c>
      <c r="S605" s="208">
        <f t="shared" si="52"/>
        <v>0</v>
      </c>
      <c r="T605" s="208" t="str">
        <f t="shared" si="53"/>
        <v/>
      </c>
      <c r="U605" s="195">
        <f>Table33[[#This Row],[gal/100ft]]*Table33[[#This Row],[QTY]]/100</f>
        <v>0</v>
      </c>
      <c r="V605" s="195"/>
      <c r="W605" s="195"/>
      <c r="X605" s="195"/>
      <c r="Y605" s="195"/>
    </row>
    <row r="606" spans="1:25" ht="12.75" x14ac:dyDescent="0.2">
      <c r="A606" s="195" t="s">
        <v>602</v>
      </c>
      <c r="B606" s="536" t="s">
        <v>874</v>
      </c>
      <c r="C606" s="195" t="s">
        <v>639</v>
      </c>
      <c r="D606" s="195" t="s">
        <v>640</v>
      </c>
      <c r="E606" s="288"/>
      <c r="F606" s="204">
        <v>6</v>
      </c>
      <c r="G606" s="204" t="s">
        <v>576</v>
      </c>
      <c r="H606" s="197">
        <v>1.5</v>
      </c>
      <c r="I606" s="198"/>
      <c r="J606" s="205">
        <v>2.88</v>
      </c>
      <c r="K606" s="287">
        <v>2.88</v>
      </c>
      <c r="L606" s="206">
        <v>7.84</v>
      </c>
      <c r="M606" s="286">
        <v>7.84</v>
      </c>
      <c r="N606" s="552">
        <v>41791</v>
      </c>
      <c r="O606" s="205">
        <f t="shared" si="50"/>
        <v>0</v>
      </c>
      <c r="P606" s="555">
        <f>(1+$R$1)*Table33[[#This Row],[Hours]]</f>
        <v>0</v>
      </c>
      <c r="Q606" s="207">
        <f t="shared" si="49"/>
        <v>0</v>
      </c>
      <c r="R606" s="208">
        <f t="shared" si="51"/>
        <v>0</v>
      </c>
      <c r="S606" s="208">
        <f t="shared" si="52"/>
        <v>0</v>
      </c>
      <c r="T606" s="208" t="str">
        <f t="shared" si="53"/>
        <v/>
      </c>
      <c r="U606" s="195">
        <f>Table33[[#This Row],[gal/100ft]]*Table33[[#This Row],[QTY]]/100</f>
        <v>0</v>
      </c>
      <c r="V606" s="195"/>
      <c r="W606" s="195"/>
      <c r="X606" s="195"/>
      <c r="Y606" s="195"/>
    </row>
    <row r="607" spans="1:25" ht="12.75" x14ac:dyDescent="0.2">
      <c r="A607" s="195" t="s">
        <v>602</v>
      </c>
      <c r="B607" s="536" t="s">
        <v>874</v>
      </c>
      <c r="C607" s="195" t="s">
        <v>639</v>
      </c>
      <c r="D607" s="195" t="s">
        <v>640</v>
      </c>
      <c r="E607" s="288"/>
      <c r="F607" s="204">
        <v>6</v>
      </c>
      <c r="G607" s="204" t="s">
        <v>576</v>
      </c>
      <c r="H607" s="197">
        <v>2</v>
      </c>
      <c r="I607" s="198"/>
      <c r="J607" s="205">
        <v>3.74</v>
      </c>
      <c r="K607" s="287">
        <v>3.74</v>
      </c>
      <c r="L607" s="206">
        <v>8.92</v>
      </c>
      <c r="M607" s="286">
        <v>8.92</v>
      </c>
      <c r="N607" s="552">
        <v>41791</v>
      </c>
      <c r="O607" s="205">
        <f t="shared" si="50"/>
        <v>0</v>
      </c>
      <c r="P607" s="555">
        <f>(1+$R$1)*Table33[[#This Row],[Hours]]</f>
        <v>0</v>
      </c>
      <c r="Q607" s="207">
        <f t="shared" si="49"/>
        <v>0</v>
      </c>
      <c r="R607" s="208">
        <f t="shared" si="51"/>
        <v>0</v>
      </c>
      <c r="S607" s="208">
        <f t="shared" si="52"/>
        <v>0</v>
      </c>
      <c r="T607" s="208" t="str">
        <f t="shared" si="53"/>
        <v/>
      </c>
      <c r="U607" s="195">
        <f>Table33[[#This Row],[gal/100ft]]*Table33[[#This Row],[QTY]]/100</f>
        <v>0</v>
      </c>
      <c r="V607" s="195"/>
      <c r="W607" s="195"/>
      <c r="X607" s="195"/>
      <c r="Y607" s="195"/>
    </row>
    <row r="608" spans="1:25" ht="12.75" x14ac:dyDescent="0.2">
      <c r="A608" s="195" t="s">
        <v>602</v>
      </c>
      <c r="B608" s="536" t="s">
        <v>874</v>
      </c>
      <c r="C608" s="195" t="s">
        <v>639</v>
      </c>
      <c r="D608" s="195" t="s">
        <v>640</v>
      </c>
      <c r="E608" s="288"/>
      <c r="F608" s="204">
        <v>8</v>
      </c>
      <c r="G608" s="204" t="s">
        <v>576</v>
      </c>
      <c r="H608" s="197" t="s">
        <v>596</v>
      </c>
      <c r="I608" s="198"/>
      <c r="J608" s="205">
        <v>1.06</v>
      </c>
      <c r="K608" s="287">
        <v>1.06</v>
      </c>
      <c r="L608" s="206">
        <v>3.68</v>
      </c>
      <c r="M608" s="286">
        <v>3.68</v>
      </c>
      <c r="N608" s="552">
        <v>41791</v>
      </c>
      <c r="O608" s="205">
        <f t="shared" si="50"/>
        <v>0</v>
      </c>
      <c r="P608" s="555">
        <f>(1+$R$1)*Table33[[#This Row],[Hours]]</f>
        <v>0</v>
      </c>
      <c r="Q608" s="207">
        <f t="shared" si="49"/>
        <v>0</v>
      </c>
      <c r="R608" s="208">
        <f t="shared" si="51"/>
        <v>0</v>
      </c>
      <c r="S608" s="208">
        <f t="shared" si="52"/>
        <v>0</v>
      </c>
      <c r="T608" s="208" t="str">
        <f t="shared" si="53"/>
        <v/>
      </c>
      <c r="U608" s="195">
        <f>Table33[[#This Row],[gal/100ft]]*Table33[[#This Row],[QTY]]/100</f>
        <v>0</v>
      </c>
      <c r="V608" s="195"/>
      <c r="W608" s="195"/>
      <c r="X608" s="195"/>
      <c r="Y608" s="195"/>
    </row>
    <row r="609" spans="1:25" ht="12.75" x14ac:dyDescent="0.2">
      <c r="A609" s="195" t="s">
        <v>602</v>
      </c>
      <c r="B609" s="536" t="s">
        <v>874</v>
      </c>
      <c r="C609" s="195" t="s">
        <v>639</v>
      </c>
      <c r="D609" s="195" t="s">
        <v>640</v>
      </c>
      <c r="E609" s="288"/>
      <c r="F609" s="204">
        <v>8</v>
      </c>
      <c r="G609" s="204" t="s">
        <v>576</v>
      </c>
      <c r="H609" s="197" t="s">
        <v>641</v>
      </c>
      <c r="I609" s="198"/>
      <c r="J609" s="205">
        <v>1.52</v>
      </c>
      <c r="K609" s="287">
        <v>1.52</v>
      </c>
      <c r="L609" s="206">
        <v>4.24</v>
      </c>
      <c r="M609" s="286">
        <v>4.24</v>
      </c>
      <c r="N609" s="552">
        <v>41791</v>
      </c>
      <c r="O609" s="205">
        <f t="shared" si="50"/>
        <v>0</v>
      </c>
      <c r="P609" s="555">
        <f>(1+$R$1)*Table33[[#This Row],[Hours]]</f>
        <v>0</v>
      </c>
      <c r="Q609" s="207">
        <f t="shared" si="49"/>
        <v>0</v>
      </c>
      <c r="R609" s="208">
        <f t="shared" si="51"/>
        <v>0</v>
      </c>
      <c r="S609" s="208">
        <f t="shared" si="52"/>
        <v>0</v>
      </c>
      <c r="T609" s="208" t="str">
        <f t="shared" si="53"/>
        <v/>
      </c>
      <c r="U609" s="195">
        <f>Table33[[#This Row],[gal/100ft]]*Table33[[#This Row],[QTY]]/100</f>
        <v>0</v>
      </c>
      <c r="V609" s="195"/>
      <c r="W609" s="195"/>
      <c r="X609" s="195"/>
      <c r="Y609" s="195"/>
    </row>
    <row r="610" spans="1:25" ht="12.75" x14ac:dyDescent="0.2">
      <c r="A610" s="195" t="s">
        <v>602</v>
      </c>
      <c r="B610" s="536" t="s">
        <v>874</v>
      </c>
      <c r="C610" s="195" t="s">
        <v>639</v>
      </c>
      <c r="D610" s="195" t="s">
        <v>640</v>
      </c>
      <c r="E610" s="288"/>
      <c r="F610" s="204">
        <v>8</v>
      </c>
      <c r="G610" s="204" t="s">
        <v>576</v>
      </c>
      <c r="H610" s="197">
        <v>1</v>
      </c>
      <c r="I610" s="198"/>
      <c r="J610" s="205">
        <v>1.98</v>
      </c>
      <c r="K610" s="287">
        <v>1.98</v>
      </c>
      <c r="L610" s="206">
        <v>4.9400000000000004</v>
      </c>
      <c r="M610" s="286">
        <v>4.9400000000000004</v>
      </c>
      <c r="N610" s="552">
        <v>41791</v>
      </c>
      <c r="O610" s="205">
        <f t="shared" si="50"/>
        <v>0</v>
      </c>
      <c r="P610" s="555">
        <f>(1+$R$1)*Table33[[#This Row],[Hours]]</f>
        <v>0</v>
      </c>
      <c r="Q610" s="207">
        <f t="shared" si="49"/>
        <v>0</v>
      </c>
      <c r="R610" s="208">
        <f t="shared" si="51"/>
        <v>0</v>
      </c>
      <c r="S610" s="208">
        <f t="shared" si="52"/>
        <v>0</v>
      </c>
      <c r="T610" s="208" t="str">
        <f t="shared" si="53"/>
        <v/>
      </c>
      <c r="U610" s="195">
        <f>Table33[[#This Row],[gal/100ft]]*Table33[[#This Row],[QTY]]/100</f>
        <v>0</v>
      </c>
      <c r="V610" s="195"/>
      <c r="W610" s="195"/>
      <c r="X610" s="195"/>
      <c r="Y610" s="195"/>
    </row>
    <row r="611" spans="1:25" ht="12.75" x14ac:dyDescent="0.2">
      <c r="A611" s="195" t="s">
        <v>602</v>
      </c>
      <c r="B611" s="536" t="s">
        <v>874</v>
      </c>
      <c r="C611" s="195" t="s">
        <v>639</v>
      </c>
      <c r="D611" s="195" t="s">
        <v>640</v>
      </c>
      <c r="E611" s="288"/>
      <c r="F611" s="204">
        <v>8</v>
      </c>
      <c r="G611" s="204" t="s">
        <v>576</v>
      </c>
      <c r="H611" s="197">
        <v>1.25</v>
      </c>
      <c r="I611" s="198"/>
      <c r="J611" s="205">
        <v>2.4500000000000002</v>
      </c>
      <c r="K611" s="287">
        <v>2.4500000000000002</v>
      </c>
      <c r="L611" s="206">
        <v>7.84</v>
      </c>
      <c r="M611" s="286">
        <v>7.84</v>
      </c>
      <c r="N611" s="552">
        <v>41791</v>
      </c>
      <c r="O611" s="205">
        <f t="shared" si="50"/>
        <v>0</v>
      </c>
      <c r="P611" s="555">
        <f>(1+$R$1)*Table33[[#This Row],[Hours]]</f>
        <v>0</v>
      </c>
      <c r="Q611" s="207">
        <f t="shared" si="49"/>
        <v>0</v>
      </c>
      <c r="R611" s="208">
        <f t="shared" si="51"/>
        <v>0</v>
      </c>
      <c r="S611" s="208">
        <f t="shared" si="52"/>
        <v>0</v>
      </c>
      <c r="T611" s="208" t="str">
        <f t="shared" si="53"/>
        <v/>
      </c>
      <c r="U611" s="195">
        <f>Table33[[#This Row],[gal/100ft]]*Table33[[#This Row],[QTY]]/100</f>
        <v>0</v>
      </c>
      <c r="V611" s="195"/>
      <c r="W611" s="195"/>
      <c r="X611" s="195"/>
      <c r="Y611" s="195"/>
    </row>
    <row r="612" spans="1:25" ht="12.75" x14ac:dyDescent="0.2">
      <c r="A612" s="195" t="s">
        <v>602</v>
      </c>
      <c r="B612" s="536" t="s">
        <v>874</v>
      </c>
      <c r="C612" s="195" t="s">
        <v>639</v>
      </c>
      <c r="D612" s="195" t="s">
        <v>640</v>
      </c>
      <c r="E612" s="288"/>
      <c r="F612" s="204">
        <v>8</v>
      </c>
      <c r="G612" s="204" t="s">
        <v>576</v>
      </c>
      <c r="H612" s="197">
        <v>1.5</v>
      </c>
      <c r="I612" s="198"/>
      <c r="J612" s="205">
        <v>2.88</v>
      </c>
      <c r="K612" s="287">
        <v>2.88</v>
      </c>
      <c r="L612" s="206">
        <v>7.84</v>
      </c>
      <c r="M612" s="286">
        <v>7.84</v>
      </c>
      <c r="N612" s="552">
        <v>41791</v>
      </c>
      <c r="O612" s="205">
        <f t="shared" si="50"/>
        <v>0</v>
      </c>
      <c r="P612" s="555">
        <f>(1+$R$1)*Table33[[#This Row],[Hours]]</f>
        <v>0</v>
      </c>
      <c r="Q612" s="207">
        <f t="shared" si="49"/>
        <v>0</v>
      </c>
      <c r="R612" s="208">
        <f t="shared" si="51"/>
        <v>0</v>
      </c>
      <c r="S612" s="208">
        <f t="shared" si="52"/>
        <v>0</v>
      </c>
      <c r="T612" s="208" t="str">
        <f t="shared" si="53"/>
        <v/>
      </c>
      <c r="U612" s="195">
        <f>Table33[[#This Row],[gal/100ft]]*Table33[[#This Row],[QTY]]/100</f>
        <v>0</v>
      </c>
      <c r="V612" s="195"/>
      <c r="W612" s="195"/>
      <c r="X612" s="195"/>
      <c r="Y612" s="195"/>
    </row>
    <row r="613" spans="1:25" ht="12.75" x14ac:dyDescent="0.2">
      <c r="A613" s="195" t="s">
        <v>602</v>
      </c>
      <c r="B613" s="536" t="s">
        <v>874</v>
      </c>
      <c r="C613" s="195" t="s">
        <v>639</v>
      </c>
      <c r="D613" s="195" t="s">
        <v>640</v>
      </c>
      <c r="E613" s="288"/>
      <c r="F613" s="204">
        <v>8</v>
      </c>
      <c r="G613" s="204" t="s">
        <v>576</v>
      </c>
      <c r="H613" s="197">
        <v>2</v>
      </c>
      <c r="I613" s="198"/>
      <c r="J613" s="205">
        <v>3.74</v>
      </c>
      <c r="K613" s="287">
        <v>3.74</v>
      </c>
      <c r="L613" s="206">
        <v>8.92</v>
      </c>
      <c r="M613" s="286">
        <v>8.92</v>
      </c>
      <c r="N613" s="552">
        <v>41791</v>
      </c>
      <c r="O613" s="205">
        <f t="shared" si="50"/>
        <v>0</v>
      </c>
      <c r="P613" s="555">
        <f>(1+$R$1)*Table33[[#This Row],[Hours]]</f>
        <v>0</v>
      </c>
      <c r="Q613" s="207">
        <f t="shared" si="49"/>
        <v>0</v>
      </c>
      <c r="R613" s="208">
        <f t="shared" si="51"/>
        <v>0</v>
      </c>
      <c r="S613" s="208">
        <f t="shared" si="52"/>
        <v>0</v>
      </c>
      <c r="T613" s="208" t="str">
        <f t="shared" si="53"/>
        <v/>
      </c>
      <c r="U613" s="195">
        <f>Table33[[#This Row],[gal/100ft]]*Table33[[#This Row],[QTY]]/100</f>
        <v>0</v>
      </c>
      <c r="V613" s="195"/>
      <c r="W613" s="195"/>
      <c r="X613" s="195"/>
      <c r="Y613" s="195"/>
    </row>
    <row r="614" spans="1:25" ht="12.75" x14ac:dyDescent="0.2">
      <c r="A614" s="195" t="s">
        <v>602</v>
      </c>
      <c r="B614" s="536" t="s">
        <v>874</v>
      </c>
      <c r="C614" s="195" t="s">
        <v>639</v>
      </c>
      <c r="D614" s="195" t="s">
        <v>640</v>
      </c>
      <c r="E614" s="288"/>
      <c r="F614" s="204">
        <v>10</v>
      </c>
      <c r="G614" s="204" t="s">
        <v>576</v>
      </c>
      <c r="H614" s="197" t="s">
        <v>596</v>
      </c>
      <c r="I614" s="198"/>
      <c r="J614" s="205">
        <v>1.06</v>
      </c>
      <c r="K614" s="287">
        <v>1.06</v>
      </c>
      <c r="L614" s="206">
        <v>3.68</v>
      </c>
      <c r="M614" s="286">
        <v>3.68</v>
      </c>
      <c r="N614" s="552">
        <v>41791</v>
      </c>
      <c r="O614" s="205">
        <f t="shared" si="50"/>
        <v>0</v>
      </c>
      <c r="P614" s="555">
        <f>(1+$R$1)*Table33[[#This Row],[Hours]]</f>
        <v>0</v>
      </c>
      <c r="Q614" s="207">
        <f t="shared" si="49"/>
        <v>0</v>
      </c>
      <c r="R614" s="208">
        <f t="shared" si="51"/>
        <v>0</v>
      </c>
      <c r="S614" s="208">
        <f t="shared" si="52"/>
        <v>0</v>
      </c>
      <c r="T614" s="208" t="str">
        <f t="shared" si="53"/>
        <v/>
      </c>
      <c r="U614" s="195">
        <f>Table33[[#This Row],[gal/100ft]]*Table33[[#This Row],[QTY]]/100</f>
        <v>0</v>
      </c>
      <c r="V614" s="195"/>
      <c r="W614" s="195"/>
      <c r="X614" s="195"/>
      <c r="Y614" s="195"/>
    </row>
    <row r="615" spans="1:25" ht="12.75" x14ac:dyDescent="0.2">
      <c r="A615" s="195" t="s">
        <v>602</v>
      </c>
      <c r="B615" s="536" t="s">
        <v>874</v>
      </c>
      <c r="C615" s="195" t="s">
        <v>639</v>
      </c>
      <c r="D615" s="195" t="s">
        <v>640</v>
      </c>
      <c r="E615" s="288"/>
      <c r="F615" s="204">
        <v>10</v>
      </c>
      <c r="G615" s="204" t="s">
        <v>576</v>
      </c>
      <c r="H615" s="197" t="s">
        <v>641</v>
      </c>
      <c r="I615" s="198"/>
      <c r="J615" s="205">
        <v>1.52</v>
      </c>
      <c r="K615" s="287">
        <v>1.52</v>
      </c>
      <c r="L615" s="206">
        <v>4.24</v>
      </c>
      <c r="M615" s="286">
        <v>4.24</v>
      </c>
      <c r="N615" s="552">
        <v>41791</v>
      </c>
      <c r="O615" s="205">
        <f t="shared" si="50"/>
        <v>0</v>
      </c>
      <c r="P615" s="555">
        <f>(1+$R$1)*Table33[[#This Row],[Hours]]</f>
        <v>0</v>
      </c>
      <c r="Q615" s="207">
        <f t="shared" si="49"/>
        <v>0</v>
      </c>
      <c r="R615" s="208">
        <f t="shared" si="51"/>
        <v>0</v>
      </c>
      <c r="S615" s="208">
        <f t="shared" si="52"/>
        <v>0</v>
      </c>
      <c r="T615" s="208" t="str">
        <f t="shared" si="53"/>
        <v/>
      </c>
      <c r="U615" s="195">
        <f>Table33[[#This Row],[gal/100ft]]*Table33[[#This Row],[QTY]]/100</f>
        <v>0</v>
      </c>
      <c r="V615" s="195"/>
      <c r="W615" s="195"/>
      <c r="X615" s="195"/>
      <c r="Y615" s="195"/>
    </row>
    <row r="616" spans="1:25" ht="12.75" x14ac:dyDescent="0.2">
      <c r="A616" s="195" t="s">
        <v>602</v>
      </c>
      <c r="B616" s="536" t="s">
        <v>874</v>
      </c>
      <c r="C616" s="195" t="s">
        <v>639</v>
      </c>
      <c r="D616" s="195" t="s">
        <v>640</v>
      </c>
      <c r="E616" s="288"/>
      <c r="F616" s="204">
        <v>10</v>
      </c>
      <c r="G616" s="204" t="s">
        <v>576</v>
      </c>
      <c r="H616" s="197">
        <v>1</v>
      </c>
      <c r="I616" s="198"/>
      <c r="J616" s="205">
        <v>1.98</v>
      </c>
      <c r="K616" s="287">
        <v>1.98</v>
      </c>
      <c r="L616" s="206">
        <v>4.9400000000000004</v>
      </c>
      <c r="M616" s="286">
        <v>4.9400000000000004</v>
      </c>
      <c r="N616" s="552">
        <v>41791</v>
      </c>
      <c r="O616" s="205">
        <f t="shared" si="50"/>
        <v>0</v>
      </c>
      <c r="P616" s="555">
        <f>(1+$R$1)*Table33[[#This Row],[Hours]]</f>
        <v>0</v>
      </c>
      <c r="Q616" s="207">
        <f t="shared" si="49"/>
        <v>0</v>
      </c>
      <c r="R616" s="208">
        <f t="shared" si="51"/>
        <v>0</v>
      </c>
      <c r="S616" s="208">
        <f t="shared" si="52"/>
        <v>0</v>
      </c>
      <c r="T616" s="208" t="str">
        <f t="shared" si="53"/>
        <v/>
      </c>
      <c r="U616" s="195">
        <f>Table33[[#This Row],[gal/100ft]]*Table33[[#This Row],[QTY]]/100</f>
        <v>0</v>
      </c>
      <c r="V616" s="195"/>
      <c r="W616" s="195"/>
      <c r="X616" s="195"/>
      <c r="Y616" s="195"/>
    </row>
    <row r="617" spans="1:25" ht="12.75" x14ac:dyDescent="0.2">
      <c r="A617" s="195" t="s">
        <v>602</v>
      </c>
      <c r="B617" s="536" t="s">
        <v>874</v>
      </c>
      <c r="C617" s="195" t="s">
        <v>639</v>
      </c>
      <c r="D617" s="195" t="s">
        <v>640</v>
      </c>
      <c r="E617" s="288"/>
      <c r="F617" s="204">
        <v>10</v>
      </c>
      <c r="G617" s="204" t="s">
        <v>576</v>
      </c>
      <c r="H617" s="197">
        <v>1.25</v>
      </c>
      <c r="I617" s="198"/>
      <c r="J617" s="205">
        <v>2.4500000000000002</v>
      </c>
      <c r="K617" s="287">
        <v>2.4500000000000002</v>
      </c>
      <c r="L617" s="206">
        <v>7.84</v>
      </c>
      <c r="M617" s="286">
        <v>7.84</v>
      </c>
      <c r="N617" s="552">
        <v>41791</v>
      </c>
      <c r="O617" s="205">
        <f t="shared" si="50"/>
        <v>0</v>
      </c>
      <c r="P617" s="555">
        <f>(1+$R$1)*Table33[[#This Row],[Hours]]</f>
        <v>0</v>
      </c>
      <c r="Q617" s="207">
        <f t="shared" si="49"/>
        <v>0</v>
      </c>
      <c r="R617" s="208">
        <f t="shared" si="51"/>
        <v>0</v>
      </c>
      <c r="S617" s="208">
        <f t="shared" si="52"/>
        <v>0</v>
      </c>
      <c r="T617" s="208" t="str">
        <f t="shared" si="53"/>
        <v/>
      </c>
      <c r="U617" s="195">
        <f>Table33[[#This Row],[gal/100ft]]*Table33[[#This Row],[QTY]]/100</f>
        <v>0</v>
      </c>
      <c r="V617" s="195"/>
      <c r="W617" s="195"/>
      <c r="X617" s="195"/>
      <c r="Y617" s="195"/>
    </row>
    <row r="618" spans="1:25" ht="12.75" x14ac:dyDescent="0.2">
      <c r="A618" s="195" t="s">
        <v>602</v>
      </c>
      <c r="B618" s="536" t="s">
        <v>874</v>
      </c>
      <c r="C618" s="195" t="s">
        <v>639</v>
      </c>
      <c r="D618" s="195" t="s">
        <v>640</v>
      </c>
      <c r="E618" s="288"/>
      <c r="F618" s="204">
        <v>10</v>
      </c>
      <c r="G618" s="204" t="s">
        <v>576</v>
      </c>
      <c r="H618" s="197">
        <v>1.5</v>
      </c>
      <c r="I618" s="198"/>
      <c r="J618" s="205">
        <v>2.88</v>
      </c>
      <c r="K618" s="287">
        <v>2.88</v>
      </c>
      <c r="L618" s="206">
        <v>7.84</v>
      </c>
      <c r="M618" s="286">
        <v>7.84</v>
      </c>
      <c r="N618" s="552">
        <v>41791</v>
      </c>
      <c r="O618" s="205">
        <f t="shared" si="50"/>
        <v>0</v>
      </c>
      <c r="P618" s="555">
        <f>(1+$R$1)*Table33[[#This Row],[Hours]]</f>
        <v>0</v>
      </c>
      <c r="Q618" s="207">
        <f t="shared" si="49"/>
        <v>0</v>
      </c>
      <c r="R618" s="208">
        <f t="shared" si="51"/>
        <v>0</v>
      </c>
      <c r="S618" s="208">
        <f t="shared" si="52"/>
        <v>0</v>
      </c>
      <c r="T618" s="208" t="str">
        <f t="shared" si="53"/>
        <v/>
      </c>
      <c r="U618" s="195">
        <f>Table33[[#This Row],[gal/100ft]]*Table33[[#This Row],[QTY]]/100</f>
        <v>0</v>
      </c>
      <c r="V618" s="195"/>
      <c r="W618" s="195"/>
      <c r="X618" s="195"/>
      <c r="Y618" s="195"/>
    </row>
    <row r="619" spans="1:25" ht="12.75" x14ac:dyDescent="0.2">
      <c r="A619" s="195" t="s">
        <v>602</v>
      </c>
      <c r="B619" s="536" t="s">
        <v>874</v>
      </c>
      <c r="C619" s="195" t="s">
        <v>639</v>
      </c>
      <c r="D619" s="195" t="s">
        <v>640</v>
      </c>
      <c r="E619" s="288"/>
      <c r="F619" s="204">
        <v>10</v>
      </c>
      <c r="G619" s="204" t="s">
        <v>576</v>
      </c>
      <c r="H619" s="197">
        <v>2</v>
      </c>
      <c r="I619" s="198"/>
      <c r="J619" s="205">
        <v>3.74</v>
      </c>
      <c r="K619" s="287">
        <v>3.74</v>
      </c>
      <c r="L619" s="206">
        <v>8.92</v>
      </c>
      <c r="M619" s="286">
        <v>8.92</v>
      </c>
      <c r="N619" s="552">
        <v>41791</v>
      </c>
      <c r="O619" s="205">
        <f t="shared" si="50"/>
        <v>0</v>
      </c>
      <c r="P619" s="555">
        <f>(1+$R$1)*Table33[[#This Row],[Hours]]</f>
        <v>0</v>
      </c>
      <c r="Q619" s="207">
        <f t="shared" si="49"/>
        <v>0</v>
      </c>
      <c r="R619" s="208">
        <f t="shared" si="51"/>
        <v>0</v>
      </c>
      <c r="S619" s="208">
        <f t="shared" si="52"/>
        <v>0</v>
      </c>
      <c r="T619" s="208" t="str">
        <f t="shared" si="53"/>
        <v/>
      </c>
      <c r="U619" s="195">
        <f>Table33[[#This Row],[gal/100ft]]*Table33[[#This Row],[QTY]]/100</f>
        <v>0</v>
      </c>
      <c r="V619" s="195"/>
      <c r="W619" s="195"/>
      <c r="X619" s="195"/>
      <c r="Y619" s="195"/>
    </row>
    <row r="620" spans="1:25" ht="12.75" x14ac:dyDescent="0.2">
      <c r="A620" s="195" t="s">
        <v>602</v>
      </c>
      <c r="B620" s="536" t="s">
        <v>874</v>
      </c>
      <c r="C620" s="195" t="s">
        <v>639</v>
      </c>
      <c r="D620" s="195" t="s">
        <v>640</v>
      </c>
      <c r="E620" s="288"/>
      <c r="F620" s="204">
        <v>12</v>
      </c>
      <c r="G620" s="204" t="s">
        <v>576</v>
      </c>
      <c r="H620" s="197" t="s">
        <v>596</v>
      </c>
      <c r="I620" s="198"/>
      <c r="J620" s="205">
        <v>1.06</v>
      </c>
      <c r="K620" s="287">
        <v>1.06</v>
      </c>
      <c r="L620" s="206">
        <v>3.68</v>
      </c>
      <c r="M620" s="286">
        <v>3.68</v>
      </c>
      <c r="N620" s="552">
        <v>41791</v>
      </c>
      <c r="O620" s="205">
        <f t="shared" si="50"/>
        <v>0</v>
      </c>
      <c r="P620" s="555">
        <f>(1+$R$1)*Table33[[#This Row],[Hours]]</f>
        <v>0</v>
      </c>
      <c r="Q620" s="207">
        <f t="shared" si="49"/>
        <v>0</v>
      </c>
      <c r="R620" s="208">
        <f t="shared" si="51"/>
        <v>0</v>
      </c>
      <c r="S620" s="208">
        <f t="shared" si="52"/>
        <v>0</v>
      </c>
      <c r="T620" s="208" t="str">
        <f t="shared" si="53"/>
        <v/>
      </c>
      <c r="U620" s="195">
        <f>Table33[[#This Row],[gal/100ft]]*Table33[[#This Row],[QTY]]/100</f>
        <v>0</v>
      </c>
      <c r="V620" s="195"/>
      <c r="W620" s="195"/>
      <c r="X620" s="195"/>
      <c r="Y620" s="195"/>
    </row>
    <row r="621" spans="1:25" ht="12.75" x14ac:dyDescent="0.2">
      <c r="A621" s="195" t="s">
        <v>602</v>
      </c>
      <c r="B621" s="536" t="s">
        <v>874</v>
      </c>
      <c r="C621" s="195" t="s">
        <v>639</v>
      </c>
      <c r="D621" s="195" t="s">
        <v>640</v>
      </c>
      <c r="E621" s="288"/>
      <c r="F621" s="204">
        <v>12</v>
      </c>
      <c r="G621" s="204" t="s">
        <v>576</v>
      </c>
      <c r="H621" s="197" t="s">
        <v>641</v>
      </c>
      <c r="I621" s="198"/>
      <c r="J621" s="205">
        <v>1.52</v>
      </c>
      <c r="K621" s="287">
        <v>1.52</v>
      </c>
      <c r="L621" s="206">
        <v>4.24</v>
      </c>
      <c r="M621" s="286">
        <v>4.24</v>
      </c>
      <c r="N621" s="552">
        <v>41791</v>
      </c>
      <c r="O621" s="205">
        <f t="shared" si="50"/>
        <v>0</v>
      </c>
      <c r="P621" s="555">
        <f>(1+$R$1)*Table33[[#This Row],[Hours]]</f>
        <v>0</v>
      </c>
      <c r="Q621" s="207">
        <f t="shared" si="49"/>
        <v>0</v>
      </c>
      <c r="R621" s="208">
        <f t="shared" si="51"/>
        <v>0</v>
      </c>
      <c r="S621" s="208">
        <f t="shared" si="52"/>
        <v>0</v>
      </c>
      <c r="T621" s="208" t="str">
        <f t="shared" si="53"/>
        <v/>
      </c>
      <c r="U621" s="195">
        <f>Table33[[#This Row],[gal/100ft]]*Table33[[#This Row],[QTY]]/100</f>
        <v>0</v>
      </c>
      <c r="V621" s="195"/>
      <c r="W621" s="195"/>
      <c r="X621" s="195"/>
      <c r="Y621" s="195"/>
    </row>
    <row r="622" spans="1:25" ht="12.75" x14ac:dyDescent="0.2">
      <c r="A622" s="195" t="s">
        <v>602</v>
      </c>
      <c r="B622" s="536" t="s">
        <v>874</v>
      </c>
      <c r="C622" s="195" t="s">
        <v>639</v>
      </c>
      <c r="D622" s="195" t="s">
        <v>640</v>
      </c>
      <c r="E622" s="288"/>
      <c r="F622" s="204">
        <v>12</v>
      </c>
      <c r="G622" s="204" t="s">
        <v>576</v>
      </c>
      <c r="H622" s="197">
        <v>1</v>
      </c>
      <c r="I622" s="198"/>
      <c r="J622" s="205">
        <v>1.98</v>
      </c>
      <c r="K622" s="287">
        <v>1.98</v>
      </c>
      <c r="L622" s="206">
        <v>4.9400000000000004</v>
      </c>
      <c r="M622" s="286">
        <v>4.9400000000000004</v>
      </c>
      <c r="N622" s="552">
        <v>41791</v>
      </c>
      <c r="O622" s="205">
        <f t="shared" si="50"/>
        <v>0</v>
      </c>
      <c r="P622" s="555">
        <f>(1+$R$1)*Table33[[#This Row],[Hours]]</f>
        <v>0</v>
      </c>
      <c r="Q622" s="207">
        <f t="shared" si="49"/>
        <v>0</v>
      </c>
      <c r="R622" s="208">
        <f t="shared" si="51"/>
        <v>0</v>
      </c>
      <c r="S622" s="208">
        <f t="shared" si="52"/>
        <v>0</v>
      </c>
      <c r="T622" s="208" t="str">
        <f t="shared" si="53"/>
        <v/>
      </c>
      <c r="U622" s="195">
        <f>Table33[[#This Row],[gal/100ft]]*Table33[[#This Row],[QTY]]/100</f>
        <v>0</v>
      </c>
      <c r="V622" s="195"/>
      <c r="W622" s="195"/>
      <c r="X622" s="195"/>
      <c r="Y622" s="195"/>
    </row>
    <row r="623" spans="1:25" ht="12.75" x14ac:dyDescent="0.2">
      <c r="A623" s="195" t="s">
        <v>602</v>
      </c>
      <c r="B623" s="536" t="s">
        <v>874</v>
      </c>
      <c r="C623" s="195" t="s">
        <v>639</v>
      </c>
      <c r="D623" s="195" t="s">
        <v>640</v>
      </c>
      <c r="E623" s="288"/>
      <c r="F623" s="204">
        <v>12</v>
      </c>
      <c r="G623" s="204" t="s">
        <v>576</v>
      </c>
      <c r="H623" s="197">
        <v>1.25</v>
      </c>
      <c r="I623" s="198"/>
      <c r="J623" s="205">
        <v>2.4500000000000002</v>
      </c>
      <c r="K623" s="287">
        <v>2.4500000000000002</v>
      </c>
      <c r="L623" s="206">
        <v>7.84</v>
      </c>
      <c r="M623" s="286">
        <v>7.84</v>
      </c>
      <c r="N623" s="552">
        <v>41791</v>
      </c>
      <c r="O623" s="205">
        <f t="shared" si="50"/>
        <v>0</v>
      </c>
      <c r="P623" s="555">
        <f>(1+$R$1)*Table33[[#This Row],[Hours]]</f>
        <v>0</v>
      </c>
      <c r="Q623" s="207">
        <f t="shared" si="49"/>
        <v>0</v>
      </c>
      <c r="R623" s="208">
        <f t="shared" si="51"/>
        <v>0</v>
      </c>
      <c r="S623" s="208">
        <f t="shared" si="52"/>
        <v>0</v>
      </c>
      <c r="T623" s="208" t="str">
        <f t="shared" si="53"/>
        <v/>
      </c>
      <c r="U623" s="195">
        <f>Table33[[#This Row],[gal/100ft]]*Table33[[#This Row],[QTY]]/100</f>
        <v>0</v>
      </c>
      <c r="V623" s="195"/>
      <c r="W623" s="195"/>
      <c r="X623" s="195"/>
      <c r="Y623" s="195"/>
    </row>
    <row r="624" spans="1:25" ht="12.75" x14ac:dyDescent="0.2">
      <c r="A624" s="195" t="s">
        <v>602</v>
      </c>
      <c r="B624" s="536" t="s">
        <v>874</v>
      </c>
      <c r="C624" s="195" t="s">
        <v>639</v>
      </c>
      <c r="D624" s="195" t="s">
        <v>640</v>
      </c>
      <c r="E624" s="288"/>
      <c r="F624" s="204">
        <v>12</v>
      </c>
      <c r="G624" s="204" t="s">
        <v>576</v>
      </c>
      <c r="H624" s="197">
        <v>1.5</v>
      </c>
      <c r="I624" s="198"/>
      <c r="J624" s="205">
        <v>2.88</v>
      </c>
      <c r="K624" s="287">
        <v>2.88</v>
      </c>
      <c r="L624" s="206">
        <v>7.84</v>
      </c>
      <c r="M624" s="286">
        <v>7.84</v>
      </c>
      <c r="N624" s="552">
        <v>41791</v>
      </c>
      <c r="O624" s="205">
        <f t="shared" si="50"/>
        <v>0</v>
      </c>
      <c r="P624" s="555">
        <f>(1+$R$1)*Table33[[#This Row],[Hours]]</f>
        <v>0</v>
      </c>
      <c r="Q624" s="207">
        <f t="shared" si="49"/>
        <v>0</v>
      </c>
      <c r="R624" s="208">
        <f t="shared" si="51"/>
        <v>0</v>
      </c>
      <c r="S624" s="208">
        <f t="shared" si="52"/>
        <v>0</v>
      </c>
      <c r="T624" s="208" t="str">
        <f t="shared" si="53"/>
        <v/>
      </c>
      <c r="U624" s="195">
        <f>Table33[[#This Row],[gal/100ft]]*Table33[[#This Row],[QTY]]/100</f>
        <v>0</v>
      </c>
      <c r="V624" s="195"/>
      <c r="W624" s="195"/>
      <c r="X624" s="195"/>
      <c r="Y624" s="195"/>
    </row>
    <row r="625" spans="1:25" ht="12.75" x14ac:dyDescent="0.2">
      <c r="A625" s="195" t="s">
        <v>602</v>
      </c>
      <c r="B625" s="536" t="s">
        <v>874</v>
      </c>
      <c r="C625" s="195" t="s">
        <v>639</v>
      </c>
      <c r="D625" s="195" t="s">
        <v>640</v>
      </c>
      <c r="E625" s="288"/>
      <c r="F625" s="204">
        <v>12</v>
      </c>
      <c r="G625" s="204" t="s">
        <v>576</v>
      </c>
      <c r="H625" s="197">
        <v>2</v>
      </c>
      <c r="I625" s="198"/>
      <c r="J625" s="205">
        <v>3.74</v>
      </c>
      <c r="K625" s="287">
        <v>3.74</v>
      </c>
      <c r="L625" s="206">
        <v>8.92</v>
      </c>
      <c r="M625" s="286">
        <v>8.92</v>
      </c>
      <c r="N625" s="552">
        <v>41791</v>
      </c>
      <c r="O625" s="205">
        <f t="shared" si="50"/>
        <v>0</v>
      </c>
      <c r="P625" s="555">
        <f>(1+$R$1)*Table33[[#This Row],[Hours]]</f>
        <v>0</v>
      </c>
      <c r="Q625" s="207">
        <f t="shared" si="49"/>
        <v>0</v>
      </c>
      <c r="R625" s="208">
        <f t="shared" si="51"/>
        <v>0</v>
      </c>
      <c r="S625" s="208">
        <f t="shared" si="52"/>
        <v>0</v>
      </c>
      <c r="T625" s="208" t="str">
        <f t="shared" si="53"/>
        <v/>
      </c>
      <c r="U625" s="195">
        <f>Table33[[#This Row],[gal/100ft]]*Table33[[#This Row],[QTY]]/100</f>
        <v>0</v>
      </c>
      <c r="V625" s="195"/>
      <c r="W625" s="195"/>
      <c r="X625" s="195"/>
      <c r="Y625" s="195"/>
    </row>
    <row r="626" spans="1:25" ht="12.75" x14ac:dyDescent="0.2">
      <c r="A626" s="195" t="s">
        <v>602</v>
      </c>
      <c r="B626" s="536" t="s">
        <v>874</v>
      </c>
      <c r="C626" s="195" t="s">
        <v>639</v>
      </c>
      <c r="D626" s="195" t="s">
        <v>640</v>
      </c>
      <c r="E626" s="288"/>
      <c r="F626" s="204">
        <v>14</v>
      </c>
      <c r="G626" s="204" t="s">
        <v>576</v>
      </c>
      <c r="H626" s="197" t="s">
        <v>596</v>
      </c>
      <c r="I626" s="198"/>
      <c r="J626" s="205">
        <v>1.06</v>
      </c>
      <c r="K626" s="287">
        <v>1.06</v>
      </c>
      <c r="L626" s="206">
        <v>3.68</v>
      </c>
      <c r="M626" s="286">
        <v>3.68</v>
      </c>
      <c r="N626" s="552">
        <v>41791</v>
      </c>
      <c r="O626" s="205">
        <f t="shared" si="50"/>
        <v>0</v>
      </c>
      <c r="P626" s="555">
        <f>(1+$R$1)*Table33[[#This Row],[Hours]]</f>
        <v>0</v>
      </c>
      <c r="Q626" s="207">
        <f t="shared" si="49"/>
        <v>0</v>
      </c>
      <c r="R626" s="208">
        <f t="shared" si="51"/>
        <v>0</v>
      </c>
      <c r="S626" s="208">
        <f t="shared" si="52"/>
        <v>0</v>
      </c>
      <c r="T626" s="208" t="str">
        <f t="shared" si="53"/>
        <v/>
      </c>
      <c r="U626" s="195">
        <f>Table33[[#This Row],[gal/100ft]]*Table33[[#This Row],[QTY]]/100</f>
        <v>0</v>
      </c>
      <c r="V626" s="195"/>
      <c r="W626" s="195"/>
      <c r="X626" s="195"/>
      <c r="Y626" s="195"/>
    </row>
    <row r="627" spans="1:25" ht="12.75" x14ac:dyDescent="0.2">
      <c r="A627" s="195" t="s">
        <v>602</v>
      </c>
      <c r="B627" s="536" t="s">
        <v>874</v>
      </c>
      <c r="C627" s="195" t="s">
        <v>639</v>
      </c>
      <c r="D627" s="195" t="s">
        <v>640</v>
      </c>
      <c r="E627" s="288"/>
      <c r="F627" s="204">
        <v>14</v>
      </c>
      <c r="G627" s="204" t="s">
        <v>576</v>
      </c>
      <c r="H627" s="197" t="s">
        <v>641</v>
      </c>
      <c r="I627" s="198"/>
      <c r="J627" s="205">
        <v>1.52</v>
      </c>
      <c r="K627" s="287">
        <v>1.52</v>
      </c>
      <c r="L627" s="206">
        <v>4.24</v>
      </c>
      <c r="M627" s="286">
        <v>4.24</v>
      </c>
      <c r="N627" s="552">
        <v>41791</v>
      </c>
      <c r="O627" s="205">
        <f t="shared" si="50"/>
        <v>0</v>
      </c>
      <c r="P627" s="555">
        <f>(1+$R$1)*Table33[[#This Row],[Hours]]</f>
        <v>0</v>
      </c>
      <c r="Q627" s="207">
        <f t="shared" si="49"/>
        <v>0</v>
      </c>
      <c r="R627" s="208">
        <f t="shared" si="51"/>
        <v>0</v>
      </c>
      <c r="S627" s="208">
        <f t="shared" si="52"/>
        <v>0</v>
      </c>
      <c r="T627" s="208" t="str">
        <f t="shared" si="53"/>
        <v/>
      </c>
      <c r="U627" s="195">
        <f>Table33[[#This Row],[gal/100ft]]*Table33[[#This Row],[QTY]]/100</f>
        <v>0</v>
      </c>
      <c r="V627" s="195"/>
      <c r="W627" s="195"/>
      <c r="X627" s="195"/>
      <c r="Y627" s="195"/>
    </row>
    <row r="628" spans="1:25" ht="12.75" x14ac:dyDescent="0.2">
      <c r="A628" s="195" t="s">
        <v>602</v>
      </c>
      <c r="B628" s="536" t="s">
        <v>874</v>
      </c>
      <c r="C628" s="195" t="s">
        <v>639</v>
      </c>
      <c r="D628" s="195" t="s">
        <v>640</v>
      </c>
      <c r="E628" s="288"/>
      <c r="F628" s="204">
        <v>14</v>
      </c>
      <c r="G628" s="204" t="s">
        <v>576</v>
      </c>
      <c r="H628" s="197">
        <v>1</v>
      </c>
      <c r="I628" s="198"/>
      <c r="J628" s="205">
        <v>1.98</v>
      </c>
      <c r="K628" s="287">
        <v>1.98</v>
      </c>
      <c r="L628" s="206">
        <v>4.9400000000000004</v>
      </c>
      <c r="M628" s="286">
        <v>4.9400000000000004</v>
      </c>
      <c r="N628" s="552">
        <v>41791</v>
      </c>
      <c r="O628" s="205">
        <f t="shared" si="50"/>
        <v>0</v>
      </c>
      <c r="P628" s="555">
        <f>(1+$R$1)*Table33[[#This Row],[Hours]]</f>
        <v>0</v>
      </c>
      <c r="Q628" s="207">
        <f t="shared" si="49"/>
        <v>0</v>
      </c>
      <c r="R628" s="208">
        <f t="shared" si="51"/>
        <v>0</v>
      </c>
      <c r="S628" s="208">
        <f t="shared" si="52"/>
        <v>0</v>
      </c>
      <c r="T628" s="208" t="str">
        <f t="shared" si="53"/>
        <v/>
      </c>
      <c r="U628" s="195">
        <f>Table33[[#This Row],[gal/100ft]]*Table33[[#This Row],[QTY]]/100</f>
        <v>0</v>
      </c>
      <c r="V628" s="195"/>
      <c r="W628" s="195"/>
      <c r="X628" s="195"/>
      <c r="Y628" s="195"/>
    </row>
    <row r="629" spans="1:25" ht="12.75" x14ac:dyDescent="0.2">
      <c r="A629" s="195" t="s">
        <v>602</v>
      </c>
      <c r="B629" s="536" t="s">
        <v>874</v>
      </c>
      <c r="C629" s="195" t="s">
        <v>639</v>
      </c>
      <c r="D629" s="195" t="s">
        <v>640</v>
      </c>
      <c r="E629" s="288"/>
      <c r="F629" s="204">
        <v>14</v>
      </c>
      <c r="G629" s="204" t="s">
        <v>576</v>
      </c>
      <c r="H629" s="197">
        <v>1.25</v>
      </c>
      <c r="I629" s="198"/>
      <c r="J629" s="205">
        <v>2.4500000000000002</v>
      </c>
      <c r="K629" s="287">
        <v>2.4500000000000002</v>
      </c>
      <c r="L629" s="206">
        <v>7.84</v>
      </c>
      <c r="M629" s="286">
        <v>7.84</v>
      </c>
      <c r="N629" s="552">
        <v>41791</v>
      </c>
      <c r="O629" s="205">
        <f t="shared" si="50"/>
        <v>0</v>
      </c>
      <c r="P629" s="555">
        <f>(1+$R$1)*Table33[[#This Row],[Hours]]</f>
        <v>0</v>
      </c>
      <c r="Q629" s="207">
        <f t="shared" si="49"/>
        <v>0</v>
      </c>
      <c r="R629" s="208">
        <f t="shared" si="51"/>
        <v>0</v>
      </c>
      <c r="S629" s="208">
        <f t="shared" si="52"/>
        <v>0</v>
      </c>
      <c r="T629" s="208" t="str">
        <f t="shared" si="53"/>
        <v/>
      </c>
      <c r="U629" s="195">
        <f>Table33[[#This Row],[gal/100ft]]*Table33[[#This Row],[QTY]]/100</f>
        <v>0</v>
      </c>
      <c r="V629" s="195"/>
      <c r="W629" s="195"/>
      <c r="X629" s="195"/>
      <c r="Y629" s="195"/>
    </row>
    <row r="630" spans="1:25" ht="12.75" x14ac:dyDescent="0.2">
      <c r="A630" s="195" t="s">
        <v>602</v>
      </c>
      <c r="B630" s="536" t="s">
        <v>874</v>
      </c>
      <c r="C630" s="195" t="s">
        <v>639</v>
      </c>
      <c r="D630" s="195" t="s">
        <v>640</v>
      </c>
      <c r="E630" s="288"/>
      <c r="F630" s="204">
        <v>14</v>
      </c>
      <c r="G630" s="204" t="s">
        <v>576</v>
      </c>
      <c r="H630" s="197">
        <v>1.5</v>
      </c>
      <c r="I630" s="198"/>
      <c r="J630" s="205">
        <v>2.88</v>
      </c>
      <c r="K630" s="287">
        <v>2.88</v>
      </c>
      <c r="L630" s="206">
        <v>7.84</v>
      </c>
      <c r="M630" s="286">
        <v>7.84</v>
      </c>
      <c r="N630" s="552">
        <v>41791</v>
      </c>
      <c r="O630" s="205">
        <f t="shared" si="50"/>
        <v>0</v>
      </c>
      <c r="P630" s="555">
        <f>(1+$R$1)*Table33[[#This Row],[Hours]]</f>
        <v>0</v>
      </c>
      <c r="Q630" s="207">
        <f t="shared" si="49"/>
        <v>0</v>
      </c>
      <c r="R630" s="208">
        <f t="shared" si="51"/>
        <v>0</v>
      </c>
      <c r="S630" s="208">
        <f t="shared" si="52"/>
        <v>0</v>
      </c>
      <c r="T630" s="208" t="str">
        <f t="shared" si="53"/>
        <v/>
      </c>
      <c r="U630" s="195">
        <f>Table33[[#This Row],[gal/100ft]]*Table33[[#This Row],[QTY]]/100</f>
        <v>0</v>
      </c>
      <c r="V630" s="195"/>
      <c r="W630" s="195"/>
      <c r="X630" s="195"/>
      <c r="Y630" s="195"/>
    </row>
    <row r="631" spans="1:25" ht="12.75" x14ac:dyDescent="0.2">
      <c r="A631" s="195" t="s">
        <v>602</v>
      </c>
      <c r="B631" s="536" t="s">
        <v>874</v>
      </c>
      <c r="C631" s="195" t="s">
        <v>639</v>
      </c>
      <c r="D631" s="195" t="s">
        <v>640</v>
      </c>
      <c r="E631" s="288"/>
      <c r="F631" s="204">
        <v>14</v>
      </c>
      <c r="G631" s="204" t="s">
        <v>576</v>
      </c>
      <c r="H631" s="197">
        <v>2</v>
      </c>
      <c r="I631" s="198"/>
      <c r="J631" s="205">
        <v>3.74</v>
      </c>
      <c r="K631" s="287">
        <v>3.74</v>
      </c>
      <c r="L631" s="206">
        <v>8.92</v>
      </c>
      <c r="M631" s="286">
        <v>8.92</v>
      </c>
      <c r="N631" s="552">
        <v>41791</v>
      </c>
      <c r="O631" s="205">
        <f t="shared" si="50"/>
        <v>0</v>
      </c>
      <c r="P631" s="555">
        <f>(1+$R$1)*Table33[[#This Row],[Hours]]</f>
        <v>0</v>
      </c>
      <c r="Q631" s="207">
        <f t="shared" si="49"/>
        <v>0</v>
      </c>
      <c r="R631" s="208">
        <f t="shared" si="51"/>
        <v>0</v>
      </c>
      <c r="S631" s="208">
        <f t="shared" si="52"/>
        <v>0</v>
      </c>
      <c r="T631" s="208" t="str">
        <f t="shared" si="53"/>
        <v/>
      </c>
      <c r="U631" s="195">
        <f>Table33[[#This Row],[gal/100ft]]*Table33[[#This Row],[QTY]]/100</f>
        <v>0</v>
      </c>
      <c r="V631" s="195"/>
      <c r="W631" s="195"/>
      <c r="X631" s="195"/>
      <c r="Y631" s="195"/>
    </row>
    <row r="632" spans="1:25" ht="12.75" x14ac:dyDescent="0.2">
      <c r="A632" s="195" t="s">
        <v>602</v>
      </c>
      <c r="B632" s="536" t="s">
        <v>874</v>
      </c>
      <c r="C632" s="195" t="s">
        <v>639</v>
      </c>
      <c r="D632" s="195" t="s">
        <v>640</v>
      </c>
      <c r="E632" s="288"/>
      <c r="F632" s="204">
        <v>16</v>
      </c>
      <c r="G632" s="204" t="s">
        <v>576</v>
      </c>
      <c r="H632" s="197" t="s">
        <v>596</v>
      </c>
      <c r="I632" s="198"/>
      <c r="J632" s="205">
        <v>1.06</v>
      </c>
      <c r="K632" s="287">
        <v>1.06</v>
      </c>
      <c r="L632" s="206">
        <v>3.68</v>
      </c>
      <c r="M632" s="286">
        <v>3.68</v>
      </c>
      <c r="N632" s="552">
        <v>41791</v>
      </c>
      <c r="O632" s="205">
        <f t="shared" si="50"/>
        <v>0</v>
      </c>
      <c r="P632" s="555">
        <f>(1+$R$1)*Table33[[#This Row],[Hours]]</f>
        <v>0</v>
      </c>
      <c r="Q632" s="207">
        <f t="shared" si="49"/>
        <v>0</v>
      </c>
      <c r="R632" s="208">
        <f t="shared" si="51"/>
        <v>0</v>
      </c>
      <c r="S632" s="208">
        <f t="shared" si="52"/>
        <v>0</v>
      </c>
      <c r="T632" s="208" t="str">
        <f t="shared" si="53"/>
        <v/>
      </c>
      <c r="U632" s="195">
        <f>Table33[[#This Row],[gal/100ft]]*Table33[[#This Row],[QTY]]/100</f>
        <v>0</v>
      </c>
      <c r="V632" s="195"/>
      <c r="W632" s="195"/>
      <c r="X632" s="195"/>
      <c r="Y632" s="195"/>
    </row>
    <row r="633" spans="1:25" ht="12.75" x14ac:dyDescent="0.2">
      <c r="A633" s="195" t="s">
        <v>602</v>
      </c>
      <c r="B633" s="536" t="s">
        <v>874</v>
      </c>
      <c r="C633" s="195" t="s">
        <v>639</v>
      </c>
      <c r="D633" s="195" t="s">
        <v>640</v>
      </c>
      <c r="E633" s="288"/>
      <c r="F633" s="204">
        <v>16</v>
      </c>
      <c r="G633" s="204" t="s">
        <v>576</v>
      </c>
      <c r="H633" s="197" t="s">
        <v>641</v>
      </c>
      <c r="I633" s="198"/>
      <c r="J633" s="205">
        <v>1.52</v>
      </c>
      <c r="K633" s="287">
        <v>1.52</v>
      </c>
      <c r="L633" s="206">
        <v>4.24</v>
      </c>
      <c r="M633" s="286">
        <v>4.24</v>
      </c>
      <c r="N633" s="552">
        <v>41791</v>
      </c>
      <c r="O633" s="205">
        <f t="shared" si="50"/>
        <v>0</v>
      </c>
      <c r="P633" s="555">
        <f>(1+$R$1)*Table33[[#This Row],[Hours]]</f>
        <v>0</v>
      </c>
      <c r="Q633" s="207">
        <f t="shared" si="49"/>
        <v>0</v>
      </c>
      <c r="R633" s="208">
        <f t="shared" si="51"/>
        <v>0</v>
      </c>
      <c r="S633" s="208">
        <f t="shared" si="52"/>
        <v>0</v>
      </c>
      <c r="T633" s="208" t="str">
        <f t="shared" si="53"/>
        <v/>
      </c>
      <c r="U633" s="195">
        <f>Table33[[#This Row],[gal/100ft]]*Table33[[#This Row],[QTY]]/100</f>
        <v>0</v>
      </c>
      <c r="V633" s="195"/>
      <c r="W633" s="195"/>
      <c r="X633" s="195"/>
      <c r="Y633" s="195"/>
    </row>
    <row r="634" spans="1:25" ht="12.75" x14ac:dyDescent="0.2">
      <c r="A634" s="195" t="s">
        <v>602</v>
      </c>
      <c r="B634" s="536" t="s">
        <v>874</v>
      </c>
      <c r="C634" s="195" t="s">
        <v>639</v>
      </c>
      <c r="D634" s="195" t="s">
        <v>640</v>
      </c>
      <c r="E634" s="288"/>
      <c r="F634" s="204">
        <v>16</v>
      </c>
      <c r="G634" s="204" t="s">
        <v>576</v>
      </c>
      <c r="H634" s="197">
        <v>1</v>
      </c>
      <c r="I634" s="198"/>
      <c r="J634" s="205">
        <v>1.98</v>
      </c>
      <c r="K634" s="287">
        <v>1.98</v>
      </c>
      <c r="L634" s="206">
        <v>4.9400000000000004</v>
      </c>
      <c r="M634" s="286">
        <v>4.9400000000000004</v>
      </c>
      <c r="N634" s="552">
        <v>41791</v>
      </c>
      <c r="O634" s="205">
        <f t="shared" si="50"/>
        <v>0</v>
      </c>
      <c r="P634" s="555">
        <f>(1+$R$1)*Table33[[#This Row],[Hours]]</f>
        <v>0</v>
      </c>
      <c r="Q634" s="207">
        <f t="shared" si="49"/>
        <v>0</v>
      </c>
      <c r="R634" s="208">
        <f t="shared" si="51"/>
        <v>0</v>
      </c>
      <c r="S634" s="208">
        <f t="shared" si="52"/>
        <v>0</v>
      </c>
      <c r="T634" s="208" t="str">
        <f t="shared" si="53"/>
        <v/>
      </c>
      <c r="U634" s="195">
        <f>Table33[[#This Row],[gal/100ft]]*Table33[[#This Row],[QTY]]/100</f>
        <v>0</v>
      </c>
      <c r="V634" s="195"/>
      <c r="W634" s="195"/>
      <c r="X634" s="195"/>
      <c r="Y634" s="195"/>
    </row>
    <row r="635" spans="1:25" ht="12.75" x14ac:dyDescent="0.2">
      <c r="A635" s="195" t="s">
        <v>602</v>
      </c>
      <c r="B635" s="536" t="s">
        <v>874</v>
      </c>
      <c r="C635" s="195" t="s">
        <v>639</v>
      </c>
      <c r="D635" s="195" t="s">
        <v>640</v>
      </c>
      <c r="E635" s="288"/>
      <c r="F635" s="204">
        <v>16</v>
      </c>
      <c r="G635" s="204" t="s">
        <v>576</v>
      </c>
      <c r="H635" s="197">
        <v>1.25</v>
      </c>
      <c r="I635" s="198"/>
      <c r="J635" s="205">
        <v>2.4500000000000002</v>
      </c>
      <c r="K635" s="287">
        <v>2.4500000000000002</v>
      </c>
      <c r="L635" s="206">
        <v>7.84</v>
      </c>
      <c r="M635" s="286">
        <v>7.84</v>
      </c>
      <c r="N635" s="552">
        <v>41791</v>
      </c>
      <c r="O635" s="205">
        <f t="shared" si="50"/>
        <v>0</v>
      </c>
      <c r="P635" s="555">
        <f>(1+$R$1)*Table33[[#This Row],[Hours]]</f>
        <v>0</v>
      </c>
      <c r="Q635" s="207">
        <f t="shared" si="49"/>
        <v>0</v>
      </c>
      <c r="R635" s="208">
        <f t="shared" si="51"/>
        <v>0</v>
      </c>
      <c r="S635" s="208">
        <f t="shared" si="52"/>
        <v>0</v>
      </c>
      <c r="T635" s="208" t="str">
        <f t="shared" si="53"/>
        <v/>
      </c>
      <c r="U635" s="195">
        <f>Table33[[#This Row],[gal/100ft]]*Table33[[#This Row],[QTY]]/100</f>
        <v>0</v>
      </c>
      <c r="V635" s="195"/>
      <c r="W635" s="195"/>
      <c r="X635" s="195"/>
      <c r="Y635" s="195"/>
    </row>
    <row r="636" spans="1:25" ht="12.75" x14ac:dyDescent="0.2">
      <c r="A636" s="195" t="s">
        <v>602</v>
      </c>
      <c r="B636" s="536" t="s">
        <v>874</v>
      </c>
      <c r="C636" s="195" t="s">
        <v>639</v>
      </c>
      <c r="D636" s="195" t="s">
        <v>640</v>
      </c>
      <c r="E636" s="288"/>
      <c r="F636" s="204">
        <v>16</v>
      </c>
      <c r="G636" s="204" t="s">
        <v>576</v>
      </c>
      <c r="H636" s="197">
        <v>1.5</v>
      </c>
      <c r="I636" s="198"/>
      <c r="J636" s="205">
        <v>2.88</v>
      </c>
      <c r="K636" s="287">
        <v>2.88</v>
      </c>
      <c r="L636" s="206">
        <v>7.84</v>
      </c>
      <c r="M636" s="286">
        <v>7.84</v>
      </c>
      <c r="N636" s="552">
        <v>41791</v>
      </c>
      <c r="O636" s="205">
        <f t="shared" si="50"/>
        <v>0</v>
      </c>
      <c r="P636" s="555">
        <f>(1+$R$1)*Table33[[#This Row],[Hours]]</f>
        <v>0</v>
      </c>
      <c r="Q636" s="207">
        <f t="shared" si="49"/>
        <v>0</v>
      </c>
      <c r="R636" s="208">
        <f t="shared" si="51"/>
        <v>0</v>
      </c>
      <c r="S636" s="208">
        <f t="shared" si="52"/>
        <v>0</v>
      </c>
      <c r="T636" s="208" t="str">
        <f t="shared" si="53"/>
        <v/>
      </c>
      <c r="U636" s="195">
        <f>Table33[[#This Row],[gal/100ft]]*Table33[[#This Row],[QTY]]/100</f>
        <v>0</v>
      </c>
      <c r="V636" s="195"/>
      <c r="W636" s="195"/>
      <c r="X636" s="195"/>
      <c r="Y636" s="195"/>
    </row>
    <row r="637" spans="1:25" ht="12.75" x14ac:dyDescent="0.2">
      <c r="A637" s="195" t="s">
        <v>602</v>
      </c>
      <c r="B637" s="536" t="s">
        <v>874</v>
      </c>
      <c r="C637" s="195" t="s">
        <v>639</v>
      </c>
      <c r="D637" s="195" t="s">
        <v>640</v>
      </c>
      <c r="E637" s="288"/>
      <c r="F637" s="204">
        <v>16</v>
      </c>
      <c r="G637" s="204" t="s">
        <v>576</v>
      </c>
      <c r="H637" s="197">
        <v>2</v>
      </c>
      <c r="I637" s="198"/>
      <c r="J637" s="205">
        <v>3.74</v>
      </c>
      <c r="K637" s="287">
        <v>3.74</v>
      </c>
      <c r="L637" s="206">
        <v>8.92</v>
      </c>
      <c r="M637" s="286">
        <v>8.92</v>
      </c>
      <c r="N637" s="552">
        <v>41791</v>
      </c>
      <c r="O637" s="205">
        <f t="shared" si="50"/>
        <v>0</v>
      </c>
      <c r="P637" s="555">
        <f>(1+$R$1)*Table33[[#This Row],[Hours]]</f>
        <v>0</v>
      </c>
      <c r="Q637" s="207">
        <f t="shared" si="49"/>
        <v>0</v>
      </c>
      <c r="R637" s="208">
        <f t="shared" si="51"/>
        <v>0</v>
      </c>
      <c r="S637" s="208">
        <f t="shared" si="52"/>
        <v>0</v>
      </c>
      <c r="T637" s="208" t="str">
        <f t="shared" si="53"/>
        <v/>
      </c>
      <c r="U637" s="195">
        <f>Table33[[#This Row],[gal/100ft]]*Table33[[#This Row],[QTY]]/100</f>
        <v>0</v>
      </c>
      <c r="V637" s="195"/>
      <c r="W637" s="195"/>
      <c r="X637" s="195"/>
      <c r="Y637" s="195"/>
    </row>
    <row r="638" spans="1:25" ht="12.75" x14ac:dyDescent="0.2">
      <c r="A638" s="195" t="s">
        <v>602</v>
      </c>
      <c r="B638" s="536" t="s">
        <v>874</v>
      </c>
      <c r="C638" s="195" t="s">
        <v>639</v>
      </c>
      <c r="D638" s="195" t="s">
        <v>640</v>
      </c>
      <c r="E638" s="288"/>
      <c r="F638" s="204">
        <v>18</v>
      </c>
      <c r="G638" s="204" t="s">
        <v>576</v>
      </c>
      <c r="H638" s="197" t="s">
        <v>596</v>
      </c>
      <c r="I638" s="198"/>
      <c r="J638" s="205">
        <v>1.06</v>
      </c>
      <c r="K638" s="287">
        <v>1.06</v>
      </c>
      <c r="L638" s="206">
        <v>3.68</v>
      </c>
      <c r="M638" s="286">
        <v>3.68</v>
      </c>
      <c r="N638" s="552">
        <v>41791</v>
      </c>
      <c r="O638" s="205">
        <f t="shared" si="50"/>
        <v>0</v>
      </c>
      <c r="P638" s="555">
        <f>(1+$R$1)*Table33[[#This Row],[Hours]]</f>
        <v>0</v>
      </c>
      <c r="Q638" s="207">
        <f t="shared" si="49"/>
        <v>0</v>
      </c>
      <c r="R638" s="208">
        <f t="shared" si="51"/>
        <v>0</v>
      </c>
      <c r="S638" s="208">
        <f t="shared" si="52"/>
        <v>0</v>
      </c>
      <c r="T638" s="208" t="str">
        <f t="shared" si="53"/>
        <v/>
      </c>
      <c r="U638" s="195">
        <f>Table33[[#This Row],[gal/100ft]]*Table33[[#This Row],[QTY]]/100</f>
        <v>0</v>
      </c>
      <c r="V638" s="195"/>
      <c r="W638" s="195"/>
      <c r="X638" s="195"/>
      <c r="Y638" s="195"/>
    </row>
    <row r="639" spans="1:25" ht="12.75" x14ac:dyDescent="0.2">
      <c r="A639" s="195" t="s">
        <v>602</v>
      </c>
      <c r="B639" s="536" t="s">
        <v>874</v>
      </c>
      <c r="C639" s="195" t="s">
        <v>639</v>
      </c>
      <c r="D639" s="195" t="s">
        <v>640</v>
      </c>
      <c r="E639" s="288"/>
      <c r="F639" s="204">
        <v>18</v>
      </c>
      <c r="G639" s="204" t="s">
        <v>576</v>
      </c>
      <c r="H639" s="197" t="s">
        <v>641</v>
      </c>
      <c r="I639" s="198"/>
      <c r="J639" s="205">
        <v>1.52</v>
      </c>
      <c r="K639" s="287">
        <v>1.52</v>
      </c>
      <c r="L639" s="206">
        <v>4.24</v>
      </c>
      <c r="M639" s="286">
        <v>4.24</v>
      </c>
      <c r="N639" s="552">
        <v>41791</v>
      </c>
      <c r="O639" s="205">
        <f t="shared" si="50"/>
        <v>0</v>
      </c>
      <c r="P639" s="555">
        <f>(1+$R$1)*Table33[[#This Row],[Hours]]</f>
        <v>0</v>
      </c>
      <c r="Q639" s="207">
        <f t="shared" si="49"/>
        <v>0</v>
      </c>
      <c r="R639" s="208">
        <f t="shared" si="51"/>
        <v>0</v>
      </c>
      <c r="S639" s="208">
        <f t="shared" si="52"/>
        <v>0</v>
      </c>
      <c r="T639" s="208" t="str">
        <f t="shared" si="53"/>
        <v/>
      </c>
      <c r="U639" s="195">
        <f>Table33[[#This Row],[gal/100ft]]*Table33[[#This Row],[QTY]]/100</f>
        <v>0</v>
      </c>
      <c r="V639" s="195"/>
      <c r="W639" s="195"/>
      <c r="X639" s="195"/>
      <c r="Y639" s="195"/>
    </row>
    <row r="640" spans="1:25" ht="12.75" x14ac:dyDescent="0.2">
      <c r="A640" s="195" t="s">
        <v>602</v>
      </c>
      <c r="B640" s="536" t="s">
        <v>874</v>
      </c>
      <c r="C640" s="195" t="s">
        <v>639</v>
      </c>
      <c r="D640" s="195" t="s">
        <v>640</v>
      </c>
      <c r="E640" s="288"/>
      <c r="F640" s="204">
        <v>18</v>
      </c>
      <c r="G640" s="204" t="s">
        <v>576</v>
      </c>
      <c r="H640" s="197">
        <v>1</v>
      </c>
      <c r="I640" s="198"/>
      <c r="J640" s="205">
        <v>1.98</v>
      </c>
      <c r="K640" s="287">
        <v>1.98</v>
      </c>
      <c r="L640" s="206">
        <v>4.9400000000000004</v>
      </c>
      <c r="M640" s="286">
        <v>4.9400000000000004</v>
      </c>
      <c r="N640" s="552">
        <v>41791</v>
      </c>
      <c r="O640" s="205">
        <f t="shared" si="50"/>
        <v>0</v>
      </c>
      <c r="P640" s="555">
        <f>(1+$R$1)*Table33[[#This Row],[Hours]]</f>
        <v>0</v>
      </c>
      <c r="Q640" s="207">
        <f t="shared" si="49"/>
        <v>0</v>
      </c>
      <c r="R640" s="208">
        <f t="shared" si="51"/>
        <v>0</v>
      </c>
      <c r="S640" s="208">
        <f t="shared" si="52"/>
        <v>0</v>
      </c>
      <c r="T640" s="208" t="str">
        <f t="shared" si="53"/>
        <v/>
      </c>
      <c r="U640" s="195">
        <f>Table33[[#This Row],[gal/100ft]]*Table33[[#This Row],[QTY]]/100</f>
        <v>0</v>
      </c>
      <c r="V640" s="195"/>
      <c r="W640" s="195"/>
      <c r="X640" s="195"/>
      <c r="Y640" s="195"/>
    </row>
    <row r="641" spans="1:25" ht="12.75" x14ac:dyDescent="0.2">
      <c r="A641" s="195" t="s">
        <v>602</v>
      </c>
      <c r="B641" s="536" t="s">
        <v>874</v>
      </c>
      <c r="C641" s="195" t="s">
        <v>639</v>
      </c>
      <c r="D641" s="195" t="s">
        <v>640</v>
      </c>
      <c r="E641" s="288"/>
      <c r="F641" s="204">
        <v>18</v>
      </c>
      <c r="G641" s="204" t="s">
        <v>576</v>
      </c>
      <c r="H641" s="197">
        <v>1.25</v>
      </c>
      <c r="I641" s="198"/>
      <c r="J641" s="205">
        <v>2.4500000000000002</v>
      </c>
      <c r="K641" s="287">
        <v>2.4500000000000002</v>
      </c>
      <c r="L641" s="206">
        <v>7.84</v>
      </c>
      <c r="M641" s="286">
        <v>7.84</v>
      </c>
      <c r="N641" s="552">
        <v>41791</v>
      </c>
      <c r="O641" s="205">
        <f t="shared" si="50"/>
        <v>0</v>
      </c>
      <c r="P641" s="555">
        <f>(1+$R$1)*Table33[[#This Row],[Hours]]</f>
        <v>0</v>
      </c>
      <c r="Q641" s="207">
        <f t="shared" si="49"/>
        <v>0</v>
      </c>
      <c r="R641" s="208">
        <f t="shared" si="51"/>
        <v>0</v>
      </c>
      <c r="S641" s="208">
        <f t="shared" si="52"/>
        <v>0</v>
      </c>
      <c r="T641" s="208" t="str">
        <f t="shared" si="53"/>
        <v/>
      </c>
      <c r="U641" s="195">
        <f>Table33[[#This Row],[gal/100ft]]*Table33[[#This Row],[QTY]]/100</f>
        <v>0</v>
      </c>
      <c r="V641" s="195"/>
      <c r="W641" s="195"/>
      <c r="X641" s="195"/>
      <c r="Y641" s="195"/>
    </row>
    <row r="642" spans="1:25" ht="12.75" x14ac:dyDescent="0.2">
      <c r="A642" s="195" t="s">
        <v>602</v>
      </c>
      <c r="B642" s="536" t="s">
        <v>874</v>
      </c>
      <c r="C642" s="195" t="s">
        <v>639</v>
      </c>
      <c r="D642" s="195" t="s">
        <v>640</v>
      </c>
      <c r="E642" s="288"/>
      <c r="F642" s="204">
        <v>18</v>
      </c>
      <c r="G642" s="204" t="s">
        <v>576</v>
      </c>
      <c r="H642" s="197">
        <v>1.5</v>
      </c>
      <c r="I642" s="198"/>
      <c r="J642" s="205">
        <v>2.88</v>
      </c>
      <c r="K642" s="287">
        <v>2.88</v>
      </c>
      <c r="L642" s="206">
        <v>7.84</v>
      </c>
      <c r="M642" s="286">
        <v>7.84</v>
      </c>
      <c r="N642" s="552">
        <v>41791</v>
      </c>
      <c r="O642" s="205">
        <f t="shared" si="50"/>
        <v>0</v>
      </c>
      <c r="P642" s="555">
        <f>(1+$R$1)*Table33[[#This Row],[Hours]]</f>
        <v>0</v>
      </c>
      <c r="Q642" s="207">
        <f t="shared" si="49"/>
        <v>0</v>
      </c>
      <c r="R642" s="208">
        <f t="shared" si="51"/>
        <v>0</v>
      </c>
      <c r="S642" s="208">
        <f t="shared" si="52"/>
        <v>0</v>
      </c>
      <c r="T642" s="208" t="str">
        <f t="shared" si="53"/>
        <v/>
      </c>
      <c r="U642" s="195">
        <f>Table33[[#This Row],[gal/100ft]]*Table33[[#This Row],[QTY]]/100</f>
        <v>0</v>
      </c>
      <c r="V642" s="195"/>
      <c r="W642" s="195"/>
      <c r="X642" s="195"/>
      <c r="Y642" s="195"/>
    </row>
    <row r="643" spans="1:25" ht="12.75" x14ac:dyDescent="0.2">
      <c r="A643" s="195" t="s">
        <v>602</v>
      </c>
      <c r="B643" s="536" t="s">
        <v>874</v>
      </c>
      <c r="C643" s="195" t="s">
        <v>639</v>
      </c>
      <c r="D643" s="195" t="s">
        <v>640</v>
      </c>
      <c r="E643" s="288"/>
      <c r="F643" s="204">
        <v>18</v>
      </c>
      <c r="G643" s="204" t="s">
        <v>576</v>
      </c>
      <c r="H643" s="197">
        <v>2</v>
      </c>
      <c r="I643" s="198"/>
      <c r="J643" s="205">
        <v>3.74</v>
      </c>
      <c r="K643" s="287">
        <v>3.74</v>
      </c>
      <c r="L643" s="206">
        <v>8.92</v>
      </c>
      <c r="M643" s="286">
        <v>8.92</v>
      </c>
      <c r="N643" s="552">
        <v>41791</v>
      </c>
      <c r="O643" s="205">
        <f t="shared" si="50"/>
        <v>0</v>
      </c>
      <c r="P643" s="555">
        <f>(1+$R$1)*Table33[[#This Row],[Hours]]</f>
        <v>0</v>
      </c>
      <c r="Q643" s="207">
        <f t="shared" si="49"/>
        <v>0</v>
      </c>
      <c r="R643" s="208">
        <f t="shared" si="51"/>
        <v>0</v>
      </c>
      <c r="S643" s="208">
        <f t="shared" si="52"/>
        <v>0</v>
      </c>
      <c r="T643" s="208" t="str">
        <f t="shared" si="53"/>
        <v/>
      </c>
      <c r="U643" s="195">
        <f>Table33[[#This Row],[gal/100ft]]*Table33[[#This Row],[QTY]]/100</f>
        <v>0</v>
      </c>
      <c r="V643" s="195"/>
      <c r="W643" s="195"/>
      <c r="X643" s="195"/>
      <c r="Y643" s="195"/>
    </row>
    <row r="644" spans="1:25" ht="12.75" x14ac:dyDescent="0.2">
      <c r="A644" s="195" t="s">
        <v>602</v>
      </c>
      <c r="B644" s="536" t="s">
        <v>874</v>
      </c>
      <c r="C644" s="195" t="s">
        <v>639</v>
      </c>
      <c r="D644" s="195" t="s">
        <v>640</v>
      </c>
      <c r="E644" s="288"/>
      <c r="F644" s="204">
        <v>20</v>
      </c>
      <c r="G644" s="204" t="s">
        <v>576</v>
      </c>
      <c r="H644" s="197" t="s">
        <v>596</v>
      </c>
      <c r="I644" s="198"/>
      <c r="J644" s="205">
        <v>1.06</v>
      </c>
      <c r="K644" s="287">
        <v>1.06</v>
      </c>
      <c r="L644" s="206">
        <v>3.68</v>
      </c>
      <c r="M644" s="286">
        <v>3.68</v>
      </c>
      <c r="N644" s="552">
        <v>41791</v>
      </c>
      <c r="O644" s="205">
        <f t="shared" si="50"/>
        <v>0</v>
      </c>
      <c r="P644" s="555">
        <f>(1+$R$1)*Table33[[#This Row],[Hours]]</f>
        <v>0</v>
      </c>
      <c r="Q644" s="207">
        <f t="shared" si="49"/>
        <v>0</v>
      </c>
      <c r="R644" s="208">
        <f t="shared" si="51"/>
        <v>0</v>
      </c>
      <c r="S644" s="208">
        <f t="shared" si="52"/>
        <v>0</v>
      </c>
      <c r="T644" s="208" t="str">
        <f t="shared" si="53"/>
        <v/>
      </c>
      <c r="U644" s="195">
        <f>Table33[[#This Row],[gal/100ft]]*Table33[[#This Row],[QTY]]/100</f>
        <v>0</v>
      </c>
      <c r="V644" s="195"/>
      <c r="W644" s="195"/>
      <c r="X644" s="195"/>
      <c r="Y644" s="195"/>
    </row>
    <row r="645" spans="1:25" ht="12.75" x14ac:dyDescent="0.2">
      <c r="A645" s="195" t="s">
        <v>602</v>
      </c>
      <c r="B645" s="536" t="s">
        <v>874</v>
      </c>
      <c r="C645" s="195" t="s">
        <v>639</v>
      </c>
      <c r="D645" s="195" t="s">
        <v>640</v>
      </c>
      <c r="E645" s="288"/>
      <c r="F645" s="204">
        <v>20</v>
      </c>
      <c r="G645" s="204" t="s">
        <v>576</v>
      </c>
      <c r="H645" s="197" t="s">
        <v>641</v>
      </c>
      <c r="I645" s="198"/>
      <c r="J645" s="205">
        <v>1.52</v>
      </c>
      <c r="K645" s="287">
        <v>1.52</v>
      </c>
      <c r="L645" s="206">
        <v>4.24</v>
      </c>
      <c r="M645" s="286">
        <v>4.24</v>
      </c>
      <c r="N645" s="552">
        <v>41791</v>
      </c>
      <c r="O645" s="205">
        <f t="shared" si="50"/>
        <v>0</v>
      </c>
      <c r="P645" s="555">
        <f>(1+$R$1)*Table33[[#This Row],[Hours]]</f>
        <v>0</v>
      </c>
      <c r="Q645" s="207">
        <f t="shared" si="49"/>
        <v>0</v>
      </c>
      <c r="R645" s="208">
        <f t="shared" si="51"/>
        <v>0</v>
      </c>
      <c r="S645" s="208">
        <f t="shared" si="52"/>
        <v>0</v>
      </c>
      <c r="T645" s="208" t="str">
        <f t="shared" si="53"/>
        <v/>
      </c>
      <c r="U645" s="195">
        <f>Table33[[#This Row],[gal/100ft]]*Table33[[#This Row],[QTY]]/100</f>
        <v>0</v>
      </c>
      <c r="V645" s="195"/>
      <c r="W645" s="195"/>
      <c r="X645" s="195"/>
      <c r="Y645" s="195"/>
    </row>
    <row r="646" spans="1:25" ht="12.75" x14ac:dyDescent="0.2">
      <c r="A646" s="195" t="s">
        <v>602</v>
      </c>
      <c r="B646" s="536" t="s">
        <v>874</v>
      </c>
      <c r="C646" s="195" t="s">
        <v>639</v>
      </c>
      <c r="D646" s="195" t="s">
        <v>640</v>
      </c>
      <c r="E646" s="288"/>
      <c r="F646" s="204">
        <v>20</v>
      </c>
      <c r="G646" s="204" t="s">
        <v>576</v>
      </c>
      <c r="H646" s="197">
        <v>1</v>
      </c>
      <c r="I646" s="198"/>
      <c r="J646" s="205">
        <v>1.98</v>
      </c>
      <c r="K646" s="287">
        <v>1.98</v>
      </c>
      <c r="L646" s="206">
        <v>4.9400000000000004</v>
      </c>
      <c r="M646" s="286">
        <v>4.9400000000000004</v>
      </c>
      <c r="N646" s="552">
        <v>41791</v>
      </c>
      <c r="O646" s="205">
        <f t="shared" si="50"/>
        <v>0</v>
      </c>
      <c r="P646" s="555">
        <f>(1+$R$1)*Table33[[#This Row],[Hours]]</f>
        <v>0</v>
      </c>
      <c r="Q646" s="207">
        <f t="shared" si="49"/>
        <v>0</v>
      </c>
      <c r="R646" s="208">
        <f t="shared" si="51"/>
        <v>0</v>
      </c>
      <c r="S646" s="208">
        <f t="shared" si="52"/>
        <v>0</v>
      </c>
      <c r="T646" s="208" t="str">
        <f t="shared" si="53"/>
        <v/>
      </c>
      <c r="U646" s="195">
        <f>Table33[[#This Row],[gal/100ft]]*Table33[[#This Row],[QTY]]/100</f>
        <v>0</v>
      </c>
      <c r="V646" s="195"/>
      <c r="W646" s="195"/>
      <c r="X646" s="195"/>
      <c r="Y646" s="195"/>
    </row>
    <row r="647" spans="1:25" ht="12.75" x14ac:dyDescent="0.2">
      <c r="A647" s="195" t="s">
        <v>602</v>
      </c>
      <c r="B647" s="536" t="s">
        <v>874</v>
      </c>
      <c r="C647" s="195" t="s">
        <v>639</v>
      </c>
      <c r="D647" s="195" t="s">
        <v>640</v>
      </c>
      <c r="E647" s="288"/>
      <c r="F647" s="204">
        <v>20</v>
      </c>
      <c r="G647" s="204" t="s">
        <v>576</v>
      </c>
      <c r="H647" s="197">
        <v>1.25</v>
      </c>
      <c r="I647" s="198"/>
      <c r="J647" s="205">
        <v>2.4500000000000002</v>
      </c>
      <c r="K647" s="287">
        <v>2.4500000000000002</v>
      </c>
      <c r="L647" s="206">
        <v>7.84</v>
      </c>
      <c r="M647" s="286">
        <v>7.84</v>
      </c>
      <c r="N647" s="552">
        <v>41791</v>
      </c>
      <c r="O647" s="205">
        <f t="shared" si="50"/>
        <v>0</v>
      </c>
      <c r="P647" s="555">
        <f>(1+$R$1)*Table33[[#This Row],[Hours]]</f>
        <v>0</v>
      </c>
      <c r="Q647" s="207">
        <f t="shared" ref="Q647:Q710" si="54">P647*$O$1</f>
        <v>0</v>
      </c>
      <c r="R647" s="208">
        <f t="shared" si="51"/>
        <v>0</v>
      </c>
      <c r="S647" s="208">
        <f t="shared" si="52"/>
        <v>0</v>
      </c>
      <c r="T647" s="208" t="str">
        <f t="shared" si="53"/>
        <v/>
      </c>
      <c r="U647" s="195">
        <f>Table33[[#This Row],[gal/100ft]]*Table33[[#This Row],[QTY]]/100</f>
        <v>0</v>
      </c>
      <c r="V647" s="195"/>
      <c r="W647" s="195"/>
      <c r="X647" s="195"/>
      <c r="Y647" s="195"/>
    </row>
    <row r="648" spans="1:25" ht="12.75" x14ac:dyDescent="0.2">
      <c r="A648" s="195" t="s">
        <v>602</v>
      </c>
      <c r="B648" s="536" t="s">
        <v>874</v>
      </c>
      <c r="C648" s="195" t="s">
        <v>639</v>
      </c>
      <c r="D648" s="195" t="s">
        <v>640</v>
      </c>
      <c r="E648" s="288"/>
      <c r="F648" s="204">
        <v>20</v>
      </c>
      <c r="G648" s="204" t="s">
        <v>576</v>
      </c>
      <c r="H648" s="197">
        <v>1.5</v>
      </c>
      <c r="I648" s="198"/>
      <c r="J648" s="205">
        <v>2.88</v>
      </c>
      <c r="K648" s="287">
        <v>2.88</v>
      </c>
      <c r="L648" s="206">
        <v>7.84</v>
      </c>
      <c r="M648" s="286">
        <v>7.84</v>
      </c>
      <c r="N648" s="552">
        <v>41791</v>
      </c>
      <c r="O648" s="205">
        <f t="shared" si="50"/>
        <v>0</v>
      </c>
      <c r="P648" s="555">
        <f>(1+$R$1)*Table33[[#This Row],[Hours]]</f>
        <v>0</v>
      </c>
      <c r="Q648" s="207">
        <f t="shared" si="54"/>
        <v>0</v>
      </c>
      <c r="R648" s="208">
        <f t="shared" si="51"/>
        <v>0</v>
      </c>
      <c r="S648" s="208">
        <f t="shared" si="52"/>
        <v>0</v>
      </c>
      <c r="T648" s="208" t="str">
        <f t="shared" si="53"/>
        <v/>
      </c>
      <c r="U648" s="195">
        <f>Table33[[#This Row],[gal/100ft]]*Table33[[#This Row],[QTY]]/100</f>
        <v>0</v>
      </c>
      <c r="V648" s="195"/>
      <c r="W648" s="195"/>
      <c r="X648" s="195"/>
      <c r="Y648" s="195"/>
    </row>
    <row r="649" spans="1:25" ht="12.75" x14ac:dyDescent="0.2">
      <c r="A649" s="195" t="s">
        <v>602</v>
      </c>
      <c r="B649" s="536" t="s">
        <v>874</v>
      </c>
      <c r="C649" s="195" t="s">
        <v>639</v>
      </c>
      <c r="D649" s="195" t="s">
        <v>640</v>
      </c>
      <c r="E649" s="288"/>
      <c r="F649" s="204">
        <v>20</v>
      </c>
      <c r="G649" s="204" t="s">
        <v>576</v>
      </c>
      <c r="H649" s="197">
        <v>2</v>
      </c>
      <c r="I649" s="198"/>
      <c r="J649" s="205">
        <v>3.74</v>
      </c>
      <c r="K649" s="287">
        <v>3.74</v>
      </c>
      <c r="L649" s="206">
        <v>8.92</v>
      </c>
      <c r="M649" s="286">
        <v>8.92</v>
      </c>
      <c r="N649" s="552">
        <v>41791</v>
      </c>
      <c r="O649" s="205">
        <f t="shared" si="50"/>
        <v>0</v>
      </c>
      <c r="P649" s="555">
        <f>(1+$R$1)*Table33[[#This Row],[Hours]]</f>
        <v>0</v>
      </c>
      <c r="Q649" s="207">
        <f t="shared" si="54"/>
        <v>0</v>
      </c>
      <c r="R649" s="208">
        <f t="shared" si="51"/>
        <v>0</v>
      </c>
      <c r="S649" s="208">
        <f t="shared" si="52"/>
        <v>0</v>
      </c>
      <c r="T649" s="208" t="str">
        <f t="shared" si="53"/>
        <v/>
      </c>
      <c r="U649" s="195">
        <f>Table33[[#This Row],[gal/100ft]]*Table33[[#This Row],[QTY]]/100</f>
        <v>0</v>
      </c>
      <c r="V649" s="195"/>
      <c r="W649" s="195"/>
      <c r="X649" s="195"/>
      <c r="Y649" s="195"/>
    </row>
    <row r="650" spans="1:25" ht="12.75" x14ac:dyDescent="0.2">
      <c r="A650" s="195" t="s">
        <v>602</v>
      </c>
      <c r="B650" s="536" t="s">
        <v>874</v>
      </c>
      <c r="C650" s="195" t="s">
        <v>639</v>
      </c>
      <c r="D650" s="195" t="s">
        <v>640</v>
      </c>
      <c r="E650" s="288"/>
      <c r="F650" s="204">
        <v>24</v>
      </c>
      <c r="G650" s="204" t="s">
        <v>576</v>
      </c>
      <c r="H650" s="197" t="s">
        <v>596</v>
      </c>
      <c r="I650" s="198"/>
      <c r="J650" s="205">
        <v>1.06</v>
      </c>
      <c r="K650" s="287">
        <v>1.06</v>
      </c>
      <c r="L650" s="206">
        <v>3.68</v>
      </c>
      <c r="M650" s="286">
        <v>3.68</v>
      </c>
      <c r="N650" s="552">
        <v>41791</v>
      </c>
      <c r="O650" s="205">
        <f t="shared" si="50"/>
        <v>0</v>
      </c>
      <c r="P650" s="555">
        <f>(1+$R$1)*Table33[[#This Row],[Hours]]</f>
        <v>0</v>
      </c>
      <c r="Q650" s="207">
        <f t="shared" si="54"/>
        <v>0</v>
      </c>
      <c r="R650" s="208">
        <f t="shared" si="51"/>
        <v>0</v>
      </c>
      <c r="S650" s="208">
        <f t="shared" si="52"/>
        <v>0</v>
      </c>
      <c r="T650" s="208" t="str">
        <f t="shared" si="53"/>
        <v/>
      </c>
      <c r="U650" s="195">
        <f>Table33[[#This Row],[gal/100ft]]*Table33[[#This Row],[QTY]]/100</f>
        <v>0</v>
      </c>
      <c r="V650" s="195"/>
      <c r="W650" s="195"/>
      <c r="X650" s="195"/>
      <c r="Y650" s="195"/>
    </row>
    <row r="651" spans="1:25" ht="12.75" x14ac:dyDescent="0.2">
      <c r="A651" s="195" t="s">
        <v>602</v>
      </c>
      <c r="B651" s="536" t="s">
        <v>874</v>
      </c>
      <c r="C651" s="195" t="s">
        <v>639</v>
      </c>
      <c r="D651" s="195" t="s">
        <v>640</v>
      </c>
      <c r="E651" s="288"/>
      <c r="F651" s="204">
        <v>24</v>
      </c>
      <c r="G651" s="204" t="s">
        <v>576</v>
      </c>
      <c r="H651" s="197" t="s">
        <v>641</v>
      </c>
      <c r="I651" s="198"/>
      <c r="J651" s="205">
        <v>1.52</v>
      </c>
      <c r="K651" s="287">
        <v>1.52</v>
      </c>
      <c r="L651" s="206">
        <v>4.24</v>
      </c>
      <c r="M651" s="286">
        <v>4.24</v>
      </c>
      <c r="N651" s="552">
        <v>41791</v>
      </c>
      <c r="O651" s="205">
        <f t="shared" si="50"/>
        <v>0</v>
      </c>
      <c r="P651" s="555">
        <f>(1+$R$1)*Table33[[#This Row],[Hours]]</f>
        <v>0</v>
      </c>
      <c r="Q651" s="207">
        <f t="shared" si="54"/>
        <v>0</v>
      </c>
      <c r="R651" s="208">
        <f t="shared" si="51"/>
        <v>0</v>
      </c>
      <c r="S651" s="208">
        <f t="shared" si="52"/>
        <v>0</v>
      </c>
      <c r="T651" s="208" t="str">
        <f t="shared" si="53"/>
        <v/>
      </c>
      <c r="U651" s="195">
        <f>Table33[[#This Row],[gal/100ft]]*Table33[[#This Row],[QTY]]/100</f>
        <v>0</v>
      </c>
      <c r="V651" s="195"/>
      <c r="W651" s="195"/>
      <c r="X651" s="195"/>
      <c r="Y651" s="195"/>
    </row>
    <row r="652" spans="1:25" ht="12.75" x14ac:dyDescent="0.2">
      <c r="A652" s="195" t="s">
        <v>602</v>
      </c>
      <c r="B652" s="536" t="s">
        <v>874</v>
      </c>
      <c r="C652" s="195" t="s">
        <v>639</v>
      </c>
      <c r="D652" s="195" t="s">
        <v>640</v>
      </c>
      <c r="E652" s="288"/>
      <c r="F652" s="204">
        <v>24</v>
      </c>
      <c r="G652" s="204" t="s">
        <v>576</v>
      </c>
      <c r="H652" s="197">
        <v>1</v>
      </c>
      <c r="I652" s="198"/>
      <c r="J652" s="205">
        <v>1.98</v>
      </c>
      <c r="K652" s="287">
        <v>1.98</v>
      </c>
      <c r="L652" s="206">
        <v>4.9400000000000004</v>
      </c>
      <c r="M652" s="286">
        <v>4.9400000000000004</v>
      </c>
      <c r="N652" s="552">
        <v>41791</v>
      </c>
      <c r="O652" s="205">
        <f t="shared" si="50"/>
        <v>0</v>
      </c>
      <c r="P652" s="555">
        <f>(1+$R$1)*Table33[[#This Row],[Hours]]</f>
        <v>0</v>
      </c>
      <c r="Q652" s="207">
        <f t="shared" si="54"/>
        <v>0</v>
      </c>
      <c r="R652" s="208">
        <f t="shared" si="51"/>
        <v>0</v>
      </c>
      <c r="S652" s="208">
        <f t="shared" si="52"/>
        <v>0</v>
      </c>
      <c r="T652" s="208" t="str">
        <f t="shared" si="53"/>
        <v/>
      </c>
      <c r="U652" s="195">
        <f>Table33[[#This Row],[gal/100ft]]*Table33[[#This Row],[QTY]]/100</f>
        <v>0</v>
      </c>
      <c r="V652" s="195"/>
      <c r="W652" s="195"/>
      <c r="X652" s="195"/>
      <c r="Y652" s="195"/>
    </row>
    <row r="653" spans="1:25" ht="12.75" x14ac:dyDescent="0.2">
      <c r="A653" s="195" t="s">
        <v>602</v>
      </c>
      <c r="B653" s="536" t="s">
        <v>874</v>
      </c>
      <c r="C653" s="195" t="s">
        <v>639</v>
      </c>
      <c r="D653" s="195" t="s">
        <v>640</v>
      </c>
      <c r="E653" s="288"/>
      <c r="F653" s="204">
        <v>24</v>
      </c>
      <c r="G653" s="204" t="s">
        <v>576</v>
      </c>
      <c r="H653" s="197">
        <v>1.25</v>
      </c>
      <c r="I653" s="198"/>
      <c r="J653" s="205">
        <v>2.4500000000000002</v>
      </c>
      <c r="K653" s="287">
        <v>2.4500000000000002</v>
      </c>
      <c r="L653" s="206">
        <v>7.84</v>
      </c>
      <c r="M653" s="286">
        <v>7.84</v>
      </c>
      <c r="N653" s="552">
        <v>41791</v>
      </c>
      <c r="O653" s="205">
        <f t="shared" si="50"/>
        <v>0</v>
      </c>
      <c r="P653" s="555">
        <f>(1+$R$1)*Table33[[#This Row],[Hours]]</f>
        <v>0</v>
      </c>
      <c r="Q653" s="207">
        <f t="shared" si="54"/>
        <v>0</v>
      </c>
      <c r="R653" s="208">
        <f t="shared" si="51"/>
        <v>0</v>
      </c>
      <c r="S653" s="208">
        <f t="shared" si="52"/>
        <v>0</v>
      </c>
      <c r="T653" s="208" t="str">
        <f t="shared" si="53"/>
        <v/>
      </c>
      <c r="U653" s="195">
        <f>Table33[[#This Row],[gal/100ft]]*Table33[[#This Row],[QTY]]/100</f>
        <v>0</v>
      </c>
      <c r="V653" s="195"/>
      <c r="W653" s="195"/>
      <c r="X653" s="195"/>
      <c r="Y653" s="195"/>
    </row>
    <row r="654" spans="1:25" ht="12.75" x14ac:dyDescent="0.2">
      <c r="A654" s="195" t="s">
        <v>602</v>
      </c>
      <c r="B654" s="536" t="s">
        <v>874</v>
      </c>
      <c r="C654" s="195" t="s">
        <v>639</v>
      </c>
      <c r="D654" s="195" t="s">
        <v>640</v>
      </c>
      <c r="E654" s="288"/>
      <c r="F654" s="204">
        <v>24</v>
      </c>
      <c r="G654" s="204" t="s">
        <v>576</v>
      </c>
      <c r="H654" s="197">
        <v>1.5</v>
      </c>
      <c r="I654" s="198"/>
      <c r="J654" s="205">
        <v>2.88</v>
      </c>
      <c r="K654" s="287">
        <v>2.88</v>
      </c>
      <c r="L654" s="206">
        <v>7.84</v>
      </c>
      <c r="M654" s="286">
        <v>7.84</v>
      </c>
      <c r="N654" s="552">
        <v>41791</v>
      </c>
      <c r="O654" s="205">
        <f t="shared" si="50"/>
        <v>0</v>
      </c>
      <c r="P654" s="555">
        <f>(1+$R$1)*Table33[[#This Row],[Hours]]</f>
        <v>0</v>
      </c>
      <c r="Q654" s="207">
        <f t="shared" si="54"/>
        <v>0</v>
      </c>
      <c r="R654" s="208">
        <f t="shared" si="51"/>
        <v>0</v>
      </c>
      <c r="S654" s="208">
        <f t="shared" si="52"/>
        <v>0</v>
      </c>
      <c r="T654" s="208" t="str">
        <f t="shared" si="53"/>
        <v/>
      </c>
      <c r="U654" s="195">
        <f>Table33[[#This Row],[gal/100ft]]*Table33[[#This Row],[QTY]]/100</f>
        <v>0</v>
      </c>
      <c r="V654" s="195"/>
      <c r="W654" s="195"/>
      <c r="X654" s="195"/>
      <c r="Y654" s="195"/>
    </row>
    <row r="655" spans="1:25" ht="12.75" x14ac:dyDescent="0.2">
      <c r="A655" s="195" t="s">
        <v>602</v>
      </c>
      <c r="B655" s="536" t="s">
        <v>874</v>
      </c>
      <c r="C655" s="195" t="s">
        <v>639</v>
      </c>
      <c r="D655" s="195" t="s">
        <v>640</v>
      </c>
      <c r="E655" s="288"/>
      <c r="F655" s="204">
        <v>24</v>
      </c>
      <c r="G655" s="204" t="s">
        <v>576</v>
      </c>
      <c r="H655" s="197">
        <v>2</v>
      </c>
      <c r="I655" s="198"/>
      <c r="J655" s="205">
        <v>3.74</v>
      </c>
      <c r="K655" s="287">
        <v>3.74</v>
      </c>
      <c r="L655" s="206">
        <v>8.92</v>
      </c>
      <c r="M655" s="286">
        <v>8.92</v>
      </c>
      <c r="N655" s="552">
        <v>41791</v>
      </c>
      <c r="O655" s="205">
        <f t="shared" si="50"/>
        <v>0</v>
      </c>
      <c r="P655" s="555">
        <f>(1+$R$1)*Table33[[#This Row],[Hours]]</f>
        <v>0</v>
      </c>
      <c r="Q655" s="207">
        <f t="shared" si="54"/>
        <v>0</v>
      </c>
      <c r="R655" s="208">
        <f t="shared" si="51"/>
        <v>0</v>
      </c>
      <c r="S655" s="208">
        <f t="shared" si="52"/>
        <v>0</v>
      </c>
      <c r="T655" s="208" t="str">
        <f t="shared" si="53"/>
        <v/>
      </c>
      <c r="U655" s="195">
        <f>Table33[[#This Row],[gal/100ft]]*Table33[[#This Row],[QTY]]/100</f>
        <v>0</v>
      </c>
      <c r="V655" s="195"/>
      <c r="W655" s="195"/>
      <c r="X655" s="195"/>
      <c r="Y655" s="195"/>
    </row>
    <row r="656" spans="1:25" ht="12.75" x14ac:dyDescent="0.2">
      <c r="A656" s="195" t="s">
        <v>602</v>
      </c>
      <c r="B656" s="536" t="s">
        <v>874</v>
      </c>
      <c r="C656" s="195" t="s">
        <v>639</v>
      </c>
      <c r="D656" s="195" t="s">
        <v>640</v>
      </c>
      <c r="E656" s="288"/>
      <c r="F656" s="204">
        <v>26</v>
      </c>
      <c r="G656" s="204" t="s">
        <v>576</v>
      </c>
      <c r="H656" s="197" t="s">
        <v>596</v>
      </c>
      <c r="I656" s="198"/>
      <c r="J656" s="205">
        <v>1.06</v>
      </c>
      <c r="K656" s="287">
        <v>1.06</v>
      </c>
      <c r="L656" s="206">
        <v>3.68</v>
      </c>
      <c r="M656" s="286">
        <v>3.68</v>
      </c>
      <c r="N656" s="552">
        <v>41791</v>
      </c>
      <c r="O656" s="205">
        <f t="shared" si="50"/>
        <v>0</v>
      </c>
      <c r="P656" s="555">
        <f>(1+$R$1)*Table33[[#This Row],[Hours]]</f>
        <v>0</v>
      </c>
      <c r="Q656" s="207">
        <f t="shared" si="54"/>
        <v>0</v>
      </c>
      <c r="R656" s="208">
        <f t="shared" si="51"/>
        <v>0</v>
      </c>
      <c r="S656" s="208">
        <f t="shared" si="52"/>
        <v>0</v>
      </c>
      <c r="T656" s="208" t="str">
        <f t="shared" si="53"/>
        <v/>
      </c>
      <c r="U656" s="195">
        <f>Table33[[#This Row],[gal/100ft]]*Table33[[#This Row],[QTY]]/100</f>
        <v>0</v>
      </c>
      <c r="V656" s="195"/>
      <c r="W656" s="195"/>
      <c r="X656" s="195"/>
      <c r="Y656" s="195"/>
    </row>
    <row r="657" spans="1:25" ht="12.75" x14ac:dyDescent="0.2">
      <c r="A657" s="195" t="s">
        <v>602</v>
      </c>
      <c r="B657" s="536" t="s">
        <v>874</v>
      </c>
      <c r="C657" s="195" t="s">
        <v>639</v>
      </c>
      <c r="D657" s="195" t="s">
        <v>640</v>
      </c>
      <c r="E657" s="288"/>
      <c r="F657" s="204">
        <v>26</v>
      </c>
      <c r="G657" s="204" t="s">
        <v>576</v>
      </c>
      <c r="H657" s="197" t="s">
        <v>641</v>
      </c>
      <c r="I657" s="198"/>
      <c r="J657" s="205">
        <v>1.52</v>
      </c>
      <c r="K657" s="287">
        <v>1.52</v>
      </c>
      <c r="L657" s="206">
        <v>4.24</v>
      </c>
      <c r="M657" s="286">
        <v>4.24</v>
      </c>
      <c r="N657" s="552">
        <v>41791</v>
      </c>
      <c r="O657" s="205">
        <f t="shared" si="50"/>
        <v>0</v>
      </c>
      <c r="P657" s="555">
        <f>(1+$R$1)*Table33[[#This Row],[Hours]]</f>
        <v>0</v>
      </c>
      <c r="Q657" s="207">
        <f t="shared" si="54"/>
        <v>0</v>
      </c>
      <c r="R657" s="208">
        <f t="shared" si="51"/>
        <v>0</v>
      </c>
      <c r="S657" s="208">
        <f t="shared" si="52"/>
        <v>0</v>
      </c>
      <c r="T657" s="208" t="str">
        <f t="shared" si="53"/>
        <v/>
      </c>
      <c r="U657" s="195">
        <f>Table33[[#This Row],[gal/100ft]]*Table33[[#This Row],[QTY]]/100</f>
        <v>0</v>
      </c>
      <c r="V657" s="195"/>
      <c r="W657" s="195"/>
      <c r="X657" s="195"/>
      <c r="Y657" s="195"/>
    </row>
    <row r="658" spans="1:25" ht="12.75" x14ac:dyDescent="0.2">
      <c r="A658" s="195" t="s">
        <v>602</v>
      </c>
      <c r="B658" s="536" t="s">
        <v>874</v>
      </c>
      <c r="C658" s="195" t="s">
        <v>639</v>
      </c>
      <c r="D658" s="195" t="s">
        <v>640</v>
      </c>
      <c r="E658" s="288"/>
      <c r="F658" s="204">
        <v>26</v>
      </c>
      <c r="G658" s="204" t="s">
        <v>576</v>
      </c>
      <c r="H658" s="197">
        <v>1</v>
      </c>
      <c r="I658" s="198"/>
      <c r="J658" s="205">
        <v>1.98</v>
      </c>
      <c r="K658" s="287">
        <v>1.98</v>
      </c>
      <c r="L658" s="206">
        <v>4.9400000000000004</v>
      </c>
      <c r="M658" s="286">
        <v>4.9400000000000004</v>
      </c>
      <c r="N658" s="552">
        <v>41791</v>
      </c>
      <c r="O658" s="205">
        <f t="shared" si="50"/>
        <v>0</v>
      </c>
      <c r="P658" s="555">
        <f>(1+$R$1)*Table33[[#This Row],[Hours]]</f>
        <v>0</v>
      </c>
      <c r="Q658" s="207">
        <f t="shared" si="54"/>
        <v>0</v>
      </c>
      <c r="R658" s="208">
        <f t="shared" si="51"/>
        <v>0</v>
      </c>
      <c r="S658" s="208">
        <f t="shared" si="52"/>
        <v>0</v>
      </c>
      <c r="T658" s="208" t="str">
        <f t="shared" si="53"/>
        <v/>
      </c>
      <c r="U658" s="195">
        <f>Table33[[#This Row],[gal/100ft]]*Table33[[#This Row],[QTY]]/100</f>
        <v>0</v>
      </c>
      <c r="V658" s="195"/>
      <c r="W658" s="195"/>
      <c r="X658" s="195"/>
      <c r="Y658" s="195"/>
    </row>
    <row r="659" spans="1:25" ht="12.75" x14ac:dyDescent="0.2">
      <c r="A659" s="195" t="s">
        <v>602</v>
      </c>
      <c r="B659" s="536" t="s">
        <v>874</v>
      </c>
      <c r="C659" s="195" t="s">
        <v>639</v>
      </c>
      <c r="D659" s="195" t="s">
        <v>640</v>
      </c>
      <c r="E659" s="288"/>
      <c r="F659" s="204">
        <v>26</v>
      </c>
      <c r="G659" s="204" t="s">
        <v>576</v>
      </c>
      <c r="H659" s="197">
        <v>1.25</v>
      </c>
      <c r="I659" s="198"/>
      <c r="J659" s="205">
        <v>2.4500000000000002</v>
      </c>
      <c r="K659" s="287">
        <v>2.4500000000000002</v>
      </c>
      <c r="L659" s="206">
        <v>7.84</v>
      </c>
      <c r="M659" s="286">
        <v>7.84</v>
      </c>
      <c r="N659" s="552">
        <v>41791</v>
      </c>
      <c r="O659" s="205">
        <f t="shared" si="50"/>
        <v>0</v>
      </c>
      <c r="P659" s="555">
        <f>(1+$R$1)*Table33[[#This Row],[Hours]]</f>
        <v>0</v>
      </c>
      <c r="Q659" s="207">
        <f t="shared" si="54"/>
        <v>0</v>
      </c>
      <c r="R659" s="208">
        <f t="shared" si="51"/>
        <v>0</v>
      </c>
      <c r="S659" s="208">
        <f t="shared" si="52"/>
        <v>0</v>
      </c>
      <c r="T659" s="208" t="str">
        <f t="shared" si="53"/>
        <v/>
      </c>
      <c r="U659" s="195">
        <f>Table33[[#This Row],[gal/100ft]]*Table33[[#This Row],[QTY]]/100</f>
        <v>0</v>
      </c>
      <c r="V659" s="195"/>
      <c r="W659" s="195"/>
      <c r="X659" s="195"/>
      <c r="Y659" s="195"/>
    </row>
    <row r="660" spans="1:25" ht="12.75" x14ac:dyDescent="0.2">
      <c r="A660" s="195" t="s">
        <v>602</v>
      </c>
      <c r="B660" s="536" t="s">
        <v>874</v>
      </c>
      <c r="C660" s="195" t="s">
        <v>639</v>
      </c>
      <c r="D660" s="195" t="s">
        <v>640</v>
      </c>
      <c r="E660" s="288"/>
      <c r="F660" s="204">
        <v>26</v>
      </c>
      <c r="G660" s="204" t="s">
        <v>576</v>
      </c>
      <c r="H660" s="197">
        <v>1.5</v>
      </c>
      <c r="I660" s="198"/>
      <c r="J660" s="205">
        <v>2.88</v>
      </c>
      <c r="K660" s="287">
        <v>2.88</v>
      </c>
      <c r="L660" s="206">
        <v>7.84</v>
      </c>
      <c r="M660" s="286">
        <v>7.84</v>
      </c>
      <c r="N660" s="552">
        <v>41791</v>
      </c>
      <c r="O660" s="205">
        <f t="shared" si="50"/>
        <v>0</v>
      </c>
      <c r="P660" s="555">
        <f>(1+$R$1)*Table33[[#This Row],[Hours]]</f>
        <v>0</v>
      </c>
      <c r="Q660" s="207">
        <f t="shared" si="54"/>
        <v>0</v>
      </c>
      <c r="R660" s="208">
        <f t="shared" si="51"/>
        <v>0</v>
      </c>
      <c r="S660" s="208">
        <f t="shared" si="52"/>
        <v>0</v>
      </c>
      <c r="T660" s="208" t="str">
        <f t="shared" si="53"/>
        <v/>
      </c>
      <c r="U660" s="195">
        <f>Table33[[#This Row],[gal/100ft]]*Table33[[#This Row],[QTY]]/100</f>
        <v>0</v>
      </c>
      <c r="V660" s="195"/>
      <c r="W660" s="195"/>
      <c r="X660" s="195"/>
      <c r="Y660" s="195"/>
    </row>
    <row r="661" spans="1:25" ht="12.75" x14ac:dyDescent="0.2">
      <c r="A661" s="195" t="s">
        <v>602</v>
      </c>
      <c r="B661" s="536" t="s">
        <v>874</v>
      </c>
      <c r="C661" s="195" t="s">
        <v>639</v>
      </c>
      <c r="D661" s="195" t="s">
        <v>640</v>
      </c>
      <c r="E661" s="288"/>
      <c r="F661" s="204">
        <v>26</v>
      </c>
      <c r="G661" s="204" t="s">
        <v>576</v>
      </c>
      <c r="H661" s="197">
        <v>2</v>
      </c>
      <c r="I661" s="198"/>
      <c r="J661" s="205">
        <v>3.74</v>
      </c>
      <c r="K661" s="287">
        <v>3.74</v>
      </c>
      <c r="L661" s="206">
        <v>8.92</v>
      </c>
      <c r="M661" s="286">
        <v>8.92</v>
      </c>
      <c r="N661" s="552">
        <v>41791</v>
      </c>
      <c r="O661" s="205">
        <f t="shared" si="50"/>
        <v>0</v>
      </c>
      <c r="P661" s="555">
        <f>(1+$R$1)*Table33[[#This Row],[Hours]]</f>
        <v>0</v>
      </c>
      <c r="Q661" s="207">
        <f t="shared" si="54"/>
        <v>0</v>
      </c>
      <c r="R661" s="208">
        <f t="shared" si="51"/>
        <v>0</v>
      </c>
      <c r="S661" s="208">
        <f t="shared" si="52"/>
        <v>0</v>
      </c>
      <c r="T661" s="208" t="str">
        <f t="shared" si="53"/>
        <v/>
      </c>
      <c r="U661" s="195">
        <f>Table33[[#This Row],[gal/100ft]]*Table33[[#This Row],[QTY]]/100</f>
        <v>0</v>
      </c>
      <c r="V661" s="195"/>
      <c r="W661" s="195"/>
      <c r="X661" s="195"/>
      <c r="Y661" s="195"/>
    </row>
    <row r="662" spans="1:25" ht="12.75" x14ac:dyDescent="0.2">
      <c r="A662" s="195" t="s">
        <v>602</v>
      </c>
      <c r="B662" s="536" t="s">
        <v>874</v>
      </c>
      <c r="C662" s="195" t="s">
        <v>639</v>
      </c>
      <c r="D662" s="195" t="s">
        <v>640</v>
      </c>
      <c r="E662" s="288"/>
      <c r="F662" s="204">
        <v>30</v>
      </c>
      <c r="G662" s="204" t="s">
        <v>576</v>
      </c>
      <c r="H662" s="197" t="s">
        <v>596</v>
      </c>
      <c r="I662" s="198"/>
      <c r="J662" s="205">
        <v>1.06</v>
      </c>
      <c r="K662" s="287">
        <v>1.06</v>
      </c>
      <c r="L662" s="206">
        <v>3.68</v>
      </c>
      <c r="M662" s="286">
        <v>3.68</v>
      </c>
      <c r="N662" s="552">
        <v>41791</v>
      </c>
      <c r="O662" s="205">
        <f t="shared" si="50"/>
        <v>0</v>
      </c>
      <c r="P662" s="555">
        <f>(1+$R$1)*Table33[[#This Row],[Hours]]</f>
        <v>0</v>
      </c>
      <c r="Q662" s="207">
        <f t="shared" si="54"/>
        <v>0</v>
      </c>
      <c r="R662" s="208">
        <f t="shared" si="51"/>
        <v>0</v>
      </c>
      <c r="S662" s="208">
        <f t="shared" si="52"/>
        <v>0</v>
      </c>
      <c r="T662" s="208" t="str">
        <f t="shared" si="53"/>
        <v/>
      </c>
      <c r="U662" s="195">
        <f>Table33[[#This Row],[gal/100ft]]*Table33[[#This Row],[QTY]]/100</f>
        <v>0</v>
      </c>
      <c r="V662" s="195"/>
      <c r="W662" s="195"/>
      <c r="X662" s="195"/>
      <c r="Y662" s="195"/>
    </row>
    <row r="663" spans="1:25" ht="12.75" x14ac:dyDescent="0.2">
      <c r="A663" s="195" t="s">
        <v>602</v>
      </c>
      <c r="B663" s="536" t="s">
        <v>874</v>
      </c>
      <c r="C663" s="195" t="s">
        <v>639</v>
      </c>
      <c r="D663" s="195" t="s">
        <v>640</v>
      </c>
      <c r="E663" s="288"/>
      <c r="F663" s="204">
        <v>30</v>
      </c>
      <c r="G663" s="204" t="s">
        <v>576</v>
      </c>
      <c r="H663" s="197" t="s">
        <v>641</v>
      </c>
      <c r="I663" s="198"/>
      <c r="J663" s="205">
        <v>1.52</v>
      </c>
      <c r="K663" s="287">
        <v>1.52</v>
      </c>
      <c r="L663" s="206">
        <v>4.24</v>
      </c>
      <c r="M663" s="286">
        <v>4.24</v>
      </c>
      <c r="N663" s="552">
        <v>41791</v>
      </c>
      <c r="O663" s="205">
        <f t="shared" ref="O663:O726" si="55">K663*E663</f>
        <v>0</v>
      </c>
      <c r="P663" s="555">
        <f>(1+$R$1)*Table33[[#This Row],[Hours]]</f>
        <v>0</v>
      </c>
      <c r="Q663" s="207">
        <f t="shared" si="54"/>
        <v>0</v>
      </c>
      <c r="R663" s="208">
        <f t="shared" ref="R663:R726" si="56">M663*E663</f>
        <v>0</v>
      </c>
      <c r="S663" s="208">
        <f t="shared" ref="S663:S726" si="57">R663+Q663</f>
        <v>0</v>
      </c>
      <c r="T663" s="208" t="str">
        <f t="shared" ref="T663:T726" si="58">IF(E663="","",S663/E663)</f>
        <v/>
      </c>
      <c r="U663" s="195">
        <f>Table33[[#This Row],[gal/100ft]]*Table33[[#This Row],[QTY]]/100</f>
        <v>0</v>
      </c>
      <c r="V663" s="195"/>
      <c r="W663" s="195"/>
      <c r="X663" s="195"/>
      <c r="Y663" s="195"/>
    </row>
    <row r="664" spans="1:25" ht="12.75" x14ac:dyDescent="0.2">
      <c r="A664" s="195" t="s">
        <v>602</v>
      </c>
      <c r="B664" s="536" t="s">
        <v>874</v>
      </c>
      <c r="C664" s="195" t="s">
        <v>639</v>
      </c>
      <c r="D664" s="195" t="s">
        <v>640</v>
      </c>
      <c r="E664" s="288"/>
      <c r="F664" s="204">
        <v>30</v>
      </c>
      <c r="G664" s="204" t="s">
        <v>576</v>
      </c>
      <c r="H664" s="197">
        <v>1</v>
      </c>
      <c r="I664" s="198"/>
      <c r="J664" s="205">
        <v>1.98</v>
      </c>
      <c r="K664" s="287">
        <v>1.98</v>
      </c>
      <c r="L664" s="206">
        <v>4.9400000000000004</v>
      </c>
      <c r="M664" s="286">
        <v>4.9400000000000004</v>
      </c>
      <c r="N664" s="552">
        <v>41791</v>
      </c>
      <c r="O664" s="205">
        <f t="shared" si="55"/>
        <v>0</v>
      </c>
      <c r="P664" s="555">
        <f>(1+$R$1)*Table33[[#This Row],[Hours]]</f>
        <v>0</v>
      </c>
      <c r="Q664" s="207">
        <f t="shared" si="54"/>
        <v>0</v>
      </c>
      <c r="R664" s="208">
        <f t="shared" si="56"/>
        <v>0</v>
      </c>
      <c r="S664" s="208">
        <f t="shared" si="57"/>
        <v>0</v>
      </c>
      <c r="T664" s="208" t="str">
        <f t="shared" si="58"/>
        <v/>
      </c>
      <c r="U664" s="195">
        <f>Table33[[#This Row],[gal/100ft]]*Table33[[#This Row],[QTY]]/100</f>
        <v>0</v>
      </c>
      <c r="V664" s="195"/>
      <c r="W664" s="195"/>
      <c r="X664" s="195"/>
      <c r="Y664" s="195"/>
    </row>
    <row r="665" spans="1:25" ht="12.75" x14ac:dyDescent="0.2">
      <c r="A665" s="195" t="s">
        <v>602</v>
      </c>
      <c r="B665" s="536" t="s">
        <v>874</v>
      </c>
      <c r="C665" s="195" t="s">
        <v>639</v>
      </c>
      <c r="D665" s="195" t="s">
        <v>640</v>
      </c>
      <c r="E665" s="288"/>
      <c r="F665" s="204">
        <v>30</v>
      </c>
      <c r="G665" s="204" t="s">
        <v>576</v>
      </c>
      <c r="H665" s="197">
        <v>1.25</v>
      </c>
      <c r="I665" s="198"/>
      <c r="J665" s="205">
        <v>2.4500000000000002</v>
      </c>
      <c r="K665" s="287">
        <v>2.4500000000000002</v>
      </c>
      <c r="L665" s="206">
        <v>7.84</v>
      </c>
      <c r="M665" s="286">
        <v>7.84</v>
      </c>
      <c r="N665" s="552">
        <v>41791</v>
      </c>
      <c r="O665" s="205">
        <f t="shared" si="55"/>
        <v>0</v>
      </c>
      <c r="P665" s="555">
        <f>(1+$R$1)*Table33[[#This Row],[Hours]]</f>
        <v>0</v>
      </c>
      <c r="Q665" s="207">
        <f t="shared" si="54"/>
        <v>0</v>
      </c>
      <c r="R665" s="208">
        <f t="shared" si="56"/>
        <v>0</v>
      </c>
      <c r="S665" s="208">
        <f t="shared" si="57"/>
        <v>0</v>
      </c>
      <c r="T665" s="208" t="str">
        <f t="shared" si="58"/>
        <v/>
      </c>
      <c r="U665" s="195">
        <f>Table33[[#This Row],[gal/100ft]]*Table33[[#This Row],[QTY]]/100</f>
        <v>0</v>
      </c>
      <c r="V665" s="195"/>
      <c r="W665" s="195"/>
      <c r="X665" s="195"/>
      <c r="Y665" s="195"/>
    </row>
    <row r="666" spans="1:25" ht="12.75" x14ac:dyDescent="0.2">
      <c r="A666" s="195" t="s">
        <v>602</v>
      </c>
      <c r="B666" s="536" t="s">
        <v>874</v>
      </c>
      <c r="C666" s="195" t="s">
        <v>639</v>
      </c>
      <c r="D666" s="195" t="s">
        <v>640</v>
      </c>
      <c r="E666" s="288"/>
      <c r="F666" s="204">
        <v>30</v>
      </c>
      <c r="G666" s="204" t="s">
        <v>576</v>
      </c>
      <c r="H666" s="197">
        <v>1.5</v>
      </c>
      <c r="I666" s="198"/>
      <c r="J666" s="205">
        <v>2.88</v>
      </c>
      <c r="K666" s="287">
        <v>2.88</v>
      </c>
      <c r="L666" s="206">
        <v>7.84</v>
      </c>
      <c r="M666" s="286">
        <v>7.84</v>
      </c>
      <c r="N666" s="552">
        <v>41791</v>
      </c>
      <c r="O666" s="205">
        <f t="shared" si="55"/>
        <v>0</v>
      </c>
      <c r="P666" s="555">
        <f>(1+$R$1)*Table33[[#This Row],[Hours]]</f>
        <v>0</v>
      </c>
      <c r="Q666" s="207">
        <f t="shared" si="54"/>
        <v>0</v>
      </c>
      <c r="R666" s="208">
        <f t="shared" si="56"/>
        <v>0</v>
      </c>
      <c r="S666" s="208">
        <f t="shared" si="57"/>
        <v>0</v>
      </c>
      <c r="T666" s="208" t="str">
        <f t="shared" si="58"/>
        <v/>
      </c>
      <c r="U666" s="195">
        <f>Table33[[#This Row],[gal/100ft]]*Table33[[#This Row],[QTY]]/100</f>
        <v>0</v>
      </c>
      <c r="V666" s="195"/>
      <c r="W666" s="195"/>
      <c r="X666" s="195"/>
      <c r="Y666" s="195"/>
    </row>
    <row r="667" spans="1:25" ht="12.75" x14ac:dyDescent="0.2">
      <c r="A667" s="195" t="s">
        <v>602</v>
      </c>
      <c r="B667" s="536" t="s">
        <v>874</v>
      </c>
      <c r="C667" s="195" t="s">
        <v>639</v>
      </c>
      <c r="D667" s="195" t="s">
        <v>640</v>
      </c>
      <c r="E667" s="288"/>
      <c r="F667" s="204">
        <v>30</v>
      </c>
      <c r="G667" s="204" t="s">
        <v>576</v>
      </c>
      <c r="H667" s="197">
        <v>2</v>
      </c>
      <c r="I667" s="198"/>
      <c r="J667" s="205">
        <v>3.74</v>
      </c>
      <c r="K667" s="287">
        <v>3.74</v>
      </c>
      <c r="L667" s="206">
        <v>8.92</v>
      </c>
      <c r="M667" s="286">
        <v>8.92</v>
      </c>
      <c r="N667" s="552">
        <v>41791</v>
      </c>
      <c r="O667" s="205">
        <f t="shared" si="55"/>
        <v>0</v>
      </c>
      <c r="P667" s="555">
        <f>(1+$R$1)*Table33[[#This Row],[Hours]]</f>
        <v>0</v>
      </c>
      <c r="Q667" s="207">
        <f t="shared" si="54"/>
        <v>0</v>
      </c>
      <c r="R667" s="208">
        <f t="shared" si="56"/>
        <v>0</v>
      </c>
      <c r="S667" s="208">
        <f t="shared" si="57"/>
        <v>0</v>
      </c>
      <c r="T667" s="208" t="str">
        <f t="shared" si="58"/>
        <v/>
      </c>
      <c r="U667" s="195">
        <f>Table33[[#This Row],[gal/100ft]]*Table33[[#This Row],[QTY]]/100</f>
        <v>0</v>
      </c>
      <c r="V667" s="195"/>
      <c r="W667" s="195"/>
      <c r="X667" s="195"/>
      <c r="Y667" s="195"/>
    </row>
    <row r="668" spans="1:25" ht="12.75" x14ac:dyDescent="0.2">
      <c r="A668" s="195" t="s">
        <v>602</v>
      </c>
      <c r="B668" s="536" t="s">
        <v>874</v>
      </c>
      <c r="C668" s="195" t="s">
        <v>639</v>
      </c>
      <c r="D668" s="195" t="s">
        <v>640</v>
      </c>
      <c r="E668" s="288"/>
      <c r="F668" s="204">
        <v>36</v>
      </c>
      <c r="G668" s="204" t="s">
        <v>576</v>
      </c>
      <c r="H668" s="197" t="s">
        <v>596</v>
      </c>
      <c r="I668" s="198"/>
      <c r="J668" s="205">
        <v>1.06</v>
      </c>
      <c r="K668" s="287">
        <v>1.06</v>
      </c>
      <c r="L668" s="206">
        <v>3.68</v>
      </c>
      <c r="M668" s="286">
        <v>3.68</v>
      </c>
      <c r="N668" s="552">
        <v>41791</v>
      </c>
      <c r="O668" s="205">
        <f t="shared" si="55"/>
        <v>0</v>
      </c>
      <c r="P668" s="555">
        <f>(1+$R$1)*Table33[[#This Row],[Hours]]</f>
        <v>0</v>
      </c>
      <c r="Q668" s="207">
        <f t="shared" si="54"/>
        <v>0</v>
      </c>
      <c r="R668" s="208">
        <f t="shared" si="56"/>
        <v>0</v>
      </c>
      <c r="S668" s="208">
        <f t="shared" si="57"/>
        <v>0</v>
      </c>
      <c r="T668" s="208" t="str">
        <f t="shared" si="58"/>
        <v/>
      </c>
      <c r="U668" s="195">
        <f>Table33[[#This Row],[gal/100ft]]*Table33[[#This Row],[QTY]]/100</f>
        <v>0</v>
      </c>
      <c r="V668" s="195"/>
      <c r="W668" s="195"/>
      <c r="X668" s="195"/>
      <c r="Y668" s="195"/>
    </row>
    <row r="669" spans="1:25" ht="12.75" x14ac:dyDescent="0.2">
      <c r="A669" s="195" t="s">
        <v>602</v>
      </c>
      <c r="B669" s="536" t="s">
        <v>874</v>
      </c>
      <c r="C669" s="195" t="s">
        <v>639</v>
      </c>
      <c r="D669" s="195" t="s">
        <v>640</v>
      </c>
      <c r="E669" s="288"/>
      <c r="F669" s="204">
        <v>36</v>
      </c>
      <c r="G669" s="204" t="s">
        <v>576</v>
      </c>
      <c r="H669" s="197" t="s">
        <v>641</v>
      </c>
      <c r="I669" s="198"/>
      <c r="J669" s="205">
        <v>1.52</v>
      </c>
      <c r="K669" s="287">
        <v>1.52</v>
      </c>
      <c r="L669" s="206">
        <v>4.24</v>
      </c>
      <c r="M669" s="286">
        <v>4.24</v>
      </c>
      <c r="N669" s="552">
        <v>41791</v>
      </c>
      <c r="O669" s="205">
        <f t="shared" si="55"/>
        <v>0</v>
      </c>
      <c r="P669" s="555">
        <f>(1+$R$1)*Table33[[#This Row],[Hours]]</f>
        <v>0</v>
      </c>
      <c r="Q669" s="207">
        <f t="shared" si="54"/>
        <v>0</v>
      </c>
      <c r="R669" s="208">
        <f t="shared" si="56"/>
        <v>0</v>
      </c>
      <c r="S669" s="208">
        <f t="shared" si="57"/>
        <v>0</v>
      </c>
      <c r="T669" s="208" t="str">
        <f t="shared" si="58"/>
        <v/>
      </c>
      <c r="U669" s="195">
        <f>Table33[[#This Row],[gal/100ft]]*Table33[[#This Row],[QTY]]/100</f>
        <v>0</v>
      </c>
      <c r="V669" s="195"/>
      <c r="W669" s="195"/>
      <c r="X669" s="195"/>
      <c r="Y669" s="195"/>
    </row>
    <row r="670" spans="1:25" ht="12.75" x14ac:dyDescent="0.2">
      <c r="A670" s="195" t="s">
        <v>602</v>
      </c>
      <c r="B670" s="536" t="s">
        <v>874</v>
      </c>
      <c r="C670" s="195" t="s">
        <v>639</v>
      </c>
      <c r="D670" s="195" t="s">
        <v>640</v>
      </c>
      <c r="E670" s="288"/>
      <c r="F670" s="204">
        <v>36</v>
      </c>
      <c r="G670" s="204" t="s">
        <v>576</v>
      </c>
      <c r="H670" s="197">
        <v>1</v>
      </c>
      <c r="I670" s="198"/>
      <c r="J670" s="205">
        <v>1.98</v>
      </c>
      <c r="K670" s="287">
        <v>1.98</v>
      </c>
      <c r="L670" s="206">
        <v>4.9400000000000004</v>
      </c>
      <c r="M670" s="286">
        <v>4.9400000000000004</v>
      </c>
      <c r="N670" s="552">
        <v>41791</v>
      </c>
      <c r="O670" s="205">
        <f t="shared" si="55"/>
        <v>0</v>
      </c>
      <c r="P670" s="555">
        <f>(1+$R$1)*Table33[[#This Row],[Hours]]</f>
        <v>0</v>
      </c>
      <c r="Q670" s="207">
        <f t="shared" si="54"/>
        <v>0</v>
      </c>
      <c r="R670" s="208">
        <f t="shared" si="56"/>
        <v>0</v>
      </c>
      <c r="S670" s="208">
        <f t="shared" si="57"/>
        <v>0</v>
      </c>
      <c r="T670" s="208" t="str">
        <f t="shared" si="58"/>
        <v/>
      </c>
      <c r="U670" s="195">
        <f>Table33[[#This Row],[gal/100ft]]*Table33[[#This Row],[QTY]]/100</f>
        <v>0</v>
      </c>
      <c r="V670" s="195"/>
      <c r="W670" s="195"/>
      <c r="X670" s="195"/>
      <c r="Y670" s="195"/>
    </row>
    <row r="671" spans="1:25" ht="12.75" x14ac:dyDescent="0.2">
      <c r="A671" s="195" t="s">
        <v>602</v>
      </c>
      <c r="B671" s="536" t="s">
        <v>874</v>
      </c>
      <c r="C671" s="195" t="s">
        <v>639</v>
      </c>
      <c r="D671" s="195" t="s">
        <v>640</v>
      </c>
      <c r="E671" s="288"/>
      <c r="F671" s="204">
        <v>36</v>
      </c>
      <c r="G671" s="204" t="s">
        <v>576</v>
      </c>
      <c r="H671" s="197">
        <v>1.25</v>
      </c>
      <c r="I671" s="198"/>
      <c r="J671" s="205">
        <v>2.4500000000000002</v>
      </c>
      <c r="K671" s="287">
        <v>2.4500000000000002</v>
      </c>
      <c r="L671" s="206">
        <v>7.84</v>
      </c>
      <c r="M671" s="286">
        <v>7.84</v>
      </c>
      <c r="N671" s="552">
        <v>41791</v>
      </c>
      <c r="O671" s="205">
        <f t="shared" si="55"/>
        <v>0</v>
      </c>
      <c r="P671" s="555">
        <f>(1+$R$1)*Table33[[#This Row],[Hours]]</f>
        <v>0</v>
      </c>
      <c r="Q671" s="207">
        <f t="shared" si="54"/>
        <v>0</v>
      </c>
      <c r="R671" s="208">
        <f t="shared" si="56"/>
        <v>0</v>
      </c>
      <c r="S671" s="208">
        <f t="shared" si="57"/>
        <v>0</v>
      </c>
      <c r="T671" s="208" t="str">
        <f t="shared" si="58"/>
        <v/>
      </c>
      <c r="U671" s="195">
        <f>Table33[[#This Row],[gal/100ft]]*Table33[[#This Row],[QTY]]/100</f>
        <v>0</v>
      </c>
      <c r="V671" s="195"/>
      <c r="W671" s="195"/>
      <c r="X671" s="195"/>
      <c r="Y671" s="195"/>
    </row>
    <row r="672" spans="1:25" ht="12.75" x14ac:dyDescent="0.2">
      <c r="A672" s="195" t="s">
        <v>602</v>
      </c>
      <c r="B672" s="536" t="s">
        <v>874</v>
      </c>
      <c r="C672" s="195" t="s">
        <v>639</v>
      </c>
      <c r="D672" s="195" t="s">
        <v>640</v>
      </c>
      <c r="E672" s="288"/>
      <c r="F672" s="204">
        <v>36</v>
      </c>
      <c r="G672" s="204" t="s">
        <v>576</v>
      </c>
      <c r="H672" s="197">
        <v>1.5</v>
      </c>
      <c r="I672" s="198"/>
      <c r="J672" s="205">
        <v>2.88</v>
      </c>
      <c r="K672" s="287">
        <v>2.88</v>
      </c>
      <c r="L672" s="206">
        <v>7.84</v>
      </c>
      <c r="M672" s="286">
        <v>7.84</v>
      </c>
      <c r="N672" s="552">
        <v>41791</v>
      </c>
      <c r="O672" s="205">
        <f t="shared" si="55"/>
        <v>0</v>
      </c>
      <c r="P672" s="555">
        <f>(1+$R$1)*Table33[[#This Row],[Hours]]</f>
        <v>0</v>
      </c>
      <c r="Q672" s="207">
        <f t="shared" si="54"/>
        <v>0</v>
      </c>
      <c r="R672" s="208">
        <f t="shared" si="56"/>
        <v>0</v>
      </c>
      <c r="S672" s="208">
        <f t="shared" si="57"/>
        <v>0</v>
      </c>
      <c r="T672" s="208" t="str">
        <f t="shared" si="58"/>
        <v/>
      </c>
      <c r="U672" s="195">
        <f>Table33[[#This Row],[gal/100ft]]*Table33[[#This Row],[QTY]]/100</f>
        <v>0</v>
      </c>
      <c r="V672" s="195"/>
      <c r="W672" s="195"/>
      <c r="X672" s="195"/>
      <c r="Y672" s="195"/>
    </row>
    <row r="673" spans="1:25" ht="12.75" x14ac:dyDescent="0.2">
      <c r="A673" s="195" t="s">
        <v>602</v>
      </c>
      <c r="B673" s="536" t="s">
        <v>874</v>
      </c>
      <c r="C673" s="195" t="s">
        <v>639</v>
      </c>
      <c r="D673" s="195" t="s">
        <v>640</v>
      </c>
      <c r="E673" s="288"/>
      <c r="F673" s="204">
        <v>36</v>
      </c>
      <c r="G673" s="204" t="s">
        <v>576</v>
      </c>
      <c r="H673" s="197">
        <v>2</v>
      </c>
      <c r="I673" s="198"/>
      <c r="J673" s="205">
        <v>3.74</v>
      </c>
      <c r="K673" s="287">
        <v>3.74</v>
      </c>
      <c r="L673" s="206">
        <v>8.92</v>
      </c>
      <c r="M673" s="286">
        <v>8.92</v>
      </c>
      <c r="N673" s="552">
        <v>41791</v>
      </c>
      <c r="O673" s="205">
        <f t="shared" si="55"/>
        <v>0</v>
      </c>
      <c r="P673" s="555">
        <f>(1+$R$1)*Table33[[#This Row],[Hours]]</f>
        <v>0</v>
      </c>
      <c r="Q673" s="207">
        <f t="shared" si="54"/>
        <v>0</v>
      </c>
      <c r="R673" s="208">
        <f t="shared" si="56"/>
        <v>0</v>
      </c>
      <c r="S673" s="208">
        <f t="shared" si="57"/>
        <v>0</v>
      </c>
      <c r="T673" s="208" t="str">
        <f t="shared" si="58"/>
        <v/>
      </c>
      <c r="U673" s="195">
        <f>Table33[[#This Row],[gal/100ft]]*Table33[[#This Row],[QTY]]/100</f>
        <v>0</v>
      </c>
      <c r="V673" s="195"/>
      <c r="W673" s="195"/>
      <c r="X673" s="195"/>
      <c r="Y673" s="195"/>
    </row>
    <row r="674" spans="1:25" ht="12.75" x14ac:dyDescent="0.2">
      <c r="A674" s="195" t="s">
        <v>602</v>
      </c>
      <c r="B674" s="536" t="s">
        <v>874</v>
      </c>
      <c r="C674" s="195" t="s">
        <v>639</v>
      </c>
      <c r="D674" s="195" t="s">
        <v>640</v>
      </c>
      <c r="E674" s="288"/>
      <c r="F674" s="204">
        <v>3</v>
      </c>
      <c r="G674" s="204" t="s">
        <v>576</v>
      </c>
      <c r="H674" s="197" t="s">
        <v>596</v>
      </c>
      <c r="I674" s="198"/>
      <c r="J674" s="205">
        <v>1.06</v>
      </c>
      <c r="K674" s="287">
        <v>1.06</v>
      </c>
      <c r="L674" s="206">
        <v>3.68</v>
      </c>
      <c r="M674" s="286">
        <v>3.68</v>
      </c>
      <c r="N674" s="552">
        <v>41791</v>
      </c>
      <c r="O674" s="205">
        <f t="shared" si="55"/>
        <v>0</v>
      </c>
      <c r="P674" s="555">
        <f>(1+$R$1)*Table33[[#This Row],[Hours]]</f>
        <v>0</v>
      </c>
      <c r="Q674" s="207">
        <f t="shared" si="54"/>
        <v>0</v>
      </c>
      <c r="R674" s="208">
        <f t="shared" si="56"/>
        <v>0</v>
      </c>
      <c r="S674" s="208">
        <f t="shared" si="57"/>
        <v>0</v>
      </c>
      <c r="T674" s="208" t="str">
        <f t="shared" si="58"/>
        <v/>
      </c>
      <c r="U674" s="195">
        <f>Table33[[#This Row],[gal/100ft]]*Table33[[#This Row],[QTY]]/100</f>
        <v>0</v>
      </c>
      <c r="V674" s="195"/>
      <c r="W674" s="195"/>
      <c r="X674" s="195"/>
      <c r="Y674" s="195"/>
    </row>
    <row r="675" spans="1:25" ht="12.75" x14ac:dyDescent="0.2">
      <c r="A675" s="195" t="s">
        <v>602</v>
      </c>
      <c r="B675" s="536" t="s">
        <v>874</v>
      </c>
      <c r="C675" s="195" t="s">
        <v>639</v>
      </c>
      <c r="D675" s="195" t="s">
        <v>640</v>
      </c>
      <c r="E675" s="288"/>
      <c r="F675" s="204">
        <v>3</v>
      </c>
      <c r="G675" s="204" t="s">
        <v>576</v>
      </c>
      <c r="H675" s="197" t="s">
        <v>641</v>
      </c>
      <c r="I675" s="198"/>
      <c r="J675" s="205">
        <v>1.52</v>
      </c>
      <c r="K675" s="287">
        <v>1.52</v>
      </c>
      <c r="L675" s="206">
        <v>4.24</v>
      </c>
      <c r="M675" s="286">
        <v>4.24</v>
      </c>
      <c r="N675" s="552">
        <v>41791</v>
      </c>
      <c r="O675" s="205">
        <f t="shared" si="55"/>
        <v>0</v>
      </c>
      <c r="P675" s="555">
        <f>(1+$R$1)*Table33[[#This Row],[Hours]]</f>
        <v>0</v>
      </c>
      <c r="Q675" s="207">
        <f t="shared" si="54"/>
        <v>0</v>
      </c>
      <c r="R675" s="208">
        <f t="shared" si="56"/>
        <v>0</v>
      </c>
      <c r="S675" s="208">
        <f t="shared" si="57"/>
        <v>0</v>
      </c>
      <c r="T675" s="208" t="str">
        <f t="shared" si="58"/>
        <v/>
      </c>
      <c r="U675" s="195">
        <f>Table33[[#This Row],[gal/100ft]]*Table33[[#This Row],[QTY]]/100</f>
        <v>0</v>
      </c>
      <c r="V675" s="195"/>
      <c r="W675" s="195"/>
      <c r="X675" s="195"/>
      <c r="Y675" s="195"/>
    </row>
    <row r="676" spans="1:25" ht="12.75" x14ac:dyDescent="0.2">
      <c r="A676" s="195" t="s">
        <v>602</v>
      </c>
      <c r="B676" s="536" t="s">
        <v>874</v>
      </c>
      <c r="C676" s="195" t="s">
        <v>639</v>
      </c>
      <c r="D676" s="195" t="s">
        <v>640</v>
      </c>
      <c r="E676" s="288"/>
      <c r="F676" s="204">
        <v>3</v>
      </c>
      <c r="G676" s="204" t="s">
        <v>576</v>
      </c>
      <c r="H676" s="197">
        <v>1</v>
      </c>
      <c r="I676" s="198"/>
      <c r="J676" s="205">
        <v>1.98</v>
      </c>
      <c r="K676" s="287">
        <v>1.98</v>
      </c>
      <c r="L676" s="206">
        <v>4.9400000000000004</v>
      </c>
      <c r="M676" s="286">
        <v>4.9400000000000004</v>
      </c>
      <c r="N676" s="552">
        <v>41791</v>
      </c>
      <c r="O676" s="205">
        <f t="shared" si="55"/>
        <v>0</v>
      </c>
      <c r="P676" s="555">
        <f>(1+$R$1)*Table33[[#This Row],[Hours]]</f>
        <v>0</v>
      </c>
      <c r="Q676" s="207">
        <f t="shared" si="54"/>
        <v>0</v>
      </c>
      <c r="R676" s="208">
        <f t="shared" si="56"/>
        <v>0</v>
      </c>
      <c r="S676" s="208">
        <f t="shared" si="57"/>
        <v>0</v>
      </c>
      <c r="T676" s="208" t="str">
        <f t="shared" si="58"/>
        <v/>
      </c>
      <c r="U676" s="195">
        <f>Table33[[#This Row],[gal/100ft]]*Table33[[#This Row],[QTY]]/100</f>
        <v>0</v>
      </c>
      <c r="V676" s="195"/>
      <c r="W676" s="195"/>
      <c r="X676" s="195"/>
      <c r="Y676" s="195"/>
    </row>
    <row r="677" spans="1:25" ht="12.75" x14ac:dyDescent="0.2">
      <c r="A677" s="195" t="s">
        <v>602</v>
      </c>
      <c r="B677" s="536" t="s">
        <v>874</v>
      </c>
      <c r="C677" s="195" t="s">
        <v>639</v>
      </c>
      <c r="D677" s="195" t="s">
        <v>640</v>
      </c>
      <c r="E677" s="288"/>
      <c r="F677" s="204">
        <v>3</v>
      </c>
      <c r="G677" s="204" t="s">
        <v>576</v>
      </c>
      <c r="H677" s="197">
        <v>1.25</v>
      </c>
      <c r="I677" s="198"/>
      <c r="J677" s="205">
        <v>2.4500000000000002</v>
      </c>
      <c r="K677" s="287">
        <v>2.4500000000000002</v>
      </c>
      <c r="L677" s="206">
        <v>7.84</v>
      </c>
      <c r="M677" s="286">
        <v>7.84</v>
      </c>
      <c r="N677" s="552">
        <v>41791</v>
      </c>
      <c r="O677" s="205">
        <f t="shared" si="55"/>
        <v>0</v>
      </c>
      <c r="P677" s="555">
        <f>(1+$R$1)*Table33[[#This Row],[Hours]]</f>
        <v>0</v>
      </c>
      <c r="Q677" s="207">
        <f t="shared" si="54"/>
        <v>0</v>
      </c>
      <c r="R677" s="208">
        <f t="shared" si="56"/>
        <v>0</v>
      </c>
      <c r="S677" s="208">
        <f t="shared" si="57"/>
        <v>0</v>
      </c>
      <c r="T677" s="208" t="str">
        <f t="shared" si="58"/>
        <v/>
      </c>
      <c r="U677" s="195">
        <f>Table33[[#This Row],[gal/100ft]]*Table33[[#This Row],[QTY]]/100</f>
        <v>0</v>
      </c>
      <c r="V677" s="195"/>
      <c r="W677" s="195"/>
      <c r="X677" s="195"/>
      <c r="Y677" s="195"/>
    </row>
    <row r="678" spans="1:25" ht="12.75" x14ac:dyDescent="0.2">
      <c r="A678" s="195" t="s">
        <v>602</v>
      </c>
      <c r="B678" s="536" t="s">
        <v>874</v>
      </c>
      <c r="C678" s="195" t="s">
        <v>639</v>
      </c>
      <c r="D678" s="195" t="s">
        <v>640</v>
      </c>
      <c r="E678" s="288"/>
      <c r="F678" s="204">
        <v>3</v>
      </c>
      <c r="G678" s="204" t="s">
        <v>576</v>
      </c>
      <c r="H678" s="197">
        <v>1.5</v>
      </c>
      <c r="I678" s="198"/>
      <c r="J678" s="205">
        <v>2.88</v>
      </c>
      <c r="K678" s="287">
        <v>2.88</v>
      </c>
      <c r="L678" s="206">
        <v>7.84</v>
      </c>
      <c r="M678" s="286">
        <v>7.84</v>
      </c>
      <c r="N678" s="552">
        <v>41791</v>
      </c>
      <c r="O678" s="205">
        <f t="shared" si="55"/>
        <v>0</v>
      </c>
      <c r="P678" s="555">
        <f>(1+$R$1)*Table33[[#This Row],[Hours]]</f>
        <v>0</v>
      </c>
      <c r="Q678" s="207">
        <f t="shared" si="54"/>
        <v>0</v>
      </c>
      <c r="R678" s="208">
        <f t="shared" si="56"/>
        <v>0</v>
      </c>
      <c r="S678" s="208">
        <f t="shared" si="57"/>
        <v>0</v>
      </c>
      <c r="T678" s="208" t="str">
        <f t="shared" si="58"/>
        <v/>
      </c>
      <c r="U678" s="195">
        <f>Table33[[#This Row],[gal/100ft]]*Table33[[#This Row],[QTY]]/100</f>
        <v>0</v>
      </c>
      <c r="V678" s="195"/>
      <c r="W678" s="195"/>
      <c r="X678" s="195"/>
      <c r="Y678" s="195"/>
    </row>
    <row r="679" spans="1:25" ht="12.75" x14ac:dyDescent="0.2">
      <c r="A679" s="195" t="s">
        <v>602</v>
      </c>
      <c r="B679" s="536" t="s">
        <v>874</v>
      </c>
      <c r="C679" s="195" t="s">
        <v>639</v>
      </c>
      <c r="D679" s="195" t="s">
        <v>640</v>
      </c>
      <c r="E679" s="288"/>
      <c r="F679" s="204">
        <v>3</v>
      </c>
      <c r="G679" s="204" t="s">
        <v>576</v>
      </c>
      <c r="H679" s="197">
        <v>2</v>
      </c>
      <c r="I679" s="198"/>
      <c r="J679" s="205">
        <v>3.74</v>
      </c>
      <c r="K679" s="287">
        <v>3.74</v>
      </c>
      <c r="L679" s="206">
        <v>8.92</v>
      </c>
      <c r="M679" s="286">
        <v>8.92</v>
      </c>
      <c r="N679" s="552">
        <v>41791</v>
      </c>
      <c r="O679" s="205">
        <f t="shared" si="55"/>
        <v>0</v>
      </c>
      <c r="P679" s="555">
        <f>(1+$R$1)*Table33[[#This Row],[Hours]]</f>
        <v>0</v>
      </c>
      <c r="Q679" s="207">
        <f t="shared" si="54"/>
        <v>0</v>
      </c>
      <c r="R679" s="208">
        <f t="shared" si="56"/>
        <v>0</v>
      </c>
      <c r="S679" s="208">
        <f t="shared" si="57"/>
        <v>0</v>
      </c>
      <c r="T679" s="208" t="str">
        <f t="shared" si="58"/>
        <v/>
      </c>
      <c r="U679" s="195">
        <f>Table33[[#This Row],[gal/100ft]]*Table33[[#This Row],[QTY]]/100</f>
        <v>0</v>
      </c>
      <c r="V679" s="195"/>
      <c r="W679" s="195"/>
      <c r="X679" s="195"/>
      <c r="Y679" s="195"/>
    </row>
    <row r="680" spans="1:25" ht="12.75" x14ac:dyDescent="0.2">
      <c r="A680" s="195" t="s">
        <v>602</v>
      </c>
      <c r="B680" s="536" t="s">
        <v>874</v>
      </c>
      <c r="C680" s="195" t="s">
        <v>639</v>
      </c>
      <c r="D680" s="195" t="s">
        <v>640</v>
      </c>
      <c r="E680" s="288"/>
      <c r="F680" s="204">
        <v>3</v>
      </c>
      <c r="G680" s="204" t="s">
        <v>576</v>
      </c>
      <c r="H680" s="197">
        <v>2.5</v>
      </c>
      <c r="I680" s="198"/>
      <c r="J680" s="205">
        <v>4.68</v>
      </c>
      <c r="K680" s="287">
        <v>4.68</v>
      </c>
      <c r="L680" s="206"/>
      <c r="M680" s="286"/>
      <c r="N680" s="552">
        <v>41791</v>
      </c>
      <c r="O680" s="205">
        <f t="shared" si="55"/>
        <v>0</v>
      </c>
      <c r="P680" s="555">
        <f>(1+$R$1)*Table33[[#This Row],[Hours]]</f>
        <v>0</v>
      </c>
      <c r="Q680" s="207">
        <f t="shared" si="54"/>
        <v>0</v>
      </c>
      <c r="R680" s="208">
        <f t="shared" si="56"/>
        <v>0</v>
      </c>
      <c r="S680" s="208">
        <f t="shared" si="57"/>
        <v>0</v>
      </c>
      <c r="T680" s="208" t="str">
        <f t="shared" si="58"/>
        <v/>
      </c>
      <c r="U680" s="195">
        <f>Table33[[#This Row],[gal/100ft]]*Table33[[#This Row],[QTY]]/100</f>
        <v>0</v>
      </c>
      <c r="V680" s="195"/>
      <c r="W680" s="195"/>
      <c r="X680" s="195"/>
      <c r="Y680" s="195"/>
    </row>
    <row r="681" spans="1:25" ht="12.75" x14ac:dyDescent="0.2">
      <c r="A681" s="195" t="s">
        <v>602</v>
      </c>
      <c r="B681" s="536" t="s">
        <v>874</v>
      </c>
      <c r="C681" s="195" t="s">
        <v>639</v>
      </c>
      <c r="D681" s="195" t="s">
        <v>640</v>
      </c>
      <c r="E681" s="288"/>
      <c r="F681" s="204">
        <v>3</v>
      </c>
      <c r="G681" s="204" t="s">
        <v>576</v>
      </c>
      <c r="H681" s="197">
        <v>3</v>
      </c>
      <c r="I681" s="198"/>
      <c r="J681" s="205">
        <v>5.07</v>
      </c>
      <c r="K681" s="287">
        <v>5.07</v>
      </c>
      <c r="L681" s="206"/>
      <c r="M681" s="286"/>
      <c r="N681" s="552">
        <v>41791</v>
      </c>
      <c r="O681" s="205">
        <f t="shared" si="55"/>
        <v>0</v>
      </c>
      <c r="P681" s="555">
        <f>(1+$R$1)*Table33[[#This Row],[Hours]]</f>
        <v>0</v>
      </c>
      <c r="Q681" s="207">
        <f t="shared" si="54"/>
        <v>0</v>
      </c>
      <c r="R681" s="208">
        <f t="shared" si="56"/>
        <v>0</v>
      </c>
      <c r="S681" s="208">
        <f t="shared" si="57"/>
        <v>0</v>
      </c>
      <c r="T681" s="208" t="str">
        <f t="shared" si="58"/>
        <v/>
      </c>
      <c r="U681" s="195">
        <f>Table33[[#This Row],[gal/100ft]]*Table33[[#This Row],[QTY]]/100</f>
        <v>0</v>
      </c>
      <c r="V681" s="195"/>
      <c r="W681" s="195"/>
      <c r="X681" s="195"/>
      <c r="Y681" s="195"/>
    </row>
    <row r="682" spans="1:25" ht="12.75" x14ac:dyDescent="0.2">
      <c r="A682" s="195" t="s">
        <v>606</v>
      </c>
      <c r="B682" s="195" t="s">
        <v>605</v>
      </c>
      <c r="C682" s="195" t="s">
        <v>627</v>
      </c>
      <c r="D682" s="195" t="s">
        <v>632</v>
      </c>
      <c r="E682" s="288"/>
      <c r="F682" s="204">
        <v>0.5</v>
      </c>
      <c r="G682" s="204"/>
      <c r="H682" s="197"/>
      <c r="I682" s="198"/>
      <c r="J682" s="205">
        <v>0.74</v>
      </c>
      <c r="K682" s="287">
        <v>0.17</v>
      </c>
      <c r="L682" s="206">
        <v>1.41</v>
      </c>
      <c r="M682" s="286">
        <v>1.41</v>
      </c>
      <c r="N682" s="552">
        <v>41791</v>
      </c>
      <c r="O682" s="205">
        <f t="shared" si="55"/>
        <v>0</v>
      </c>
      <c r="P682" s="555">
        <f>(1+$R$1)*Table33[[#This Row],[Hours]]</f>
        <v>0</v>
      </c>
      <c r="Q682" s="207">
        <f t="shared" si="54"/>
        <v>0</v>
      </c>
      <c r="R682" s="208">
        <f t="shared" si="56"/>
        <v>0</v>
      </c>
      <c r="S682" s="208">
        <f t="shared" si="57"/>
        <v>0</v>
      </c>
      <c r="T682" s="208" t="str">
        <f t="shared" si="58"/>
        <v/>
      </c>
      <c r="U682" s="195">
        <f>Table33[[#This Row],[gal/100ft]]*Table33[[#This Row],[QTY]]/100</f>
        <v>0</v>
      </c>
      <c r="V682" s="195"/>
      <c r="W682" s="195"/>
      <c r="X682" s="195"/>
      <c r="Y682" s="195"/>
    </row>
    <row r="683" spans="1:25" ht="12.75" x14ac:dyDescent="0.2">
      <c r="A683" s="195" t="s">
        <v>606</v>
      </c>
      <c r="B683" s="195" t="s">
        <v>605</v>
      </c>
      <c r="C683" s="195" t="s">
        <v>627</v>
      </c>
      <c r="D683" s="195" t="s">
        <v>632</v>
      </c>
      <c r="E683" s="288"/>
      <c r="F683" s="204">
        <v>0.75</v>
      </c>
      <c r="G683" s="204"/>
      <c r="H683" s="197"/>
      <c r="I683" s="198"/>
      <c r="J683" s="205">
        <v>0.8</v>
      </c>
      <c r="K683" s="287">
        <v>0.21</v>
      </c>
      <c r="L683" s="206">
        <v>1.93</v>
      </c>
      <c r="M683" s="286">
        <v>1.93</v>
      </c>
      <c r="N683" s="552">
        <v>41791</v>
      </c>
      <c r="O683" s="205">
        <f t="shared" si="55"/>
        <v>0</v>
      </c>
      <c r="P683" s="555">
        <f>(1+$R$1)*Table33[[#This Row],[Hours]]</f>
        <v>0</v>
      </c>
      <c r="Q683" s="207">
        <f t="shared" si="54"/>
        <v>0</v>
      </c>
      <c r="R683" s="208">
        <f t="shared" si="56"/>
        <v>0</v>
      </c>
      <c r="S683" s="208">
        <f t="shared" si="57"/>
        <v>0</v>
      </c>
      <c r="T683" s="208" t="str">
        <f t="shared" si="58"/>
        <v/>
      </c>
      <c r="U683" s="195">
        <f>Table33[[#This Row],[gal/100ft]]*Table33[[#This Row],[QTY]]/100</f>
        <v>0</v>
      </c>
      <c r="V683" s="195"/>
      <c r="W683" s="195"/>
      <c r="X683" s="195"/>
      <c r="Y683" s="195"/>
    </row>
    <row r="684" spans="1:25" ht="12.75" x14ac:dyDescent="0.2">
      <c r="A684" s="195" t="s">
        <v>606</v>
      </c>
      <c r="B684" s="195" t="s">
        <v>605</v>
      </c>
      <c r="C684" s="195" t="s">
        <v>627</v>
      </c>
      <c r="D684" s="195" t="s">
        <v>632</v>
      </c>
      <c r="E684" s="288"/>
      <c r="F684" s="204">
        <v>1</v>
      </c>
      <c r="G684" s="204"/>
      <c r="H684" s="197"/>
      <c r="I684" s="198"/>
      <c r="J684" s="205">
        <v>0.87</v>
      </c>
      <c r="K684" s="287">
        <v>0.23</v>
      </c>
      <c r="L684" s="206">
        <v>2.46</v>
      </c>
      <c r="M684" s="286">
        <v>2.46</v>
      </c>
      <c r="N684" s="552">
        <v>41791</v>
      </c>
      <c r="O684" s="205">
        <f t="shared" si="55"/>
        <v>0</v>
      </c>
      <c r="P684" s="555">
        <f>(1+$R$1)*Table33[[#This Row],[Hours]]</f>
        <v>0</v>
      </c>
      <c r="Q684" s="207">
        <f t="shared" si="54"/>
        <v>0</v>
      </c>
      <c r="R684" s="208">
        <f t="shared" si="56"/>
        <v>0</v>
      </c>
      <c r="S684" s="208">
        <f t="shared" si="57"/>
        <v>0</v>
      </c>
      <c r="T684" s="208" t="str">
        <f t="shared" si="58"/>
        <v/>
      </c>
      <c r="U684" s="195">
        <f>Table33[[#This Row],[gal/100ft]]*Table33[[#This Row],[QTY]]/100</f>
        <v>0</v>
      </c>
      <c r="V684" s="195"/>
      <c r="W684" s="195"/>
      <c r="X684" s="195"/>
      <c r="Y684" s="195"/>
    </row>
    <row r="685" spans="1:25" ht="12.75" x14ac:dyDescent="0.2">
      <c r="A685" s="195" t="s">
        <v>606</v>
      </c>
      <c r="B685" s="195" t="s">
        <v>605</v>
      </c>
      <c r="C685" s="195" t="s">
        <v>627</v>
      </c>
      <c r="D685" s="195" t="s">
        <v>632</v>
      </c>
      <c r="E685" s="288"/>
      <c r="F685" s="204">
        <v>1.25</v>
      </c>
      <c r="G685" s="204"/>
      <c r="H685" s="197"/>
      <c r="I685" s="198"/>
      <c r="J685" s="205">
        <v>0.97</v>
      </c>
      <c r="K685" s="287">
        <v>0.26</v>
      </c>
      <c r="L685" s="206">
        <v>3.75</v>
      </c>
      <c r="M685" s="286">
        <v>3.75</v>
      </c>
      <c r="N685" s="552">
        <v>41791</v>
      </c>
      <c r="O685" s="205">
        <f t="shared" si="55"/>
        <v>0</v>
      </c>
      <c r="P685" s="555">
        <f>(1+$R$1)*Table33[[#This Row],[Hours]]</f>
        <v>0</v>
      </c>
      <c r="Q685" s="207">
        <f t="shared" si="54"/>
        <v>0</v>
      </c>
      <c r="R685" s="208">
        <f t="shared" si="56"/>
        <v>0</v>
      </c>
      <c r="S685" s="208">
        <f t="shared" si="57"/>
        <v>0</v>
      </c>
      <c r="T685" s="208" t="str">
        <f t="shared" si="58"/>
        <v/>
      </c>
      <c r="U685" s="195">
        <f>Table33[[#This Row],[gal/100ft]]*Table33[[#This Row],[QTY]]/100</f>
        <v>0</v>
      </c>
      <c r="V685" s="195"/>
      <c r="W685" s="195"/>
      <c r="X685" s="195"/>
      <c r="Y685" s="195"/>
    </row>
    <row r="686" spans="1:25" ht="12.75" x14ac:dyDescent="0.2">
      <c r="A686" s="195" t="s">
        <v>606</v>
      </c>
      <c r="B686" s="195" t="s">
        <v>605</v>
      </c>
      <c r="C686" s="195" t="s">
        <v>627</v>
      </c>
      <c r="D686" s="195" t="s">
        <v>632</v>
      </c>
      <c r="E686" s="288"/>
      <c r="F686" s="204">
        <v>1.5</v>
      </c>
      <c r="G686" s="204"/>
      <c r="H686" s="197"/>
      <c r="I686" s="198"/>
      <c r="J686" s="205">
        <v>1.02</v>
      </c>
      <c r="K686" s="287">
        <v>0.34</v>
      </c>
      <c r="L686" s="206">
        <v>10.69</v>
      </c>
      <c r="M686" s="286">
        <v>10.69</v>
      </c>
      <c r="N686" s="552">
        <v>41791</v>
      </c>
      <c r="O686" s="205">
        <f t="shared" si="55"/>
        <v>0</v>
      </c>
      <c r="P686" s="555">
        <f>(1+$R$1)*Table33[[#This Row],[Hours]]</f>
        <v>0</v>
      </c>
      <c r="Q686" s="207">
        <f t="shared" si="54"/>
        <v>0</v>
      </c>
      <c r="R686" s="208">
        <f t="shared" si="56"/>
        <v>0</v>
      </c>
      <c r="S686" s="208">
        <f t="shared" si="57"/>
        <v>0</v>
      </c>
      <c r="T686" s="208" t="str">
        <f t="shared" si="58"/>
        <v/>
      </c>
      <c r="U686" s="195">
        <f>Table33[[#This Row],[gal/100ft]]*Table33[[#This Row],[QTY]]/100</f>
        <v>0</v>
      </c>
      <c r="V686" s="195"/>
      <c r="W686" s="195"/>
      <c r="X686" s="195"/>
      <c r="Y686" s="195"/>
    </row>
    <row r="687" spans="1:25" ht="12.75" x14ac:dyDescent="0.2">
      <c r="A687" s="195" t="s">
        <v>606</v>
      </c>
      <c r="B687" s="195" t="s">
        <v>605</v>
      </c>
      <c r="C687" s="195" t="s">
        <v>627</v>
      </c>
      <c r="D687" s="195" t="s">
        <v>632</v>
      </c>
      <c r="E687" s="288"/>
      <c r="F687" s="204">
        <v>2</v>
      </c>
      <c r="G687" s="204"/>
      <c r="H687" s="197"/>
      <c r="I687" s="198"/>
      <c r="J687" s="205">
        <v>1.1599999999999999</v>
      </c>
      <c r="K687" s="287">
        <v>0.39</v>
      </c>
      <c r="L687" s="206">
        <v>15.32</v>
      </c>
      <c r="M687" s="286">
        <v>15.32</v>
      </c>
      <c r="N687" s="552">
        <v>41791</v>
      </c>
      <c r="O687" s="205">
        <f t="shared" si="55"/>
        <v>0</v>
      </c>
      <c r="P687" s="555">
        <f>(1+$R$1)*Table33[[#This Row],[Hours]]</f>
        <v>0</v>
      </c>
      <c r="Q687" s="207">
        <f t="shared" si="54"/>
        <v>0</v>
      </c>
      <c r="R687" s="208">
        <f t="shared" si="56"/>
        <v>0</v>
      </c>
      <c r="S687" s="208">
        <f t="shared" si="57"/>
        <v>0</v>
      </c>
      <c r="T687" s="208" t="str">
        <f t="shared" si="58"/>
        <v/>
      </c>
      <c r="U687" s="195">
        <f>Table33[[#This Row],[gal/100ft]]*Table33[[#This Row],[QTY]]/100</f>
        <v>0</v>
      </c>
      <c r="V687" s="195"/>
      <c r="W687" s="195"/>
      <c r="X687" s="195"/>
      <c r="Y687" s="195"/>
    </row>
    <row r="688" spans="1:25" ht="12.75" x14ac:dyDescent="0.2">
      <c r="A688" s="195" t="s">
        <v>606</v>
      </c>
      <c r="B688" s="195" t="s">
        <v>605</v>
      </c>
      <c r="C688" s="195" t="s">
        <v>627</v>
      </c>
      <c r="D688" s="195" t="s">
        <v>632</v>
      </c>
      <c r="E688" s="288"/>
      <c r="F688" s="204">
        <v>2.5</v>
      </c>
      <c r="G688" s="204"/>
      <c r="H688" s="197"/>
      <c r="I688" s="198"/>
      <c r="J688" s="205">
        <v>1.44</v>
      </c>
      <c r="K688" s="287">
        <v>0.43</v>
      </c>
      <c r="L688" s="206">
        <v>25.66</v>
      </c>
      <c r="M688" s="286">
        <v>25.66</v>
      </c>
      <c r="N688" s="552">
        <v>41791</v>
      </c>
      <c r="O688" s="205">
        <f t="shared" si="55"/>
        <v>0</v>
      </c>
      <c r="P688" s="555">
        <f>(1+$R$1)*Table33[[#This Row],[Hours]]</f>
        <v>0</v>
      </c>
      <c r="Q688" s="207">
        <f t="shared" si="54"/>
        <v>0</v>
      </c>
      <c r="R688" s="208">
        <f t="shared" si="56"/>
        <v>0</v>
      </c>
      <c r="S688" s="208">
        <f t="shared" si="57"/>
        <v>0</v>
      </c>
      <c r="T688" s="208" t="str">
        <f t="shared" si="58"/>
        <v/>
      </c>
      <c r="U688" s="195">
        <f>Table33[[#This Row],[gal/100ft]]*Table33[[#This Row],[QTY]]/100</f>
        <v>0</v>
      </c>
      <c r="V688" s="195"/>
      <c r="W688" s="195"/>
      <c r="X688" s="195"/>
      <c r="Y688" s="195"/>
    </row>
    <row r="689" spans="1:25" ht="12.75" x14ac:dyDescent="0.2">
      <c r="A689" s="195" t="s">
        <v>606</v>
      </c>
      <c r="B689" s="195" t="s">
        <v>605</v>
      </c>
      <c r="C689" s="195" t="s">
        <v>627</v>
      </c>
      <c r="D689" s="195" t="s">
        <v>632</v>
      </c>
      <c r="E689" s="288"/>
      <c r="F689" s="204">
        <v>3</v>
      </c>
      <c r="G689" s="204"/>
      <c r="H689" s="197"/>
      <c r="I689" s="198"/>
      <c r="J689" s="205">
        <v>1.72</v>
      </c>
      <c r="K689" s="287">
        <v>0.59</v>
      </c>
      <c r="L689" s="206">
        <v>42.36</v>
      </c>
      <c r="M689" s="286">
        <v>42.36</v>
      </c>
      <c r="N689" s="552">
        <v>41791</v>
      </c>
      <c r="O689" s="205">
        <f t="shared" si="55"/>
        <v>0</v>
      </c>
      <c r="P689" s="555">
        <f>(1+$R$1)*Table33[[#This Row],[Hours]]</f>
        <v>0</v>
      </c>
      <c r="Q689" s="207">
        <f t="shared" si="54"/>
        <v>0</v>
      </c>
      <c r="R689" s="208">
        <f t="shared" si="56"/>
        <v>0</v>
      </c>
      <c r="S689" s="208">
        <f t="shared" si="57"/>
        <v>0</v>
      </c>
      <c r="T689" s="208" t="str">
        <f t="shared" si="58"/>
        <v/>
      </c>
      <c r="U689" s="195">
        <f>Table33[[#This Row],[gal/100ft]]*Table33[[#This Row],[QTY]]/100</f>
        <v>0</v>
      </c>
      <c r="V689" s="195"/>
      <c r="W689" s="195"/>
      <c r="X689" s="195"/>
      <c r="Y689" s="195"/>
    </row>
    <row r="690" spans="1:25" ht="12.75" x14ac:dyDescent="0.2">
      <c r="A690" s="195" t="s">
        <v>606</v>
      </c>
      <c r="B690" s="195" t="s">
        <v>605</v>
      </c>
      <c r="C690" s="195" t="s">
        <v>627</v>
      </c>
      <c r="D690" s="195" t="s">
        <v>632</v>
      </c>
      <c r="E690" s="288"/>
      <c r="F690" s="204">
        <v>3.5</v>
      </c>
      <c r="G690" s="204"/>
      <c r="H690" s="197"/>
      <c r="I690" s="198"/>
      <c r="J690" s="205">
        <v>2.0299999999999998</v>
      </c>
      <c r="K690" s="287">
        <v>0.59</v>
      </c>
      <c r="L690" s="206">
        <v>66.040000000000006</v>
      </c>
      <c r="M690" s="286">
        <v>66.040000000000006</v>
      </c>
      <c r="N690" s="552">
        <v>41791</v>
      </c>
      <c r="O690" s="205">
        <f t="shared" si="55"/>
        <v>0</v>
      </c>
      <c r="P690" s="555">
        <f>(1+$R$1)*Table33[[#This Row],[Hours]]</f>
        <v>0</v>
      </c>
      <c r="Q690" s="207">
        <f t="shared" si="54"/>
        <v>0</v>
      </c>
      <c r="R690" s="208">
        <f t="shared" si="56"/>
        <v>0</v>
      </c>
      <c r="S690" s="208">
        <f t="shared" si="57"/>
        <v>0</v>
      </c>
      <c r="T690" s="208" t="str">
        <f t="shared" si="58"/>
        <v/>
      </c>
      <c r="U690" s="195">
        <f>Table33[[#This Row],[gal/100ft]]*Table33[[#This Row],[QTY]]/100</f>
        <v>0</v>
      </c>
      <c r="V690" s="195"/>
      <c r="W690" s="195"/>
      <c r="X690" s="195"/>
      <c r="Y690" s="195"/>
    </row>
    <row r="691" spans="1:25" ht="12.75" x14ac:dyDescent="0.2">
      <c r="A691" s="195" t="s">
        <v>606</v>
      </c>
      <c r="B691" s="195" t="s">
        <v>605</v>
      </c>
      <c r="C691" s="195" t="s">
        <v>627</v>
      </c>
      <c r="D691" s="195" t="s">
        <v>632</v>
      </c>
      <c r="E691" s="288"/>
      <c r="F691" s="204">
        <v>4</v>
      </c>
      <c r="G691" s="204"/>
      <c r="H691" s="197"/>
      <c r="I691" s="198"/>
      <c r="J691" s="205">
        <v>2.34</v>
      </c>
      <c r="K691" s="287">
        <v>0.72</v>
      </c>
      <c r="L691" s="206">
        <v>87.78</v>
      </c>
      <c r="M691" s="286">
        <v>87.78</v>
      </c>
      <c r="N691" s="552">
        <v>41791</v>
      </c>
      <c r="O691" s="205">
        <f t="shared" si="55"/>
        <v>0</v>
      </c>
      <c r="P691" s="555">
        <f>(1+$R$1)*Table33[[#This Row],[Hours]]</f>
        <v>0</v>
      </c>
      <c r="Q691" s="207">
        <f t="shared" si="54"/>
        <v>0</v>
      </c>
      <c r="R691" s="208">
        <f t="shared" si="56"/>
        <v>0</v>
      </c>
      <c r="S691" s="208">
        <f t="shared" si="57"/>
        <v>0</v>
      </c>
      <c r="T691" s="208" t="str">
        <f t="shared" si="58"/>
        <v/>
      </c>
      <c r="U691" s="195">
        <f>Table33[[#This Row],[gal/100ft]]*Table33[[#This Row],[QTY]]/100</f>
        <v>0</v>
      </c>
      <c r="V691" s="195"/>
      <c r="W691" s="195"/>
      <c r="X691" s="195"/>
      <c r="Y691" s="195"/>
    </row>
    <row r="692" spans="1:25" ht="12.75" x14ac:dyDescent="0.2">
      <c r="A692" s="195" t="s">
        <v>612</v>
      </c>
      <c r="B692" s="536" t="s">
        <v>879</v>
      </c>
      <c r="C692" s="195" t="s">
        <v>627</v>
      </c>
      <c r="D692" s="536" t="s">
        <v>880</v>
      </c>
      <c r="E692" s="288"/>
      <c r="F692" s="204">
        <v>1</v>
      </c>
      <c r="G692" s="204"/>
      <c r="H692" s="197"/>
      <c r="I692" s="198"/>
      <c r="J692" s="205"/>
      <c r="K692" s="287"/>
      <c r="L692" s="206">
        <v>299</v>
      </c>
      <c r="M692" s="286">
        <v>299</v>
      </c>
      <c r="N692" s="552">
        <v>41791</v>
      </c>
      <c r="O692" s="205">
        <f t="shared" si="55"/>
        <v>0</v>
      </c>
      <c r="P692" s="555">
        <f>(1+$R$1)*Table33[[#This Row],[Hours]]</f>
        <v>0</v>
      </c>
      <c r="Q692" s="207">
        <f t="shared" si="54"/>
        <v>0</v>
      </c>
      <c r="R692" s="208">
        <f t="shared" si="56"/>
        <v>0</v>
      </c>
      <c r="S692" s="208">
        <f t="shared" si="57"/>
        <v>0</v>
      </c>
      <c r="T692" s="208" t="str">
        <f t="shared" si="58"/>
        <v/>
      </c>
      <c r="U692" s="195">
        <f>Table33[[#This Row],[gal/100ft]]*Table33[[#This Row],[QTY]]/100</f>
        <v>0</v>
      </c>
      <c r="V692" s="195"/>
      <c r="W692" s="195"/>
      <c r="X692" s="195"/>
      <c r="Y692" s="195"/>
    </row>
    <row r="693" spans="1:25" ht="12.75" x14ac:dyDescent="0.2">
      <c r="A693" s="195" t="s">
        <v>612</v>
      </c>
      <c r="B693" s="536" t="s">
        <v>879</v>
      </c>
      <c r="C693" s="195" t="s">
        <v>627</v>
      </c>
      <c r="D693" s="536" t="s">
        <v>880</v>
      </c>
      <c r="E693" s="288"/>
      <c r="F693" s="204">
        <v>1.25</v>
      </c>
      <c r="G693" s="204"/>
      <c r="H693" s="197"/>
      <c r="I693" s="198"/>
      <c r="J693" s="205">
        <v>1.02</v>
      </c>
      <c r="K693" s="287">
        <v>1.02</v>
      </c>
      <c r="L693" s="206">
        <v>351</v>
      </c>
      <c r="M693" s="286">
        <v>351</v>
      </c>
      <c r="N693" s="552">
        <v>41791</v>
      </c>
      <c r="O693" s="205">
        <f t="shared" si="55"/>
        <v>0</v>
      </c>
      <c r="P693" s="555">
        <f>(1+$R$1)*Table33[[#This Row],[Hours]]</f>
        <v>0</v>
      </c>
      <c r="Q693" s="207">
        <f t="shared" si="54"/>
        <v>0</v>
      </c>
      <c r="R693" s="208">
        <f t="shared" si="56"/>
        <v>0</v>
      </c>
      <c r="S693" s="208">
        <f t="shared" si="57"/>
        <v>0</v>
      </c>
      <c r="T693" s="208" t="str">
        <f t="shared" si="58"/>
        <v/>
      </c>
      <c r="U693" s="195">
        <f>Table33[[#This Row],[gal/100ft]]*Table33[[#This Row],[QTY]]/100</f>
        <v>0</v>
      </c>
      <c r="V693" s="195"/>
      <c r="W693" s="195"/>
      <c r="X693" s="195"/>
      <c r="Y693" s="195"/>
    </row>
    <row r="694" spans="1:25" ht="12.75" x14ac:dyDescent="0.2">
      <c r="A694" s="195" t="s">
        <v>612</v>
      </c>
      <c r="B694" s="536" t="s">
        <v>879</v>
      </c>
      <c r="C694" s="195" t="s">
        <v>627</v>
      </c>
      <c r="D694" s="536" t="s">
        <v>880</v>
      </c>
      <c r="E694" s="288"/>
      <c r="F694" s="204">
        <v>1.5</v>
      </c>
      <c r="G694" s="204"/>
      <c r="H694" s="197"/>
      <c r="I694" s="198"/>
      <c r="J694" s="205">
        <v>1.08</v>
      </c>
      <c r="K694" s="287">
        <v>1.08</v>
      </c>
      <c r="L694" s="206">
        <v>249</v>
      </c>
      <c r="M694" s="286">
        <v>249</v>
      </c>
      <c r="N694" s="552">
        <v>41791</v>
      </c>
      <c r="O694" s="205">
        <f t="shared" si="55"/>
        <v>0</v>
      </c>
      <c r="P694" s="555">
        <f>(1+$R$1)*Table33[[#This Row],[Hours]]</f>
        <v>0</v>
      </c>
      <c r="Q694" s="207">
        <f t="shared" si="54"/>
        <v>0</v>
      </c>
      <c r="R694" s="208">
        <f t="shared" si="56"/>
        <v>0</v>
      </c>
      <c r="S694" s="208">
        <f t="shared" si="57"/>
        <v>0</v>
      </c>
      <c r="T694" s="208" t="str">
        <f t="shared" si="58"/>
        <v/>
      </c>
      <c r="U694" s="195">
        <f>Table33[[#This Row],[gal/100ft]]*Table33[[#This Row],[QTY]]/100</f>
        <v>0</v>
      </c>
      <c r="V694" s="195"/>
      <c r="W694" s="195"/>
      <c r="X694" s="195"/>
      <c r="Y694" s="195"/>
    </row>
    <row r="695" spans="1:25" ht="12.75" x14ac:dyDescent="0.2">
      <c r="A695" s="195" t="s">
        <v>612</v>
      </c>
      <c r="B695" s="536" t="s">
        <v>879</v>
      </c>
      <c r="C695" s="195" t="s">
        <v>627</v>
      </c>
      <c r="D695" s="536" t="s">
        <v>880</v>
      </c>
      <c r="E695" s="288"/>
      <c r="F695" s="204">
        <v>2</v>
      </c>
      <c r="G695" s="204"/>
      <c r="H695" s="197"/>
      <c r="I695" s="198"/>
      <c r="J695" s="205">
        <v>1.33</v>
      </c>
      <c r="K695" s="287">
        <v>1.33</v>
      </c>
      <c r="L695" s="206">
        <v>260.5</v>
      </c>
      <c r="M695" s="286">
        <v>260.5</v>
      </c>
      <c r="N695" s="552">
        <v>41791</v>
      </c>
      <c r="O695" s="205">
        <f t="shared" si="55"/>
        <v>0</v>
      </c>
      <c r="P695" s="555">
        <f>(1+$R$1)*Table33[[#This Row],[Hours]]</f>
        <v>0</v>
      </c>
      <c r="Q695" s="207">
        <f t="shared" si="54"/>
        <v>0</v>
      </c>
      <c r="R695" s="208">
        <f t="shared" si="56"/>
        <v>0</v>
      </c>
      <c r="S695" s="208">
        <f t="shared" si="57"/>
        <v>0</v>
      </c>
      <c r="T695" s="208" t="str">
        <f t="shared" si="58"/>
        <v/>
      </c>
      <c r="U695" s="195">
        <f>Table33[[#This Row],[gal/100ft]]*Table33[[#This Row],[QTY]]/100</f>
        <v>0</v>
      </c>
      <c r="V695" s="195"/>
      <c r="W695" s="195"/>
      <c r="X695" s="195"/>
      <c r="Y695" s="195"/>
    </row>
    <row r="696" spans="1:25" ht="12.75" x14ac:dyDescent="0.2">
      <c r="A696" s="195" t="s">
        <v>612</v>
      </c>
      <c r="B696" s="536" t="s">
        <v>879</v>
      </c>
      <c r="C696" s="195" t="s">
        <v>627</v>
      </c>
      <c r="D696" s="536" t="s">
        <v>880</v>
      </c>
      <c r="E696" s="288"/>
      <c r="F696" s="204">
        <v>2.5</v>
      </c>
      <c r="G696" s="204"/>
      <c r="H696" s="197"/>
      <c r="I696" s="198"/>
      <c r="J696" s="205">
        <v>1.43</v>
      </c>
      <c r="K696" s="287">
        <v>1.43</v>
      </c>
      <c r="L696" s="206">
        <v>316.5</v>
      </c>
      <c r="M696" s="286">
        <v>316.5</v>
      </c>
      <c r="N696" s="552">
        <v>41791</v>
      </c>
      <c r="O696" s="205">
        <f t="shared" si="55"/>
        <v>0</v>
      </c>
      <c r="P696" s="555">
        <f>(1+$R$1)*Table33[[#This Row],[Hours]]</f>
        <v>0</v>
      </c>
      <c r="Q696" s="207">
        <f t="shared" si="54"/>
        <v>0</v>
      </c>
      <c r="R696" s="208">
        <f t="shared" si="56"/>
        <v>0</v>
      </c>
      <c r="S696" s="208">
        <f t="shared" si="57"/>
        <v>0</v>
      </c>
      <c r="T696" s="208" t="str">
        <f t="shared" si="58"/>
        <v/>
      </c>
      <c r="U696" s="195">
        <f>Table33[[#This Row],[gal/100ft]]*Table33[[#This Row],[QTY]]/100</f>
        <v>0</v>
      </c>
      <c r="V696" s="195"/>
      <c r="W696" s="195"/>
      <c r="X696" s="195"/>
      <c r="Y696" s="195"/>
    </row>
    <row r="697" spans="1:25" ht="12.75" x14ac:dyDescent="0.2">
      <c r="A697" s="195" t="s">
        <v>612</v>
      </c>
      <c r="B697" s="536" t="s">
        <v>879</v>
      </c>
      <c r="C697" s="195" t="s">
        <v>627</v>
      </c>
      <c r="D697" s="536" t="s">
        <v>880</v>
      </c>
      <c r="E697" s="288"/>
      <c r="F697" s="204">
        <v>3</v>
      </c>
      <c r="G697" s="204"/>
      <c r="H697" s="197"/>
      <c r="I697" s="198"/>
      <c r="J697" s="205">
        <v>1.57</v>
      </c>
      <c r="K697" s="287">
        <v>1.57</v>
      </c>
      <c r="L697" s="206">
        <v>385</v>
      </c>
      <c r="M697" s="286">
        <v>385</v>
      </c>
      <c r="N697" s="552">
        <v>41791</v>
      </c>
      <c r="O697" s="205">
        <f t="shared" si="55"/>
        <v>0</v>
      </c>
      <c r="P697" s="555">
        <f>(1+$R$1)*Table33[[#This Row],[Hours]]</f>
        <v>0</v>
      </c>
      <c r="Q697" s="207">
        <f t="shared" si="54"/>
        <v>0</v>
      </c>
      <c r="R697" s="208">
        <f t="shared" si="56"/>
        <v>0</v>
      </c>
      <c r="S697" s="208">
        <f t="shared" si="57"/>
        <v>0</v>
      </c>
      <c r="T697" s="208" t="str">
        <f t="shared" si="58"/>
        <v/>
      </c>
      <c r="U697" s="195">
        <f>Table33[[#This Row],[gal/100ft]]*Table33[[#This Row],[QTY]]/100</f>
        <v>0</v>
      </c>
      <c r="V697" s="195"/>
      <c r="W697" s="195"/>
      <c r="X697" s="195"/>
      <c r="Y697" s="195"/>
    </row>
    <row r="698" spans="1:25" ht="12.75" x14ac:dyDescent="0.2">
      <c r="A698" s="195" t="s">
        <v>612</v>
      </c>
      <c r="B698" s="536" t="s">
        <v>879</v>
      </c>
      <c r="C698" s="195" t="s">
        <v>627</v>
      </c>
      <c r="D698" s="536" t="s">
        <v>880</v>
      </c>
      <c r="E698" s="288"/>
      <c r="F698" s="204">
        <v>4</v>
      </c>
      <c r="G698" s="204"/>
      <c r="H698" s="197"/>
      <c r="I698" s="198"/>
      <c r="J698" s="205">
        <v>2.11</v>
      </c>
      <c r="K698" s="287">
        <v>2.11</v>
      </c>
      <c r="L698" s="206">
        <v>172.96</v>
      </c>
      <c r="M698" s="286">
        <v>172.96</v>
      </c>
      <c r="N698" s="552">
        <v>41791</v>
      </c>
      <c r="O698" s="205">
        <f t="shared" si="55"/>
        <v>0</v>
      </c>
      <c r="P698" s="555">
        <f>(1+$R$1)*Table33[[#This Row],[Hours]]</f>
        <v>0</v>
      </c>
      <c r="Q698" s="207">
        <f t="shared" si="54"/>
        <v>0</v>
      </c>
      <c r="R698" s="208">
        <f t="shared" si="56"/>
        <v>0</v>
      </c>
      <c r="S698" s="208">
        <f t="shared" si="57"/>
        <v>0</v>
      </c>
      <c r="T698" s="208" t="str">
        <f t="shared" si="58"/>
        <v/>
      </c>
      <c r="U698" s="195">
        <f>Table33[[#This Row],[gal/100ft]]*Table33[[#This Row],[QTY]]/100</f>
        <v>0</v>
      </c>
      <c r="V698" s="195"/>
      <c r="W698" s="195"/>
      <c r="X698" s="195"/>
      <c r="Y698" s="195"/>
    </row>
    <row r="699" spans="1:25" ht="12.75" x14ac:dyDescent="0.2">
      <c r="A699" s="195" t="s">
        <v>612</v>
      </c>
      <c r="B699" s="536" t="s">
        <v>879</v>
      </c>
      <c r="C699" s="195" t="s">
        <v>627</v>
      </c>
      <c r="D699" s="536" t="s">
        <v>880</v>
      </c>
      <c r="E699" s="288"/>
      <c r="F699" s="204">
        <v>6</v>
      </c>
      <c r="G699" s="204"/>
      <c r="H699" s="197"/>
      <c r="I699" s="198"/>
      <c r="J699" s="205">
        <v>3.71</v>
      </c>
      <c r="K699" s="287">
        <v>3.71</v>
      </c>
      <c r="L699" s="206">
        <v>336.64</v>
      </c>
      <c r="M699" s="286">
        <v>336.64</v>
      </c>
      <c r="N699" s="552">
        <v>41791</v>
      </c>
      <c r="O699" s="205">
        <f t="shared" si="55"/>
        <v>0</v>
      </c>
      <c r="P699" s="555">
        <f>(1+$R$1)*Table33[[#This Row],[Hours]]</f>
        <v>0</v>
      </c>
      <c r="Q699" s="207">
        <f t="shared" si="54"/>
        <v>0</v>
      </c>
      <c r="R699" s="208">
        <f t="shared" si="56"/>
        <v>0</v>
      </c>
      <c r="S699" s="208">
        <f t="shared" si="57"/>
        <v>0</v>
      </c>
      <c r="T699" s="208" t="str">
        <f t="shared" si="58"/>
        <v/>
      </c>
      <c r="U699" s="195">
        <f>Table33[[#This Row],[gal/100ft]]*Table33[[#This Row],[QTY]]/100</f>
        <v>0</v>
      </c>
      <c r="V699" s="195"/>
      <c r="W699" s="195"/>
      <c r="X699" s="195"/>
      <c r="Y699" s="195"/>
    </row>
    <row r="700" spans="1:25" ht="12.75" x14ac:dyDescent="0.2">
      <c r="A700" s="195" t="s">
        <v>612</v>
      </c>
      <c r="B700" s="536" t="s">
        <v>879</v>
      </c>
      <c r="C700" s="195" t="s">
        <v>627</v>
      </c>
      <c r="D700" s="536" t="s">
        <v>880</v>
      </c>
      <c r="E700" s="288"/>
      <c r="F700" s="204">
        <v>8</v>
      </c>
      <c r="G700" s="204"/>
      <c r="H700" s="197"/>
      <c r="I700" s="198"/>
      <c r="J700" s="205">
        <v>5.3</v>
      </c>
      <c r="K700" s="287">
        <v>5.3</v>
      </c>
      <c r="L700" s="206">
        <v>497.12</v>
      </c>
      <c r="M700" s="286">
        <v>497.12</v>
      </c>
      <c r="N700" s="552">
        <v>41791</v>
      </c>
      <c r="O700" s="205">
        <f t="shared" si="55"/>
        <v>0</v>
      </c>
      <c r="P700" s="555">
        <f>(1+$R$1)*Table33[[#This Row],[Hours]]</f>
        <v>0</v>
      </c>
      <c r="Q700" s="207">
        <f t="shared" si="54"/>
        <v>0</v>
      </c>
      <c r="R700" s="208">
        <f t="shared" si="56"/>
        <v>0</v>
      </c>
      <c r="S700" s="208">
        <f t="shared" si="57"/>
        <v>0</v>
      </c>
      <c r="T700" s="208" t="str">
        <f t="shared" si="58"/>
        <v/>
      </c>
      <c r="U700" s="195">
        <f>Table33[[#This Row],[gal/100ft]]*Table33[[#This Row],[QTY]]/100</f>
        <v>0</v>
      </c>
      <c r="V700" s="195"/>
      <c r="W700" s="195"/>
      <c r="X700" s="195"/>
      <c r="Y700" s="195"/>
    </row>
    <row r="701" spans="1:25" ht="12.75" x14ac:dyDescent="0.2">
      <c r="A701" s="195" t="s">
        <v>612</v>
      </c>
      <c r="B701" s="536" t="s">
        <v>879</v>
      </c>
      <c r="C701" s="195" t="s">
        <v>627</v>
      </c>
      <c r="D701" s="536" t="s">
        <v>880</v>
      </c>
      <c r="E701" s="288"/>
      <c r="F701" s="204">
        <v>10</v>
      </c>
      <c r="G701" s="204"/>
      <c r="H701" s="197"/>
      <c r="I701" s="198"/>
      <c r="J701" s="205">
        <v>6.79</v>
      </c>
      <c r="K701" s="287">
        <v>6.79</v>
      </c>
      <c r="L701" s="206">
        <v>2318.5</v>
      </c>
      <c r="M701" s="286">
        <v>2318.5</v>
      </c>
      <c r="N701" s="552">
        <v>41791</v>
      </c>
      <c r="O701" s="205">
        <f t="shared" si="55"/>
        <v>0</v>
      </c>
      <c r="P701" s="555">
        <f>(1+$R$1)*Table33[[#This Row],[Hours]]</f>
        <v>0</v>
      </c>
      <c r="Q701" s="207">
        <f t="shared" si="54"/>
        <v>0</v>
      </c>
      <c r="R701" s="208">
        <f t="shared" si="56"/>
        <v>0</v>
      </c>
      <c r="S701" s="208">
        <f t="shared" si="57"/>
        <v>0</v>
      </c>
      <c r="T701" s="208" t="str">
        <f t="shared" si="58"/>
        <v/>
      </c>
      <c r="U701" s="195">
        <f>Table33[[#This Row],[gal/100ft]]*Table33[[#This Row],[QTY]]/100</f>
        <v>0</v>
      </c>
      <c r="V701" s="195"/>
      <c r="W701" s="195"/>
      <c r="X701" s="195"/>
      <c r="Y701" s="195"/>
    </row>
    <row r="702" spans="1:25" ht="12.75" x14ac:dyDescent="0.2">
      <c r="A702" s="195" t="s">
        <v>612</v>
      </c>
      <c r="B702" s="536" t="s">
        <v>879</v>
      </c>
      <c r="C702" s="195" t="s">
        <v>627</v>
      </c>
      <c r="D702" s="536" t="s">
        <v>880</v>
      </c>
      <c r="E702" s="288"/>
      <c r="F702" s="204">
        <v>12</v>
      </c>
      <c r="G702" s="204"/>
      <c r="H702" s="197"/>
      <c r="I702" s="198"/>
      <c r="J702" s="205">
        <v>7.08</v>
      </c>
      <c r="K702" s="287">
        <v>7.08</v>
      </c>
      <c r="L702" s="206">
        <v>3494</v>
      </c>
      <c r="M702" s="286">
        <v>3494</v>
      </c>
      <c r="N702" s="552">
        <v>41791</v>
      </c>
      <c r="O702" s="205">
        <f t="shared" si="55"/>
        <v>0</v>
      </c>
      <c r="P702" s="555">
        <f>(1+$R$1)*Table33[[#This Row],[Hours]]</f>
        <v>0</v>
      </c>
      <c r="Q702" s="207">
        <f t="shared" si="54"/>
        <v>0</v>
      </c>
      <c r="R702" s="208">
        <f t="shared" si="56"/>
        <v>0</v>
      </c>
      <c r="S702" s="208">
        <f t="shared" si="57"/>
        <v>0</v>
      </c>
      <c r="T702" s="208" t="str">
        <f t="shared" si="58"/>
        <v/>
      </c>
      <c r="U702" s="195">
        <f>Table33[[#This Row],[gal/100ft]]*Table33[[#This Row],[QTY]]/100</f>
        <v>0</v>
      </c>
      <c r="V702" s="195"/>
      <c r="W702" s="195"/>
      <c r="X702" s="195"/>
      <c r="Y702" s="195"/>
    </row>
    <row r="703" spans="1:25" ht="12.75" x14ac:dyDescent="0.2">
      <c r="A703" s="311" t="s">
        <v>711</v>
      </c>
      <c r="B703" s="311" t="s">
        <v>711</v>
      </c>
      <c r="C703" s="311" t="s">
        <v>627</v>
      </c>
      <c r="D703" s="311" t="s">
        <v>715</v>
      </c>
      <c r="E703" s="288"/>
      <c r="F703" s="297">
        <v>0.5</v>
      </c>
      <c r="G703" s="312"/>
      <c r="H703" s="313"/>
      <c r="I703" s="314"/>
      <c r="J703" s="205">
        <v>0.16</v>
      </c>
      <c r="K703" s="287">
        <v>0.16</v>
      </c>
      <c r="L703" s="206">
        <v>2.31</v>
      </c>
      <c r="M703" s="286">
        <v>2.31</v>
      </c>
      <c r="N703" s="552">
        <v>41791</v>
      </c>
      <c r="O703" s="205">
        <f t="shared" si="55"/>
        <v>0</v>
      </c>
      <c r="P703" s="555">
        <f>(1+$R$1)*Table33[[#This Row],[Hours]]</f>
        <v>0</v>
      </c>
      <c r="Q703" s="207">
        <f t="shared" si="54"/>
        <v>0</v>
      </c>
      <c r="R703" s="208">
        <f t="shared" si="56"/>
        <v>0</v>
      </c>
      <c r="S703" s="208">
        <f t="shared" si="57"/>
        <v>0</v>
      </c>
      <c r="T703" s="208" t="str">
        <f t="shared" si="58"/>
        <v/>
      </c>
      <c r="U703" s="195">
        <f>Table33[[#This Row],[gal/100ft]]*Table33[[#This Row],[QTY]]/100</f>
        <v>0</v>
      </c>
      <c r="V703" s="195"/>
      <c r="W703" s="195"/>
      <c r="X703" s="195"/>
      <c r="Y703" s="195"/>
    </row>
    <row r="704" spans="1:25" ht="12.75" x14ac:dyDescent="0.2">
      <c r="A704" s="311" t="s">
        <v>711</v>
      </c>
      <c r="B704" s="311" t="s">
        <v>711</v>
      </c>
      <c r="C704" s="311" t="s">
        <v>627</v>
      </c>
      <c r="D704" s="311" t="s">
        <v>715</v>
      </c>
      <c r="E704" s="288"/>
      <c r="F704" s="297">
        <v>0.75</v>
      </c>
      <c r="G704" s="312"/>
      <c r="H704" s="313"/>
      <c r="I704" s="314"/>
      <c r="J704" s="205">
        <v>0.22</v>
      </c>
      <c r="K704" s="287">
        <v>0.22</v>
      </c>
      <c r="L704" s="206">
        <v>4.0599999999999996</v>
      </c>
      <c r="M704" s="286">
        <v>4.0599999999999996</v>
      </c>
      <c r="N704" s="552">
        <v>41791</v>
      </c>
      <c r="O704" s="205">
        <f t="shared" si="55"/>
        <v>0</v>
      </c>
      <c r="P704" s="555">
        <f>(1+$R$1)*Table33[[#This Row],[Hours]]</f>
        <v>0</v>
      </c>
      <c r="Q704" s="207">
        <f t="shared" si="54"/>
        <v>0</v>
      </c>
      <c r="R704" s="208">
        <f t="shared" si="56"/>
        <v>0</v>
      </c>
      <c r="S704" s="208">
        <f t="shared" si="57"/>
        <v>0</v>
      </c>
      <c r="T704" s="208" t="str">
        <f t="shared" si="58"/>
        <v/>
      </c>
      <c r="U704" s="195">
        <f>Table33[[#This Row],[gal/100ft]]*Table33[[#This Row],[QTY]]/100</f>
        <v>0</v>
      </c>
      <c r="V704" s="195"/>
      <c r="W704" s="195"/>
      <c r="X704" s="195"/>
      <c r="Y704" s="195"/>
    </row>
    <row r="705" spans="1:25" ht="12.75" x14ac:dyDescent="0.2">
      <c r="A705" s="311" t="s">
        <v>711</v>
      </c>
      <c r="B705" s="311" t="s">
        <v>711</v>
      </c>
      <c r="C705" s="311" t="s">
        <v>627</v>
      </c>
      <c r="D705" s="311" t="s">
        <v>715</v>
      </c>
      <c r="E705" s="288"/>
      <c r="F705" s="297">
        <v>1</v>
      </c>
      <c r="G705" s="312"/>
      <c r="H705" s="313"/>
      <c r="I705" s="314"/>
      <c r="J705" s="205">
        <v>0.24</v>
      </c>
      <c r="K705" s="287">
        <v>0.24</v>
      </c>
      <c r="L705" s="206">
        <v>7.31</v>
      </c>
      <c r="M705" s="286">
        <v>7.31</v>
      </c>
      <c r="N705" s="552">
        <v>41791</v>
      </c>
      <c r="O705" s="205">
        <f t="shared" si="55"/>
        <v>0</v>
      </c>
      <c r="P705" s="555">
        <f>(1+$R$1)*Table33[[#This Row],[Hours]]</f>
        <v>0</v>
      </c>
      <c r="Q705" s="207">
        <f t="shared" si="54"/>
        <v>0</v>
      </c>
      <c r="R705" s="208">
        <f t="shared" si="56"/>
        <v>0</v>
      </c>
      <c r="S705" s="208">
        <f t="shared" si="57"/>
        <v>0</v>
      </c>
      <c r="T705" s="208" t="str">
        <f t="shared" si="58"/>
        <v/>
      </c>
      <c r="U705" s="195">
        <f>Table33[[#This Row],[gal/100ft]]*Table33[[#This Row],[QTY]]/100</f>
        <v>0</v>
      </c>
      <c r="V705" s="195"/>
      <c r="W705" s="195"/>
      <c r="X705" s="195"/>
      <c r="Y705" s="195"/>
    </row>
    <row r="706" spans="1:25" ht="12.75" x14ac:dyDescent="0.2">
      <c r="A706" s="311" t="s">
        <v>711</v>
      </c>
      <c r="B706" s="311" t="s">
        <v>711</v>
      </c>
      <c r="C706" s="311" t="s">
        <v>627</v>
      </c>
      <c r="D706" s="311" t="s">
        <v>715</v>
      </c>
      <c r="E706" s="288"/>
      <c r="F706" s="204">
        <v>1.25</v>
      </c>
      <c r="G706" s="312"/>
      <c r="H706" s="313"/>
      <c r="I706" s="314"/>
      <c r="J706" s="205">
        <v>0.28000000000000003</v>
      </c>
      <c r="K706" s="287">
        <v>0.28000000000000003</v>
      </c>
      <c r="L706" s="206">
        <v>12.36</v>
      </c>
      <c r="M706" s="286">
        <v>12.36</v>
      </c>
      <c r="N706" s="552">
        <v>41791</v>
      </c>
      <c r="O706" s="205">
        <f t="shared" si="55"/>
        <v>0</v>
      </c>
      <c r="P706" s="555">
        <f>(1+$R$1)*Table33[[#This Row],[Hours]]</f>
        <v>0</v>
      </c>
      <c r="Q706" s="207">
        <f t="shared" si="54"/>
        <v>0</v>
      </c>
      <c r="R706" s="208">
        <f t="shared" si="56"/>
        <v>0</v>
      </c>
      <c r="S706" s="208">
        <f t="shared" si="57"/>
        <v>0</v>
      </c>
      <c r="T706" s="208" t="str">
        <f t="shared" si="58"/>
        <v/>
      </c>
      <c r="U706" s="195">
        <f>Table33[[#This Row],[gal/100ft]]*Table33[[#This Row],[QTY]]/100</f>
        <v>0</v>
      </c>
      <c r="V706" s="195"/>
      <c r="W706" s="195"/>
      <c r="X706" s="195"/>
      <c r="Y706" s="195"/>
    </row>
    <row r="707" spans="1:25" ht="12.75" x14ac:dyDescent="0.2">
      <c r="A707" s="311" t="s">
        <v>711</v>
      </c>
      <c r="B707" s="311" t="s">
        <v>711</v>
      </c>
      <c r="C707" s="311" t="s">
        <v>627</v>
      </c>
      <c r="D707" s="311" t="s">
        <v>715</v>
      </c>
      <c r="E707" s="288"/>
      <c r="F707" s="204">
        <v>1.5</v>
      </c>
      <c r="G707" s="312"/>
      <c r="H707" s="313"/>
      <c r="I707" s="314"/>
      <c r="J707" s="205">
        <v>0.34</v>
      </c>
      <c r="K707" s="287">
        <v>0.34</v>
      </c>
      <c r="L707" s="206">
        <v>24</v>
      </c>
      <c r="M707" s="286">
        <v>24</v>
      </c>
      <c r="N707" s="552">
        <v>41791</v>
      </c>
      <c r="O707" s="205">
        <f t="shared" si="55"/>
        <v>0</v>
      </c>
      <c r="P707" s="555">
        <f>(1+$R$1)*Table33[[#This Row],[Hours]]</f>
        <v>0</v>
      </c>
      <c r="Q707" s="207">
        <f t="shared" si="54"/>
        <v>0</v>
      </c>
      <c r="R707" s="208">
        <f t="shared" si="56"/>
        <v>0</v>
      </c>
      <c r="S707" s="208">
        <f t="shared" si="57"/>
        <v>0</v>
      </c>
      <c r="T707" s="208" t="str">
        <f t="shared" si="58"/>
        <v/>
      </c>
      <c r="U707" s="195">
        <f>Table33[[#This Row],[gal/100ft]]*Table33[[#This Row],[QTY]]/100</f>
        <v>0</v>
      </c>
      <c r="V707" s="195"/>
      <c r="W707" s="195"/>
      <c r="X707" s="195"/>
      <c r="Y707" s="195"/>
    </row>
    <row r="708" spans="1:25" ht="12.75" x14ac:dyDescent="0.2">
      <c r="A708" s="311" t="s">
        <v>711</v>
      </c>
      <c r="B708" s="311" t="s">
        <v>711</v>
      </c>
      <c r="C708" s="311" t="s">
        <v>627</v>
      </c>
      <c r="D708" s="311" t="s">
        <v>715</v>
      </c>
      <c r="E708" s="288"/>
      <c r="F708" s="204">
        <v>2</v>
      </c>
      <c r="G708" s="312"/>
      <c r="H708" s="313"/>
      <c r="I708" s="314"/>
      <c r="J708" s="205">
        <v>0.39</v>
      </c>
      <c r="K708" s="287">
        <v>0.39</v>
      </c>
      <c r="L708" s="206">
        <v>29.65</v>
      </c>
      <c r="M708" s="286">
        <v>29.65</v>
      </c>
      <c r="N708" s="552">
        <v>41791</v>
      </c>
      <c r="O708" s="205">
        <f t="shared" si="55"/>
        <v>0</v>
      </c>
      <c r="P708" s="555">
        <f>(1+$R$1)*Table33[[#This Row],[Hours]]</f>
        <v>0</v>
      </c>
      <c r="Q708" s="207">
        <f t="shared" si="54"/>
        <v>0</v>
      </c>
      <c r="R708" s="208">
        <f t="shared" si="56"/>
        <v>0</v>
      </c>
      <c r="S708" s="208">
        <f t="shared" si="57"/>
        <v>0</v>
      </c>
      <c r="T708" s="208" t="str">
        <f t="shared" si="58"/>
        <v/>
      </c>
      <c r="U708" s="195">
        <f>Table33[[#This Row],[gal/100ft]]*Table33[[#This Row],[QTY]]/100</f>
        <v>0</v>
      </c>
      <c r="V708" s="195"/>
      <c r="W708" s="195"/>
      <c r="X708" s="195"/>
      <c r="Y708" s="195"/>
    </row>
    <row r="709" spans="1:25" ht="12.75" x14ac:dyDescent="0.2">
      <c r="A709" s="311" t="s">
        <v>711</v>
      </c>
      <c r="B709" s="311" t="s">
        <v>711</v>
      </c>
      <c r="C709" s="311" t="s">
        <v>627</v>
      </c>
      <c r="D709" s="311" t="s">
        <v>715</v>
      </c>
      <c r="E709" s="289"/>
      <c r="F709" s="204">
        <v>2.5</v>
      </c>
      <c r="G709" s="272"/>
      <c r="H709" s="273"/>
      <c r="I709" s="274"/>
      <c r="J709" s="205">
        <v>0.48</v>
      </c>
      <c r="K709" s="287">
        <v>0.48</v>
      </c>
      <c r="L709" s="206">
        <v>97.24</v>
      </c>
      <c r="M709" s="286">
        <v>97.24</v>
      </c>
      <c r="N709" s="552">
        <v>41791</v>
      </c>
      <c r="O709" s="205">
        <f t="shared" si="55"/>
        <v>0</v>
      </c>
      <c r="P709" s="555">
        <f>(1+$R$1)*Table33[[#This Row],[Hours]]</f>
        <v>0</v>
      </c>
      <c r="Q709" s="207">
        <f t="shared" si="54"/>
        <v>0</v>
      </c>
      <c r="R709" s="208">
        <f t="shared" si="56"/>
        <v>0</v>
      </c>
      <c r="S709" s="208">
        <f t="shared" si="57"/>
        <v>0</v>
      </c>
      <c r="T709" s="208" t="str">
        <f t="shared" si="58"/>
        <v/>
      </c>
      <c r="U709" s="195">
        <f>Table33[[#This Row],[gal/100ft]]*Table33[[#This Row],[QTY]]/100</f>
        <v>0</v>
      </c>
      <c r="V709" s="195"/>
      <c r="W709" s="195"/>
      <c r="X709" s="195"/>
      <c r="Y709" s="195"/>
    </row>
    <row r="710" spans="1:25" ht="12.75" x14ac:dyDescent="0.2">
      <c r="A710" s="311" t="s">
        <v>711</v>
      </c>
      <c r="B710" s="311" t="s">
        <v>711</v>
      </c>
      <c r="C710" s="311" t="s">
        <v>627</v>
      </c>
      <c r="D710" s="311" t="s">
        <v>715</v>
      </c>
      <c r="E710" s="289"/>
      <c r="F710" s="204">
        <v>3</v>
      </c>
      <c r="G710" s="272"/>
      <c r="H710" s="273"/>
      <c r="I710" s="274"/>
      <c r="J710" s="205">
        <v>0.56999999999999995</v>
      </c>
      <c r="K710" s="287">
        <v>0.56999999999999995</v>
      </c>
      <c r="L710" s="206">
        <v>121.54</v>
      </c>
      <c r="M710" s="286">
        <v>121.54</v>
      </c>
      <c r="N710" s="552">
        <v>41791</v>
      </c>
      <c r="O710" s="205">
        <f t="shared" si="55"/>
        <v>0</v>
      </c>
      <c r="P710" s="555">
        <f>(1+$R$1)*Table33[[#This Row],[Hours]]</f>
        <v>0</v>
      </c>
      <c r="Q710" s="207">
        <f t="shared" si="54"/>
        <v>0</v>
      </c>
      <c r="R710" s="208">
        <f t="shared" si="56"/>
        <v>0</v>
      </c>
      <c r="S710" s="208">
        <f t="shared" si="57"/>
        <v>0</v>
      </c>
      <c r="T710" s="208" t="str">
        <f t="shared" si="58"/>
        <v/>
      </c>
      <c r="U710" s="195">
        <f>Table33[[#This Row],[gal/100ft]]*Table33[[#This Row],[QTY]]/100</f>
        <v>0</v>
      </c>
      <c r="V710" s="195"/>
      <c r="W710" s="195"/>
      <c r="X710" s="195"/>
      <c r="Y710" s="195"/>
    </row>
    <row r="711" spans="1:25" ht="12.75" x14ac:dyDescent="0.2">
      <c r="A711" s="311" t="s">
        <v>711</v>
      </c>
      <c r="B711" s="311" t="s">
        <v>711</v>
      </c>
      <c r="C711" s="311" t="s">
        <v>627</v>
      </c>
      <c r="D711" s="311" t="s">
        <v>715</v>
      </c>
      <c r="E711" s="289"/>
      <c r="F711" s="204">
        <v>4</v>
      </c>
      <c r="G711" s="272"/>
      <c r="H711" s="273"/>
      <c r="I711" s="274"/>
      <c r="J711" s="205">
        <v>0.76</v>
      </c>
      <c r="K711" s="287">
        <v>0.76</v>
      </c>
      <c r="L711" s="206">
        <v>170.54</v>
      </c>
      <c r="M711" s="286">
        <v>170.54</v>
      </c>
      <c r="N711" s="552">
        <v>41791</v>
      </c>
      <c r="O711" s="205">
        <f t="shared" si="55"/>
        <v>0</v>
      </c>
      <c r="P711" s="555">
        <f>(1+$R$1)*Table33[[#This Row],[Hours]]</f>
        <v>0</v>
      </c>
      <c r="Q711" s="207">
        <f t="shared" ref="Q711:Q774" si="59">P711*$O$1</f>
        <v>0</v>
      </c>
      <c r="R711" s="208">
        <f t="shared" si="56"/>
        <v>0</v>
      </c>
      <c r="S711" s="208">
        <f t="shared" si="57"/>
        <v>0</v>
      </c>
      <c r="T711" s="208" t="str">
        <f t="shared" si="58"/>
        <v/>
      </c>
      <c r="U711" s="195">
        <f>Table33[[#This Row],[gal/100ft]]*Table33[[#This Row],[QTY]]/100</f>
        <v>0</v>
      </c>
      <c r="V711" s="195"/>
      <c r="W711" s="195"/>
      <c r="X711" s="195"/>
      <c r="Y711" s="195"/>
    </row>
    <row r="712" spans="1:25" ht="12.75" x14ac:dyDescent="0.2">
      <c r="A712" s="195" t="s">
        <v>593</v>
      </c>
      <c r="B712" s="536" t="s">
        <v>874</v>
      </c>
      <c r="C712" s="195" t="s">
        <v>627</v>
      </c>
      <c r="D712" s="195" t="s">
        <v>634</v>
      </c>
      <c r="E712" s="288"/>
      <c r="F712" s="204">
        <v>0.75</v>
      </c>
      <c r="G712" s="204"/>
      <c r="H712" s="197"/>
      <c r="I712" s="198"/>
      <c r="J712" s="205">
        <v>1.02</v>
      </c>
      <c r="K712" s="287">
        <v>1.02</v>
      </c>
      <c r="L712" s="206">
        <v>1.59</v>
      </c>
      <c r="M712" s="286">
        <v>1.59</v>
      </c>
      <c r="N712" s="552">
        <v>41791</v>
      </c>
      <c r="O712" s="205">
        <f t="shared" si="55"/>
        <v>0</v>
      </c>
      <c r="P712" s="555">
        <f>(1+$R$1)*Table33[[#This Row],[Hours]]</f>
        <v>0</v>
      </c>
      <c r="Q712" s="207">
        <f t="shared" si="59"/>
        <v>0</v>
      </c>
      <c r="R712" s="208">
        <f t="shared" si="56"/>
        <v>0</v>
      </c>
      <c r="S712" s="208">
        <f t="shared" si="57"/>
        <v>0</v>
      </c>
      <c r="T712" s="208" t="str">
        <f t="shared" si="58"/>
        <v/>
      </c>
      <c r="U712" s="195">
        <f>Table33[[#This Row],[gal/100ft]]*Table33[[#This Row],[QTY]]/100</f>
        <v>0</v>
      </c>
      <c r="V712" s="195"/>
      <c r="X712" s="195"/>
      <c r="Y712" s="195"/>
    </row>
    <row r="713" spans="1:25" ht="12.75" x14ac:dyDescent="0.2">
      <c r="A713" s="195" t="s">
        <v>593</v>
      </c>
      <c r="B713" s="536" t="s">
        <v>874</v>
      </c>
      <c r="C713" s="195" t="s">
        <v>627</v>
      </c>
      <c r="D713" s="195" t="s">
        <v>634</v>
      </c>
      <c r="E713" s="288"/>
      <c r="F713" s="204">
        <v>1.25</v>
      </c>
      <c r="G713" s="204"/>
      <c r="H713" s="197"/>
      <c r="I713" s="198"/>
      <c r="J713" s="205">
        <v>1.44</v>
      </c>
      <c r="K713" s="287">
        <v>1.44</v>
      </c>
      <c r="L713" s="206">
        <v>4.55</v>
      </c>
      <c r="M713" s="286">
        <v>4.55</v>
      </c>
      <c r="N713" s="552">
        <v>41791</v>
      </c>
      <c r="O713" s="205">
        <f t="shared" si="55"/>
        <v>0</v>
      </c>
      <c r="P713" s="555">
        <f>(1+$R$1)*Table33[[#This Row],[Hours]]</f>
        <v>0</v>
      </c>
      <c r="Q713" s="207">
        <f t="shared" si="59"/>
        <v>0</v>
      </c>
      <c r="R713" s="208">
        <f t="shared" si="56"/>
        <v>0</v>
      </c>
      <c r="S713" s="208">
        <f t="shared" si="57"/>
        <v>0</v>
      </c>
      <c r="T713" s="208" t="str">
        <f t="shared" si="58"/>
        <v/>
      </c>
      <c r="U713" s="195">
        <f>Table33[[#This Row],[gal/100ft]]*Table33[[#This Row],[QTY]]/100</f>
        <v>0</v>
      </c>
      <c r="V713" s="195"/>
      <c r="X713" s="195"/>
      <c r="Y713" s="195"/>
    </row>
    <row r="714" spans="1:25" ht="12.75" x14ac:dyDescent="0.2">
      <c r="A714" s="195" t="s">
        <v>593</v>
      </c>
      <c r="B714" s="536" t="s">
        <v>874</v>
      </c>
      <c r="C714" s="195" t="s">
        <v>627</v>
      </c>
      <c r="D714" s="195" t="s">
        <v>634</v>
      </c>
      <c r="E714" s="288"/>
      <c r="F714" s="204">
        <v>2</v>
      </c>
      <c r="G714" s="204"/>
      <c r="H714" s="197"/>
      <c r="I714" s="198"/>
      <c r="J714" s="205">
        <v>1.92</v>
      </c>
      <c r="K714" s="287">
        <v>1.92</v>
      </c>
      <c r="L714" s="206">
        <v>9.6199999999999992</v>
      </c>
      <c r="M714" s="286">
        <v>9.6199999999999992</v>
      </c>
      <c r="N714" s="552">
        <v>41791</v>
      </c>
      <c r="O714" s="205">
        <f t="shared" si="55"/>
        <v>0</v>
      </c>
      <c r="P714" s="555">
        <f>(1+$R$1)*Table33[[#This Row],[Hours]]</f>
        <v>0</v>
      </c>
      <c r="Q714" s="207">
        <f t="shared" si="59"/>
        <v>0</v>
      </c>
      <c r="R714" s="208">
        <f t="shared" si="56"/>
        <v>0</v>
      </c>
      <c r="S714" s="208">
        <f t="shared" si="57"/>
        <v>0</v>
      </c>
      <c r="T714" s="208" t="str">
        <f t="shared" si="58"/>
        <v/>
      </c>
      <c r="U714" s="195">
        <f>Table33[[#This Row],[gal/100ft]]*Table33[[#This Row],[QTY]]/100</f>
        <v>0</v>
      </c>
      <c r="V714" s="195"/>
      <c r="X714" s="195"/>
      <c r="Y714" s="195"/>
    </row>
    <row r="715" spans="1:25" ht="12.75" x14ac:dyDescent="0.2">
      <c r="A715" s="195" t="s">
        <v>593</v>
      </c>
      <c r="B715" s="536" t="s">
        <v>874</v>
      </c>
      <c r="C715" s="195" t="s">
        <v>627</v>
      </c>
      <c r="D715" s="195" t="s">
        <v>634</v>
      </c>
      <c r="E715" s="288"/>
      <c r="F715" s="204">
        <v>1</v>
      </c>
      <c r="G715" s="204"/>
      <c r="H715" s="197"/>
      <c r="I715" s="198"/>
      <c r="J715" s="205">
        <v>1.25</v>
      </c>
      <c r="K715" s="287">
        <v>1.25</v>
      </c>
      <c r="L715" s="206">
        <v>2.8</v>
      </c>
      <c r="M715" s="286">
        <v>2.8</v>
      </c>
      <c r="N715" s="552">
        <v>41791</v>
      </c>
      <c r="O715" s="205">
        <f t="shared" si="55"/>
        <v>0</v>
      </c>
      <c r="P715" s="555">
        <f>(1+$R$1)*Table33[[#This Row],[Hours]]</f>
        <v>0</v>
      </c>
      <c r="Q715" s="207">
        <f t="shared" si="59"/>
        <v>0</v>
      </c>
      <c r="R715" s="208">
        <f t="shared" si="56"/>
        <v>0</v>
      </c>
      <c r="S715" s="208">
        <f t="shared" si="57"/>
        <v>0</v>
      </c>
      <c r="T715" s="208" t="str">
        <f t="shared" si="58"/>
        <v/>
      </c>
      <c r="U715" s="195">
        <f>Table33[[#This Row],[gal/100ft]]*Table33[[#This Row],[QTY]]/100</f>
        <v>0</v>
      </c>
      <c r="V715" s="195"/>
      <c r="X715" s="195"/>
      <c r="Y715" s="195"/>
    </row>
    <row r="716" spans="1:25" ht="12.75" x14ac:dyDescent="0.2">
      <c r="A716" s="195" t="s">
        <v>593</v>
      </c>
      <c r="B716" s="536" t="s">
        <v>874</v>
      </c>
      <c r="C716" s="195" t="s">
        <v>627</v>
      </c>
      <c r="D716" s="195" t="s">
        <v>634</v>
      </c>
      <c r="E716" s="288"/>
      <c r="F716" s="204" t="s">
        <v>596</v>
      </c>
      <c r="G716" s="204"/>
      <c r="H716" s="197"/>
      <c r="I716" s="198"/>
      <c r="J716" s="205">
        <v>0.74</v>
      </c>
      <c r="K716" s="287">
        <v>0.74</v>
      </c>
      <c r="L716" s="206">
        <v>1.1200000000000001</v>
      </c>
      <c r="M716" s="286">
        <v>1.1200000000000001</v>
      </c>
      <c r="N716" s="552">
        <v>41791</v>
      </c>
      <c r="O716" s="205">
        <f t="shared" si="55"/>
        <v>0</v>
      </c>
      <c r="P716" s="555">
        <f>(1+$R$1)*Table33[[#This Row],[Hours]]</f>
        <v>0</v>
      </c>
      <c r="Q716" s="207">
        <f t="shared" si="59"/>
        <v>0</v>
      </c>
      <c r="R716" s="208">
        <f t="shared" si="56"/>
        <v>0</v>
      </c>
      <c r="S716" s="208">
        <f t="shared" si="57"/>
        <v>0</v>
      </c>
      <c r="T716" s="208" t="str">
        <f t="shared" si="58"/>
        <v/>
      </c>
      <c r="U716" s="195">
        <f>Table33[[#This Row],[gal/100ft]]*Table33[[#This Row],[QTY]]/100</f>
        <v>0</v>
      </c>
      <c r="V716" s="195"/>
      <c r="X716" s="195"/>
      <c r="Y716" s="195"/>
    </row>
    <row r="717" spans="1:25" ht="12.75" x14ac:dyDescent="0.2">
      <c r="A717" s="195" t="s">
        <v>593</v>
      </c>
      <c r="B717" s="536" t="s">
        <v>874</v>
      </c>
      <c r="C717" s="195" t="s">
        <v>627</v>
      </c>
      <c r="D717" s="195" t="s">
        <v>634</v>
      </c>
      <c r="E717" s="288"/>
      <c r="F717" s="204">
        <v>1.5</v>
      </c>
      <c r="G717" s="204"/>
      <c r="H717" s="197"/>
      <c r="I717" s="198"/>
      <c r="J717" s="205">
        <v>1.59</v>
      </c>
      <c r="K717" s="287">
        <v>1.59</v>
      </c>
      <c r="L717" s="206">
        <v>5.66</v>
      </c>
      <c r="M717" s="286">
        <v>5.66</v>
      </c>
      <c r="N717" s="552">
        <v>41791</v>
      </c>
      <c r="O717" s="205">
        <f t="shared" si="55"/>
        <v>0</v>
      </c>
      <c r="P717" s="555">
        <f>(1+$R$1)*Table33[[#This Row],[Hours]]</f>
        <v>0</v>
      </c>
      <c r="Q717" s="207">
        <f t="shared" si="59"/>
        <v>0</v>
      </c>
      <c r="R717" s="208">
        <f t="shared" si="56"/>
        <v>0</v>
      </c>
      <c r="S717" s="208">
        <f t="shared" si="57"/>
        <v>0</v>
      </c>
      <c r="T717" s="208" t="str">
        <f t="shared" si="58"/>
        <v/>
      </c>
      <c r="U717" s="195">
        <f>Table33[[#This Row],[gal/100ft]]*Table33[[#This Row],[QTY]]/100</f>
        <v>0</v>
      </c>
      <c r="V717" s="195"/>
      <c r="X717" s="195"/>
      <c r="Y717" s="195"/>
    </row>
    <row r="718" spans="1:25" ht="12.75" x14ac:dyDescent="0.2">
      <c r="A718" s="195" t="s">
        <v>602</v>
      </c>
      <c r="B718" s="536" t="s">
        <v>875</v>
      </c>
      <c r="C718" s="195" t="s">
        <v>627</v>
      </c>
      <c r="D718" s="195" t="s">
        <v>628</v>
      </c>
      <c r="E718" s="288"/>
      <c r="F718" s="204">
        <v>0.5</v>
      </c>
      <c r="G718" s="204"/>
      <c r="H718" s="197"/>
      <c r="I718" s="198"/>
      <c r="J718" s="205">
        <v>1.88</v>
      </c>
      <c r="K718" s="287">
        <v>1.88</v>
      </c>
      <c r="L718" s="206">
        <v>54</v>
      </c>
      <c r="M718" s="286">
        <v>54</v>
      </c>
      <c r="N718" s="552">
        <v>41791</v>
      </c>
      <c r="O718" s="205">
        <f t="shared" si="55"/>
        <v>0</v>
      </c>
      <c r="P718" s="555">
        <f>(1+$R$1)*Table33[[#This Row],[Hours]]</f>
        <v>0</v>
      </c>
      <c r="Q718" s="207">
        <f t="shared" si="59"/>
        <v>0</v>
      </c>
      <c r="R718" s="208">
        <f t="shared" si="56"/>
        <v>0</v>
      </c>
      <c r="S718" s="208">
        <f t="shared" si="57"/>
        <v>0</v>
      </c>
      <c r="T718" s="208" t="str">
        <f t="shared" si="58"/>
        <v/>
      </c>
      <c r="U718" s="195">
        <f>Table33[[#This Row],[gal/100ft]]*Table33[[#This Row],[QTY]]/100</f>
        <v>0</v>
      </c>
      <c r="V718" s="195"/>
      <c r="X718" s="195"/>
      <c r="Y718" s="195"/>
    </row>
    <row r="719" spans="1:25" ht="12.75" x14ac:dyDescent="0.2">
      <c r="A719" s="195" t="s">
        <v>602</v>
      </c>
      <c r="B719" s="536" t="s">
        <v>875</v>
      </c>
      <c r="C719" s="195" t="s">
        <v>627</v>
      </c>
      <c r="D719" s="195" t="s">
        <v>628</v>
      </c>
      <c r="E719" s="288"/>
      <c r="F719" s="204">
        <v>0.75</v>
      </c>
      <c r="G719" s="204"/>
      <c r="H719" s="197"/>
      <c r="I719" s="198"/>
      <c r="J719" s="205">
        <v>2.8</v>
      </c>
      <c r="K719" s="287">
        <v>2.8</v>
      </c>
      <c r="L719" s="206">
        <v>54</v>
      </c>
      <c r="M719" s="286">
        <v>54</v>
      </c>
      <c r="N719" s="552">
        <v>41791</v>
      </c>
      <c r="O719" s="205">
        <f t="shared" si="55"/>
        <v>0</v>
      </c>
      <c r="P719" s="555">
        <f>(1+$R$1)*Table33[[#This Row],[Hours]]</f>
        <v>0</v>
      </c>
      <c r="Q719" s="207">
        <f t="shared" si="59"/>
        <v>0</v>
      </c>
      <c r="R719" s="208">
        <f t="shared" si="56"/>
        <v>0</v>
      </c>
      <c r="S719" s="208">
        <f t="shared" si="57"/>
        <v>0</v>
      </c>
      <c r="T719" s="208" t="str">
        <f t="shared" si="58"/>
        <v/>
      </c>
      <c r="U719" s="195">
        <f>Table33[[#This Row],[gal/100ft]]*Table33[[#This Row],[QTY]]/100</f>
        <v>0</v>
      </c>
      <c r="V719" s="195"/>
      <c r="X719" s="195"/>
      <c r="Y719" s="195"/>
    </row>
    <row r="720" spans="1:25" ht="12.75" x14ac:dyDescent="0.2">
      <c r="A720" s="195" t="s">
        <v>602</v>
      </c>
      <c r="B720" s="536" t="s">
        <v>875</v>
      </c>
      <c r="C720" s="195" t="s">
        <v>627</v>
      </c>
      <c r="D720" s="195" t="s">
        <v>628</v>
      </c>
      <c r="E720" s="288"/>
      <c r="F720" s="204">
        <v>1</v>
      </c>
      <c r="G720" s="204"/>
      <c r="H720" s="197"/>
      <c r="I720" s="198"/>
      <c r="J720" s="205">
        <v>3.72</v>
      </c>
      <c r="K720" s="287">
        <v>3.72</v>
      </c>
      <c r="L720" s="206">
        <v>57</v>
      </c>
      <c r="M720" s="286">
        <v>57</v>
      </c>
      <c r="N720" s="552">
        <v>41791</v>
      </c>
      <c r="O720" s="205">
        <f t="shared" si="55"/>
        <v>0</v>
      </c>
      <c r="P720" s="555">
        <f>(1+$R$1)*Table33[[#This Row],[Hours]]</f>
        <v>0</v>
      </c>
      <c r="Q720" s="207">
        <f t="shared" si="59"/>
        <v>0</v>
      </c>
      <c r="R720" s="208">
        <f t="shared" si="56"/>
        <v>0</v>
      </c>
      <c r="S720" s="208">
        <f t="shared" si="57"/>
        <v>0</v>
      </c>
      <c r="T720" s="208" t="str">
        <f t="shared" si="58"/>
        <v/>
      </c>
      <c r="U720" s="195">
        <f>Table33[[#This Row],[gal/100ft]]*Table33[[#This Row],[QTY]]/100</f>
        <v>0</v>
      </c>
      <c r="V720" s="195"/>
      <c r="X720" s="195"/>
      <c r="Y720" s="195"/>
    </row>
    <row r="721" spans="1:25" ht="12.75" x14ac:dyDescent="0.2">
      <c r="A721" s="195" t="s">
        <v>602</v>
      </c>
      <c r="B721" s="536" t="s">
        <v>875</v>
      </c>
      <c r="C721" s="195" t="s">
        <v>627</v>
      </c>
      <c r="D721" s="195" t="s">
        <v>628</v>
      </c>
      <c r="E721" s="288"/>
      <c r="F721" s="204">
        <v>1.25</v>
      </c>
      <c r="G721" s="204"/>
      <c r="H721" s="197"/>
      <c r="I721" s="198"/>
      <c r="J721" s="205">
        <v>4.6500000000000004</v>
      </c>
      <c r="K721" s="287">
        <v>4.6500000000000004</v>
      </c>
      <c r="L721" s="206">
        <v>46</v>
      </c>
      <c r="M721" s="286">
        <v>46</v>
      </c>
      <c r="N721" s="552">
        <v>41791</v>
      </c>
      <c r="O721" s="205">
        <f t="shared" si="55"/>
        <v>0</v>
      </c>
      <c r="P721" s="555">
        <f>(1+$R$1)*Table33[[#This Row],[Hours]]</f>
        <v>0</v>
      </c>
      <c r="Q721" s="207">
        <f t="shared" si="59"/>
        <v>0</v>
      </c>
      <c r="R721" s="208">
        <f t="shared" si="56"/>
        <v>0</v>
      </c>
      <c r="S721" s="208">
        <f t="shared" si="57"/>
        <v>0</v>
      </c>
      <c r="T721" s="208" t="str">
        <f t="shared" si="58"/>
        <v/>
      </c>
      <c r="U721" s="195">
        <f>Table33[[#This Row],[gal/100ft]]*Table33[[#This Row],[QTY]]/100</f>
        <v>0</v>
      </c>
      <c r="V721" s="195"/>
      <c r="X721" s="195"/>
      <c r="Y721" s="195"/>
    </row>
    <row r="722" spans="1:25" ht="12.75" x14ac:dyDescent="0.2">
      <c r="A722" s="195" t="s">
        <v>602</v>
      </c>
      <c r="B722" s="536" t="s">
        <v>875</v>
      </c>
      <c r="C722" s="195" t="s">
        <v>627</v>
      </c>
      <c r="D722" s="216" t="s">
        <v>628</v>
      </c>
      <c r="E722" s="290"/>
      <c r="F722" s="540">
        <v>1.5</v>
      </c>
      <c r="G722" s="204"/>
      <c r="H722" s="197"/>
      <c r="I722" s="198"/>
      <c r="J722" s="205">
        <v>5.57</v>
      </c>
      <c r="K722" s="287">
        <v>5.57</v>
      </c>
      <c r="L722" s="206">
        <v>45</v>
      </c>
      <c r="M722" s="286">
        <v>45</v>
      </c>
      <c r="N722" s="552">
        <v>41791</v>
      </c>
      <c r="O722" s="205">
        <f t="shared" si="55"/>
        <v>0</v>
      </c>
      <c r="P722" s="555">
        <f>(1+$R$1)*Table33[[#This Row],[Hours]]</f>
        <v>0</v>
      </c>
      <c r="Q722" s="207">
        <f t="shared" si="59"/>
        <v>0</v>
      </c>
      <c r="R722" s="208">
        <f t="shared" si="56"/>
        <v>0</v>
      </c>
      <c r="S722" s="208">
        <f t="shared" si="57"/>
        <v>0</v>
      </c>
      <c r="T722" s="208" t="str">
        <f t="shared" si="58"/>
        <v/>
      </c>
      <c r="U722" s="195">
        <f>Table33[[#This Row],[gal/100ft]]*Table33[[#This Row],[QTY]]/100</f>
        <v>0</v>
      </c>
      <c r="V722" s="195"/>
      <c r="X722" s="195"/>
      <c r="Y722" s="195"/>
    </row>
    <row r="723" spans="1:25" ht="12.75" x14ac:dyDescent="0.2">
      <c r="A723" s="195" t="s">
        <v>602</v>
      </c>
      <c r="B723" s="536" t="s">
        <v>875</v>
      </c>
      <c r="C723" s="195" t="s">
        <v>627</v>
      </c>
      <c r="D723" s="216" t="s">
        <v>628</v>
      </c>
      <c r="E723" s="290"/>
      <c r="F723" s="540">
        <v>2</v>
      </c>
      <c r="G723" s="204"/>
      <c r="H723" s="197"/>
      <c r="I723" s="198"/>
      <c r="J723" s="205">
        <v>7.41</v>
      </c>
      <c r="K723" s="287">
        <v>7.41</v>
      </c>
      <c r="L723" s="206">
        <v>47</v>
      </c>
      <c r="M723" s="286">
        <v>47</v>
      </c>
      <c r="N723" s="552">
        <v>41791</v>
      </c>
      <c r="O723" s="205">
        <f t="shared" si="55"/>
        <v>0</v>
      </c>
      <c r="P723" s="555">
        <f>(1+$R$1)*Table33[[#This Row],[Hours]]</f>
        <v>0</v>
      </c>
      <c r="Q723" s="207">
        <f t="shared" si="59"/>
        <v>0</v>
      </c>
      <c r="R723" s="208">
        <f t="shared" si="56"/>
        <v>0</v>
      </c>
      <c r="S723" s="208">
        <f t="shared" si="57"/>
        <v>0</v>
      </c>
      <c r="T723" s="208" t="str">
        <f t="shared" si="58"/>
        <v/>
      </c>
      <c r="U723" s="195">
        <f>Table33[[#This Row],[gal/100ft]]*Table33[[#This Row],[QTY]]/100</f>
        <v>0</v>
      </c>
      <c r="V723" s="195"/>
      <c r="X723" s="195"/>
      <c r="Y723" s="195"/>
    </row>
    <row r="724" spans="1:25" ht="12.75" x14ac:dyDescent="0.2">
      <c r="A724" s="195" t="s">
        <v>602</v>
      </c>
      <c r="B724" s="536" t="s">
        <v>875</v>
      </c>
      <c r="C724" s="195" t="s">
        <v>627</v>
      </c>
      <c r="D724" s="216" t="s">
        <v>628</v>
      </c>
      <c r="E724" s="290"/>
      <c r="F724" s="540">
        <v>2.5</v>
      </c>
      <c r="G724" s="204"/>
      <c r="H724" s="197"/>
      <c r="I724" s="198"/>
      <c r="J724" s="205">
        <v>8.34</v>
      </c>
      <c r="K724" s="287">
        <v>8.34</v>
      </c>
      <c r="L724" s="206">
        <v>113</v>
      </c>
      <c r="M724" s="286">
        <v>113</v>
      </c>
      <c r="N724" s="552">
        <v>41791</v>
      </c>
      <c r="O724" s="205">
        <f t="shared" si="55"/>
        <v>0</v>
      </c>
      <c r="P724" s="555">
        <f>(1+$R$1)*Table33[[#This Row],[Hours]]</f>
        <v>0</v>
      </c>
      <c r="Q724" s="207">
        <f t="shared" si="59"/>
        <v>0</v>
      </c>
      <c r="R724" s="208">
        <f t="shared" si="56"/>
        <v>0</v>
      </c>
      <c r="S724" s="208">
        <f t="shared" si="57"/>
        <v>0</v>
      </c>
      <c r="T724" s="208" t="str">
        <f t="shared" si="58"/>
        <v/>
      </c>
      <c r="U724" s="195">
        <f>Table33[[#This Row],[gal/100ft]]*Table33[[#This Row],[QTY]]/100</f>
        <v>0</v>
      </c>
      <c r="V724" s="195"/>
      <c r="X724" s="195"/>
      <c r="Y724" s="195"/>
    </row>
    <row r="725" spans="1:25" ht="12.75" x14ac:dyDescent="0.2">
      <c r="A725" s="195" t="s">
        <v>602</v>
      </c>
      <c r="B725" s="536" t="s">
        <v>875</v>
      </c>
      <c r="C725" s="195" t="s">
        <v>627</v>
      </c>
      <c r="D725" s="216" t="s">
        <v>628</v>
      </c>
      <c r="E725" s="290"/>
      <c r="F725" s="540">
        <v>4</v>
      </c>
      <c r="G725" s="204"/>
      <c r="H725" s="197"/>
      <c r="I725" s="198"/>
      <c r="J725" s="205">
        <v>11.17</v>
      </c>
      <c r="K725" s="287">
        <v>11.17</v>
      </c>
      <c r="L725" s="206">
        <v>128</v>
      </c>
      <c r="M725" s="286">
        <v>128</v>
      </c>
      <c r="N725" s="552">
        <v>41791</v>
      </c>
      <c r="O725" s="205">
        <f t="shared" si="55"/>
        <v>0</v>
      </c>
      <c r="P725" s="555">
        <f>(1+$R$1)*Table33[[#This Row],[Hours]]</f>
        <v>0</v>
      </c>
      <c r="Q725" s="207">
        <f t="shared" si="59"/>
        <v>0</v>
      </c>
      <c r="R725" s="208">
        <f t="shared" si="56"/>
        <v>0</v>
      </c>
      <c r="S725" s="208">
        <f t="shared" si="57"/>
        <v>0</v>
      </c>
      <c r="T725" s="208" t="str">
        <f t="shared" si="58"/>
        <v/>
      </c>
      <c r="U725" s="195">
        <f>Table33[[#This Row],[gal/100ft]]*Table33[[#This Row],[QTY]]/100</f>
        <v>0</v>
      </c>
      <c r="V725" s="195"/>
      <c r="X725" s="195"/>
      <c r="Y725" s="195"/>
    </row>
    <row r="726" spans="1:25" ht="12.75" x14ac:dyDescent="0.2">
      <c r="A726" s="195" t="s">
        <v>602</v>
      </c>
      <c r="B726" s="536" t="s">
        <v>875</v>
      </c>
      <c r="C726" s="195" t="s">
        <v>627</v>
      </c>
      <c r="D726" s="216" t="s">
        <v>628</v>
      </c>
      <c r="E726" s="290"/>
      <c r="F726" s="540">
        <v>5</v>
      </c>
      <c r="G726" s="204"/>
      <c r="H726" s="197"/>
      <c r="I726" s="198"/>
      <c r="J726" s="205">
        <v>12.64</v>
      </c>
      <c r="K726" s="287">
        <v>12.64</v>
      </c>
      <c r="L726" s="206">
        <v>406</v>
      </c>
      <c r="M726" s="286">
        <v>406</v>
      </c>
      <c r="N726" s="552">
        <v>41791</v>
      </c>
      <c r="O726" s="205">
        <f t="shared" si="55"/>
        <v>0</v>
      </c>
      <c r="P726" s="555">
        <f>(1+$R$1)*Table33[[#This Row],[Hours]]</f>
        <v>0</v>
      </c>
      <c r="Q726" s="207">
        <f t="shared" si="59"/>
        <v>0</v>
      </c>
      <c r="R726" s="208">
        <f t="shared" si="56"/>
        <v>0</v>
      </c>
      <c r="S726" s="208">
        <f t="shared" si="57"/>
        <v>0</v>
      </c>
      <c r="T726" s="208" t="str">
        <f t="shared" si="58"/>
        <v/>
      </c>
      <c r="U726" s="195">
        <f>Table33[[#This Row],[gal/100ft]]*Table33[[#This Row],[QTY]]/100</f>
        <v>0</v>
      </c>
      <c r="V726" s="195"/>
      <c r="X726" s="195"/>
      <c r="Y726" s="195"/>
    </row>
    <row r="727" spans="1:25" ht="12.75" x14ac:dyDescent="0.2">
      <c r="A727" s="195" t="s">
        <v>602</v>
      </c>
      <c r="B727" s="536" t="s">
        <v>875</v>
      </c>
      <c r="C727" s="195" t="s">
        <v>627</v>
      </c>
      <c r="D727" s="216" t="s">
        <v>628</v>
      </c>
      <c r="E727" s="290"/>
      <c r="F727" s="540">
        <v>6</v>
      </c>
      <c r="G727" s="204"/>
      <c r="H727" s="197"/>
      <c r="I727" s="198"/>
      <c r="J727" s="205">
        <v>14.08</v>
      </c>
      <c r="K727" s="287">
        <v>14.08</v>
      </c>
      <c r="L727" s="206">
        <v>320</v>
      </c>
      <c r="M727" s="286">
        <v>320</v>
      </c>
      <c r="N727" s="552">
        <v>41791</v>
      </c>
      <c r="O727" s="205">
        <f t="shared" ref="O727:O790" si="60">K727*E727</f>
        <v>0</v>
      </c>
      <c r="P727" s="555">
        <f>(1+$R$1)*Table33[[#This Row],[Hours]]</f>
        <v>0</v>
      </c>
      <c r="Q727" s="207">
        <f t="shared" si="59"/>
        <v>0</v>
      </c>
      <c r="R727" s="208">
        <f t="shared" ref="R727:R790" si="61">M727*E727</f>
        <v>0</v>
      </c>
      <c r="S727" s="208">
        <f t="shared" ref="S727:S790" si="62">R727+Q727</f>
        <v>0</v>
      </c>
      <c r="T727" s="208" t="str">
        <f t="shared" ref="T727:T790" si="63">IF(E727="","",S727/E727)</f>
        <v/>
      </c>
      <c r="U727" s="195">
        <f>Table33[[#This Row],[gal/100ft]]*Table33[[#This Row],[QTY]]/100</f>
        <v>0</v>
      </c>
      <c r="V727" s="195"/>
      <c r="X727" s="195"/>
      <c r="Y727" s="195"/>
    </row>
    <row r="728" spans="1:25" ht="12.75" x14ac:dyDescent="0.2">
      <c r="A728" s="195" t="s">
        <v>602</v>
      </c>
      <c r="B728" s="536" t="s">
        <v>875</v>
      </c>
      <c r="C728" s="195" t="s">
        <v>627</v>
      </c>
      <c r="D728" s="216" t="s">
        <v>628</v>
      </c>
      <c r="E728" s="290"/>
      <c r="F728" s="540">
        <v>8</v>
      </c>
      <c r="G728" s="204"/>
      <c r="H728" s="197"/>
      <c r="I728" s="198"/>
      <c r="J728" s="205">
        <v>17.41</v>
      </c>
      <c r="K728" s="287">
        <v>17.41</v>
      </c>
      <c r="L728" s="206">
        <v>680</v>
      </c>
      <c r="M728" s="286">
        <v>680</v>
      </c>
      <c r="N728" s="552">
        <v>41791</v>
      </c>
      <c r="O728" s="205">
        <f t="shared" si="60"/>
        <v>0</v>
      </c>
      <c r="P728" s="555">
        <f>(1+$R$1)*Table33[[#This Row],[Hours]]</f>
        <v>0</v>
      </c>
      <c r="Q728" s="207">
        <f t="shared" si="59"/>
        <v>0</v>
      </c>
      <c r="R728" s="208">
        <f t="shared" si="61"/>
        <v>0</v>
      </c>
      <c r="S728" s="208">
        <f t="shared" si="62"/>
        <v>0</v>
      </c>
      <c r="T728" s="208" t="str">
        <f t="shared" si="63"/>
        <v/>
      </c>
      <c r="U728" s="195">
        <f>Table33[[#This Row],[gal/100ft]]*Table33[[#This Row],[QTY]]/100</f>
        <v>0</v>
      </c>
      <c r="V728" s="195"/>
      <c r="X728" s="195"/>
      <c r="Y728" s="195"/>
    </row>
    <row r="729" spans="1:25" ht="12.75" x14ac:dyDescent="0.2">
      <c r="A729" s="195" t="s">
        <v>602</v>
      </c>
      <c r="B729" s="536" t="s">
        <v>875</v>
      </c>
      <c r="C729" s="195" t="s">
        <v>627</v>
      </c>
      <c r="D729" s="216" t="s">
        <v>628</v>
      </c>
      <c r="E729" s="290"/>
      <c r="F729" s="540">
        <v>10</v>
      </c>
      <c r="G729" s="204"/>
      <c r="H729" s="197"/>
      <c r="I729" s="198"/>
      <c r="J729" s="205">
        <v>22</v>
      </c>
      <c r="K729" s="287">
        <v>22</v>
      </c>
      <c r="L729" s="206">
        <v>1100</v>
      </c>
      <c r="M729" s="286">
        <v>1100</v>
      </c>
      <c r="N729" s="552">
        <v>41791</v>
      </c>
      <c r="O729" s="205">
        <f t="shared" si="60"/>
        <v>0</v>
      </c>
      <c r="P729" s="555">
        <f>(1+$R$1)*Table33[[#This Row],[Hours]]</f>
        <v>0</v>
      </c>
      <c r="Q729" s="207">
        <f t="shared" si="59"/>
        <v>0</v>
      </c>
      <c r="R729" s="208">
        <f t="shared" si="61"/>
        <v>0</v>
      </c>
      <c r="S729" s="208">
        <f t="shared" si="62"/>
        <v>0</v>
      </c>
      <c r="T729" s="208" t="str">
        <f t="shared" si="63"/>
        <v/>
      </c>
      <c r="U729" s="195">
        <f>Table33[[#This Row],[gal/100ft]]*Table33[[#This Row],[QTY]]/100</f>
        <v>0</v>
      </c>
      <c r="V729" s="195"/>
      <c r="X729" s="195"/>
      <c r="Y729" s="195"/>
    </row>
    <row r="730" spans="1:25" ht="12.75" x14ac:dyDescent="0.2">
      <c r="A730" s="195" t="s">
        <v>602</v>
      </c>
      <c r="B730" s="536" t="s">
        <v>875</v>
      </c>
      <c r="C730" s="195" t="s">
        <v>627</v>
      </c>
      <c r="D730" s="216" t="s">
        <v>628</v>
      </c>
      <c r="E730" s="290"/>
      <c r="F730" s="540">
        <v>12</v>
      </c>
      <c r="G730" s="204"/>
      <c r="H730" s="197"/>
      <c r="I730" s="198"/>
      <c r="J730" s="205">
        <v>26.65</v>
      </c>
      <c r="K730" s="287">
        <v>26.65</v>
      </c>
      <c r="L730" s="206">
        <v>1530</v>
      </c>
      <c r="M730" s="286">
        <v>1530</v>
      </c>
      <c r="N730" s="552">
        <v>41791</v>
      </c>
      <c r="O730" s="205">
        <f t="shared" si="60"/>
        <v>0</v>
      </c>
      <c r="P730" s="555">
        <f>(1+$R$1)*Table33[[#This Row],[Hours]]</f>
        <v>0</v>
      </c>
      <c r="Q730" s="207">
        <f t="shared" si="59"/>
        <v>0</v>
      </c>
      <c r="R730" s="208">
        <f t="shared" si="61"/>
        <v>0</v>
      </c>
      <c r="S730" s="208">
        <f t="shared" si="62"/>
        <v>0</v>
      </c>
      <c r="T730" s="208" t="str">
        <f t="shared" si="63"/>
        <v/>
      </c>
      <c r="U730" s="195">
        <f>Table33[[#This Row],[gal/100ft]]*Table33[[#This Row],[QTY]]/100</f>
        <v>0</v>
      </c>
      <c r="V730" s="195"/>
      <c r="X730" s="195"/>
      <c r="Y730" s="195"/>
    </row>
    <row r="731" spans="1:25" ht="12.75" x14ac:dyDescent="0.2">
      <c r="A731" s="195" t="s">
        <v>602</v>
      </c>
      <c r="B731" s="536" t="s">
        <v>875</v>
      </c>
      <c r="C731" s="195" t="s">
        <v>627</v>
      </c>
      <c r="D731" s="216" t="s">
        <v>628</v>
      </c>
      <c r="E731" s="290"/>
      <c r="F731" s="540">
        <v>3</v>
      </c>
      <c r="G731" s="204"/>
      <c r="H731" s="197"/>
      <c r="I731" s="198"/>
      <c r="J731" s="205">
        <v>9.4600000000000009</v>
      </c>
      <c r="K731" s="287">
        <v>9.4600000000000009</v>
      </c>
      <c r="L731" s="206">
        <v>89</v>
      </c>
      <c r="M731" s="286">
        <v>89</v>
      </c>
      <c r="N731" s="552">
        <v>41791</v>
      </c>
      <c r="O731" s="205">
        <f t="shared" si="60"/>
        <v>0</v>
      </c>
      <c r="P731" s="555">
        <f>(1+$R$1)*Table33[[#This Row],[Hours]]</f>
        <v>0</v>
      </c>
      <c r="Q731" s="207">
        <f t="shared" si="59"/>
        <v>0</v>
      </c>
      <c r="R731" s="208">
        <f t="shared" si="61"/>
        <v>0</v>
      </c>
      <c r="S731" s="208">
        <f t="shared" si="62"/>
        <v>0</v>
      </c>
      <c r="T731" s="208" t="str">
        <f t="shared" si="63"/>
        <v/>
      </c>
      <c r="U731" s="195">
        <f>Table33[[#This Row],[gal/100ft]]*Table33[[#This Row],[QTY]]/100</f>
        <v>0</v>
      </c>
      <c r="V731" s="195"/>
      <c r="X731" s="195"/>
      <c r="Y731" s="195"/>
    </row>
    <row r="732" spans="1:25" ht="12.75" x14ac:dyDescent="0.2">
      <c r="A732" s="195" t="s">
        <v>593</v>
      </c>
      <c r="B732" s="195" t="s">
        <v>613</v>
      </c>
      <c r="C732" s="195" t="s">
        <v>637</v>
      </c>
      <c r="D732" s="216" t="s">
        <v>638</v>
      </c>
      <c r="E732" s="290"/>
      <c r="F732" s="540">
        <v>0.75</v>
      </c>
      <c r="G732" s="204"/>
      <c r="H732" s="197"/>
      <c r="I732" s="198"/>
      <c r="J732" s="205">
        <v>0.85</v>
      </c>
      <c r="K732" s="287">
        <v>0.85</v>
      </c>
      <c r="L732" s="206">
        <v>38.630000000000003</v>
      </c>
      <c r="M732" s="286">
        <v>38.630000000000003</v>
      </c>
      <c r="N732" s="552">
        <v>41791</v>
      </c>
      <c r="O732" s="205">
        <f t="shared" si="60"/>
        <v>0</v>
      </c>
      <c r="P732" s="555">
        <f>(1+$R$1)*Table33[[#This Row],[Hours]]</f>
        <v>0</v>
      </c>
      <c r="Q732" s="207">
        <f t="shared" si="59"/>
        <v>0</v>
      </c>
      <c r="R732" s="208">
        <f t="shared" si="61"/>
        <v>0</v>
      </c>
      <c r="S732" s="208">
        <f t="shared" si="62"/>
        <v>0</v>
      </c>
      <c r="T732" s="208" t="str">
        <f t="shared" si="63"/>
        <v/>
      </c>
      <c r="U732" s="195">
        <f>Table33[[#This Row],[gal/100ft]]*Table33[[#This Row],[QTY]]/100</f>
        <v>0</v>
      </c>
      <c r="V732" s="195"/>
      <c r="X732" s="195"/>
      <c r="Y732" s="195"/>
    </row>
    <row r="733" spans="1:25" ht="12.75" x14ac:dyDescent="0.2">
      <c r="A733" s="195" t="s">
        <v>593</v>
      </c>
      <c r="B733" s="195" t="s">
        <v>613</v>
      </c>
      <c r="C733" s="195" t="s">
        <v>637</v>
      </c>
      <c r="D733" s="216" t="s">
        <v>638</v>
      </c>
      <c r="E733" s="290"/>
      <c r="F733" s="540">
        <v>1.5</v>
      </c>
      <c r="G733" s="204"/>
      <c r="H733" s="197"/>
      <c r="I733" s="198"/>
      <c r="J733" s="205">
        <v>1.3</v>
      </c>
      <c r="K733" s="287">
        <v>1.3</v>
      </c>
      <c r="L733" s="206">
        <v>84.98</v>
      </c>
      <c r="M733" s="286">
        <v>84.98</v>
      </c>
      <c r="N733" s="552">
        <v>41791</v>
      </c>
      <c r="O733" s="205">
        <f t="shared" si="60"/>
        <v>0</v>
      </c>
      <c r="P733" s="555">
        <f>(1+$R$1)*Table33[[#This Row],[Hours]]</f>
        <v>0</v>
      </c>
      <c r="Q733" s="207">
        <f t="shared" si="59"/>
        <v>0</v>
      </c>
      <c r="R733" s="208">
        <f t="shared" si="61"/>
        <v>0</v>
      </c>
      <c r="S733" s="208">
        <f t="shared" si="62"/>
        <v>0</v>
      </c>
      <c r="T733" s="208" t="str">
        <f t="shared" si="63"/>
        <v/>
      </c>
      <c r="U733" s="195">
        <f>Table33[[#This Row],[gal/100ft]]*Table33[[#This Row],[QTY]]/100</f>
        <v>0</v>
      </c>
      <c r="V733" s="195"/>
      <c r="X733" s="195"/>
      <c r="Y733" s="195"/>
    </row>
    <row r="734" spans="1:25" ht="12.75" x14ac:dyDescent="0.2">
      <c r="A734" s="195" t="s">
        <v>593</v>
      </c>
      <c r="B734" s="195" t="s">
        <v>613</v>
      </c>
      <c r="C734" s="195" t="s">
        <v>637</v>
      </c>
      <c r="D734" s="216" t="s">
        <v>638</v>
      </c>
      <c r="E734" s="290"/>
      <c r="F734" s="540">
        <v>2</v>
      </c>
      <c r="G734" s="204"/>
      <c r="H734" s="197"/>
      <c r="I734" s="198"/>
      <c r="J734" s="205">
        <v>1.6</v>
      </c>
      <c r="K734" s="287">
        <v>1.6</v>
      </c>
      <c r="L734" s="206">
        <v>118.25</v>
      </c>
      <c r="M734" s="286">
        <v>118.25</v>
      </c>
      <c r="N734" s="552">
        <v>41791</v>
      </c>
      <c r="O734" s="205">
        <f t="shared" si="60"/>
        <v>0</v>
      </c>
      <c r="P734" s="555">
        <f>(1+$R$1)*Table33[[#This Row],[Hours]]</f>
        <v>0</v>
      </c>
      <c r="Q734" s="207">
        <f t="shared" si="59"/>
        <v>0</v>
      </c>
      <c r="R734" s="208">
        <f t="shared" si="61"/>
        <v>0</v>
      </c>
      <c r="S734" s="208">
        <f t="shared" si="62"/>
        <v>0</v>
      </c>
      <c r="T734" s="208" t="str">
        <f t="shared" si="63"/>
        <v/>
      </c>
      <c r="U734" s="195">
        <f>Table33[[#This Row],[gal/100ft]]*Table33[[#This Row],[QTY]]/100</f>
        <v>0</v>
      </c>
      <c r="V734" s="195"/>
      <c r="X734" s="195"/>
      <c r="Y734" s="195"/>
    </row>
    <row r="735" spans="1:25" ht="12.75" x14ac:dyDescent="0.2">
      <c r="A735" s="195" t="s">
        <v>593</v>
      </c>
      <c r="B735" s="195" t="s">
        <v>613</v>
      </c>
      <c r="C735" s="195" t="s">
        <v>637</v>
      </c>
      <c r="D735" s="216" t="s">
        <v>638</v>
      </c>
      <c r="E735" s="290"/>
      <c r="F735" s="540">
        <v>2.5</v>
      </c>
      <c r="G735" s="204"/>
      <c r="H735" s="197"/>
      <c r="I735" s="198"/>
      <c r="J735" s="205">
        <v>2.66</v>
      </c>
      <c r="K735" s="287">
        <v>2.66</v>
      </c>
      <c r="L735" s="206"/>
      <c r="M735" s="286">
        <v>0</v>
      </c>
      <c r="N735" s="552">
        <v>41791</v>
      </c>
      <c r="O735" s="205">
        <f t="shared" si="60"/>
        <v>0</v>
      </c>
      <c r="P735" s="555">
        <f>(1+$R$1)*Table33[[#This Row],[Hours]]</f>
        <v>0</v>
      </c>
      <c r="Q735" s="207">
        <f t="shared" si="59"/>
        <v>0</v>
      </c>
      <c r="R735" s="208">
        <f t="shared" si="61"/>
        <v>0</v>
      </c>
      <c r="S735" s="208">
        <f t="shared" si="62"/>
        <v>0</v>
      </c>
      <c r="T735" s="208" t="str">
        <f t="shared" si="63"/>
        <v/>
      </c>
      <c r="U735" s="195">
        <f>Table33[[#This Row],[gal/100ft]]*Table33[[#This Row],[QTY]]/100</f>
        <v>0</v>
      </c>
      <c r="V735" s="195"/>
      <c r="X735" s="195"/>
      <c r="Y735" s="195"/>
    </row>
    <row r="736" spans="1:25" ht="12.75" x14ac:dyDescent="0.2">
      <c r="A736" s="195" t="s">
        <v>593</v>
      </c>
      <c r="B736" s="195" t="s">
        <v>613</v>
      </c>
      <c r="C736" s="195" t="s">
        <v>637</v>
      </c>
      <c r="D736" s="216" t="s">
        <v>638</v>
      </c>
      <c r="E736" s="290"/>
      <c r="F736" s="540" t="s">
        <v>596</v>
      </c>
      <c r="G736" s="204"/>
      <c r="H736" s="197"/>
      <c r="I736" s="198"/>
      <c r="J736" s="205">
        <v>0.61</v>
      </c>
      <c r="K736" s="287">
        <v>0.61</v>
      </c>
      <c r="L736" s="206">
        <v>33.28</v>
      </c>
      <c r="M736" s="286">
        <v>33.28</v>
      </c>
      <c r="N736" s="552">
        <v>41791</v>
      </c>
      <c r="O736" s="205">
        <f t="shared" si="60"/>
        <v>0</v>
      </c>
      <c r="P736" s="555">
        <f>(1+$R$1)*Table33[[#This Row],[Hours]]</f>
        <v>0</v>
      </c>
      <c r="Q736" s="207">
        <f t="shared" si="59"/>
        <v>0</v>
      </c>
      <c r="R736" s="208">
        <f t="shared" si="61"/>
        <v>0</v>
      </c>
      <c r="S736" s="208">
        <f t="shared" si="62"/>
        <v>0</v>
      </c>
      <c r="T736" s="208" t="str">
        <f t="shared" si="63"/>
        <v/>
      </c>
      <c r="U736" s="195">
        <f>Table33[[#This Row],[gal/100ft]]*Table33[[#This Row],[QTY]]/100</f>
        <v>0</v>
      </c>
      <c r="V736" s="195"/>
      <c r="X736" s="195"/>
      <c r="Y736" s="195"/>
    </row>
    <row r="737" spans="1:25" ht="12.75" x14ac:dyDescent="0.2">
      <c r="A737" s="195" t="s">
        <v>593</v>
      </c>
      <c r="B737" s="195" t="s">
        <v>613</v>
      </c>
      <c r="C737" s="195" t="s">
        <v>637</v>
      </c>
      <c r="D737" s="216" t="s">
        <v>638</v>
      </c>
      <c r="E737" s="290"/>
      <c r="F737" s="540">
        <v>1</v>
      </c>
      <c r="G737" s="204"/>
      <c r="H737" s="197"/>
      <c r="I737" s="198"/>
      <c r="J737" s="205">
        <v>1.03</v>
      </c>
      <c r="K737" s="287">
        <v>1.03</v>
      </c>
      <c r="L737" s="206">
        <v>50.52</v>
      </c>
      <c r="M737" s="286">
        <v>50.52</v>
      </c>
      <c r="N737" s="552">
        <v>41791</v>
      </c>
      <c r="O737" s="205">
        <f t="shared" si="60"/>
        <v>0</v>
      </c>
      <c r="P737" s="555">
        <f>(1+$R$1)*Table33[[#This Row],[Hours]]</f>
        <v>0</v>
      </c>
      <c r="Q737" s="207">
        <f t="shared" si="59"/>
        <v>0</v>
      </c>
      <c r="R737" s="208">
        <f t="shared" si="61"/>
        <v>0</v>
      </c>
      <c r="S737" s="208">
        <f t="shared" si="62"/>
        <v>0</v>
      </c>
      <c r="T737" s="208" t="str">
        <f t="shared" si="63"/>
        <v/>
      </c>
      <c r="U737" s="195">
        <f>Table33[[#This Row],[gal/100ft]]*Table33[[#This Row],[QTY]]/100</f>
        <v>0</v>
      </c>
      <c r="V737" s="195"/>
      <c r="X737" s="195"/>
      <c r="Y737" s="195"/>
    </row>
    <row r="738" spans="1:25" ht="12.75" x14ac:dyDescent="0.2">
      <c r="A738" s="195" t="s">
        <v>593</v>
      </c>
      <c r="B738" s="195" t="s">
        <v>613</v>
      </c>
      <c r="C738" s="195" t="s">
        <v>637</v>
      </c>
      <c r="D738" s="216" t="s">
        <v>638</v>
      </c>
      <c r="E738" s="290"/>
      <c r="F738" s="540">
        <v>1.25</v>
      </c>
      <c r="G738" s="204"/>
      <c r="H738" s="197"/>
      <c r="I738" s="198"/>
      <c r="J738" s="205">
        <v>1.2</v>
      </c>
      <c r="K738" s="287">
        <v>1.2</v>
      </c>
      <c r="L738" s="206">
        <v>68.94</v>
      </c>
      <c r="M738" s="286">
        <v>68.94</v>
      </c>
      <c r="N738" s="552">
        <v>41791</v>
      </c>
      <c r="O738" s="205">
        <f t="shared" si="60"/>
        <v>0</v>
      </c>
      <c r="P738" s="555">
        <f>(1+$R$1)*Table33[[#This Row],[Hours]]</f>
        <v>0</v>
      </c>
      <c r="Q738" s="207">
        <f t="shared" si="59"/>
        <v>0</v>
      </c>
      <c r="R738" s="208">
        <f t="shared" si="61"/>
        <v>0</v>
      </c>
      <c r="S738" s="208">
        <f t="shared" si="62"/>
        <v>0</v>
      </c>
      <c r="T738" s="208" t="str">
        <f t="shared" si="63"/>
        <v/>
      </c>
      <c r="U738" s="195">
        <f>Table33[[#This Row],[gal/100ft]]*Table33[[#This Row],[QTY]]/100</f>
        <v>0</v>
      </c>
      <c r="V738" s="195"/>
      <c r="X738" s="195"/>
      <c r="Y738" s="195"/>
    </row>
    <row r="739" spans="1:25" ht="12.75" x14ac:dyDescent="0.2">
      <c r="A739" s="536" t="s">
        <v>585</v>
      </c>
      <c r="B739" s="195" t="s">
        <v>585</v>
      </c>
      <c r="C739" s="195" t="s">
        <v>646</v>
      </c>
      <c r="D739" s="216" t="s">
        <v>647</v>
      </c>
      <c r="E739" s="290"/>
      <c r="F739" s="540">
        <v>0.38250000000000001</v>
      </c>
      <c r="G739" s="204"/>
      <c r="H739" s="197"/>
      <c r="I739" s="198"/>
      <c r="J739" s="205"/>
      <c r="K739" s="287"/>
      <c r="L739" s="206"/>
      <c r="M739" s="286">
        <v>0.46</v>
      </c>
      <c r="N739" s="552">
        <v>41791</v>
      </c>
      <c r="O739" s="205">
        <f t="shared" si="60"/>
        <v>0</v>
      </c>
      <c r="P739" s="555">
        <f>(1+$R$1)*Table33[[#This Row],[Hours]]</f>
        <v>0</v>
      </c>
      <c r="Q739" s="207">
        <f t="shared" si="59"/>
        <v>0</v>
      </c>
      <c r="R739" s="208">
        <f t="shared" si="61"/>
        <v>0</v>
      </c>
      <c r="S739" s="208">
        <f t="shared" si="62"/>
        <v>0</v>
      </c>
      <c r="T739" s="208" t="str">
        <f t="shared" si="63"/>
        <v/>
      </c>
      <c r="U739" s="195">
        <f>Table33[[#This Row],[gal/100ft]]*Table33[[#This Row],[QTY]]/100</f>
        <v>0</v>
      </c>
      <c r="V739" s="195"/>
      <c r="X739" s="195"/>
      <c r="Y739" s="195"/>
    </row>
    <row r="740" spans="1:25" ht="12.75" x14ac:dyDescent="0.2">
      <c r="A740" s="536" t="s">
        <v>585</v>
      </c>
      <c r="B740" s="195" t="s">
        <v>585</v>
      </c>
      <c r="C740" s="195" t="s">
        <v>646</v>
      </c>
      <c r="D740" s="216" t="s">
        <v>647</v>
      </c>
      <c r="E740" s="290"/>
      <c r="F740" s="540" t="s">
        <v>588</v>
      </c>
      <c r="G740" s="204"/>
      <c r="H740" s="197"/>
      <c r="I740" s="198"/>
      <c r="J740" s="205"/>
      <c r="K740" s="287"/>
      <c r="L740" s="206"/>
      <c r="M740" s="286">
        <v>0.62</v>
      </c>
      <c r="N740" s="552">
        <v>41791</v>
      </c>
      <c r="O740" s="205">
        <f t="shared" si="60"/>
        <v>0</v>
      </c>
      <c r="P740" s="555">
        <f>(1+$R$1)*Table33[[#This Row],[Hours]]</f>
        <v>0</v>
      </c>
      <c r="Q740" s="207">
        <f t="shared" si="59"/>
        <v>0</v>
      </c>
      <c r="R740" s="208">
        <f t="shared" si="61"/>
        <v>0</v>
      </c>
      <c r="S740" s="208">
        <f t="shared" si="62"/>
        <v>0</v>
      </c>
      <c r="T740" s="208" t="str">
        <f t="shared" si="63"/>
        <v/>
      </c>
      <c r="U740" s="195">
        <f>Table33[[#This Row],[gal/100ft]]*Table33[[#This Row],[QTY]]/100</f>
        <v>0</v>
      </c>
      <c r="V740" s="195"/>
      <c r="X740" s="195"/>
      <c r="Y740" s="195"/>
    </row>
    <row r="741" spans="1:25" ht="12.75" x14ac:dyDescent="0.2">
      <c r="A741" s="536" t="s">
        <v>585</v>
      </c>
      <c r="B741" s="195" t="s">
        <v>585</v>
      </c>
      <c r="C741" s="195" t="s">
        <v>597</v>
      </c>
      <c r="D741" s="216" t="s">
        <v>598</v>
      </c>
      <c r="E741" s="290"/>
      <c r="F741" s="540">
        <v>1.625</v>
      </c>
      <c r="G741" s="204"/>
      <c r="H741" s="197" t="s">
        <v>599</v>
      </c>
      <c r="I741" s="198"/>
      <c r="J741" s="205"/>
      <c r="K741" s="287">
        <v>0.5</v>
      </c>
      <c r="L741" s="206"/>
      <c r="M741" s="286">
        <v>12</v>
      </c>
      <c r="N741" s="552">
        <v>41791</v>
      </c>
      <c r="O741" s="205">
        <f t="shared" si="60"/>
        <v>0</v>
      </c>
      <c r="P741" s="555">
        <f>(1+$R$1)*Table33[[#This Row],[Hours]]</f>
        <v>0</v>
      </c>
      <c r="Q741" s="207">
        <f t="shared" si="59"/>
        <v>0</v>
      </c>
      <c r="R741" s="208">
        <f t="shared" si="61"/>
        <v>0</v>
      </c>
      <c r="S741" s="208">
        <f t="shared" si="62"/>
        <v>0</v>
      </c>
      <c r="T741" s="208" t="str">
        <f t="shared" si="63"/>
        <v/>
      </c>
      <c r="U741" s="195">
        <f>Table33[[#This Row],[gal/100ft]]*Table33[[#This Row],[QTY]]/100</f>
        <v>0</v>
      </c>
      <c r="V741" s="195"/>
      <c r="X741" s="195"/>
      <c r="Y741" s="195"/>
    </row>
    <row r="742" spans="1:25" ht="12.75" x14ac:dyDescent="0.2">
      <c r="A742" s="536" t="s">
        <v>585</v>
      </c>
      <c r="B742" s="195" t="s">
        <v>585</v>
      </c>
      <c r="C742" s="195" t="s">
        <v>591</v>
      </c>
      <c r="D742" s="216" t="s">
        <v>592</v>
      </c>
      <c r="E742" s="290"/>
      <c r="F742" s="540">
        <v>1.625</v>
      </c>
      <c r="G742" s="204" t="s">
        <v>576</v>
      </c>
      <c r="H742" s="197">
        <v>1.625</v>
      </c>
      <c r="I742" s="198"/>
      <c r="J742" s="205"/>
      <c r="K742" s="287"/>
      <c r="L742" s="206"/>
      <c r="M742" s="286">
        <v>1.8</v>
      </c>
      <c r="N742" s="552">
        <v>41791</v>
      </c>
      <c r="O742" s="205">
        <f t="shared" si="60"/>
        <v>0</v>
      </c>
      <c r="P742" s="555">
        <f>(1+$R$1)*Table33[[#This Row],[Hours]]</f>
        <v>0</v>
      </c>
      <c r="Q742" s="207">
        <f t="shared" si="59"/>
        <v>0</v>
      </c>
      <c r="R742" s="208">
        <f t="shared" si="61"/>
        <v>0</v>
      </c>
      <c r="S742" s="208">
        <f t="shared" si="62"/>
        <v>0</v>
      </c>
      <c r="T742" s="208" t="str">
        <f t="shared" si="63"/>
        <v/>
      </c>
      <c r="U742" s="195">
        <f>Table33[[#This Row],[gal/100ft]]*Table33[[#This Row],[QTY]]/100</f>
        <v>0</v>
      </c>
      <c r="V742" s="195"/>
      <c r="X742" s="195"/>
      <c r="Y742" s="195"/>
    </row>
    <row r="743" spans="1:25" ht="12.75" x14ac:dyDescent="0.2">
      <c r="A743" s="275" t="s">
        <v>695</v>
      </c>
      <c r="B743" s="275" t="s">
        <v>693</v>
      </c>
      <c r="C743" s="275" t="s">
        <v>698</v>
      </c>
      <c r="D743" s="276" t="s">
        <v>699</v>
      </c>
      <c r="E743" s="290"/>
      <c r="F743" s="540">
        <v>0.5</v>
      </c>
      <c r="G743" s="277"/>
      <c r="H743" s="278"/>
      <c r="I743" s="279"/>
      <c r="J743" s="205">
        <v>0.6</v>
      </c>
      <c r="K743" s="287">
        <v>0.6</v>
      </c>
      <c r="L743" s="206">
        <v>5.03</v>
      </c>
      <c r="M743" s="286">
        <v>5.03</v>
      </c>
      <c r="N743" s="552">
        <v>41791</v>
      </c>
      <c r="O743" s="205">
        <f t="shared" si="60"/>
        <v>0</v>
      </c>
      <c r="P743" s="555">
        <f>(1+$R$1)*Table33[[#This Row],[Hours]]</f>
        <v>0</v>
      </c>
      <c r="Q743" s="207">
        <f t="shared" si="59"/>
        <v>0</v>
      </c>
      <c r="R743" s="208">
        <f t="shared" si="61"/>
        <v>0</v>
      </c>
      <c r="S743" s="208">
        <f t="shared" si="62"/>
        <v>0</v>
      </c>
      <c r="T743" s="208" t="str">
        <f t="shared" si="63"/>
        <v/>
      </c>
      <c r="U743" s="195">
        <f>Table33[[#This Row],[gal/100ft]]*Table33[[#This Row],[QTY]]/100</f>
        <v>0</v>
      </c>
      <c r="V743" s="195"/>
      <c r="X743" s="195"/>
      <c r="Y743" s="195"/>
    </row>
    <row r="744" spans="1:25" ht="12.75" x14ac:dyDescent="0.2">
      <c r="A744" s="275" t="s">
        <v>695</v>
      </c>
      <c r="B744" s="275" t="s">
        <v>693</v>
      </c>
      <c r="C744" s="275" t="s">
        <v>698</v>
      </c>
      <c r="D744" s="276" t="s">
        <v>699</v>
      </c>
      <c r="E744" s="538"/>
      <c r="F744" s="541">
        <v>0.75</v>
      </c>
      <c r="G744" s="277"/>
      <c r="H744" s="278"/>
      <c r="I744" s="279"/>
      <c r="J744" s="205">
        <v>0.82</v>
      </c>
      <c r="K744" s="287">
        <v>0.82</v>
      </c>
      <c r="L744" s="206">
        <v>6.32</v>
      </c>
      <c r="M744" s="286">
        <v>6.32</v>
      </c>
      <c r="N744" s="552">
        <v>41791</v>
      </c>
      <c r="O744" s="205">
        <f t="shared" si="60"/>
        <v>0</v>
      </c>
      <c r="P744" s="555">
        <f>(1+$R$1)*Table33[[#This Row],[Hours]]</f>
        <v>0</v>
      </c>
      <c r="Q744" s="207">
        <f t="shared" si="59"/>
        <v>0</v>
      </c>
      <c r="R744" s="208">
        <f t="shared" si="61"/>
        <v>0</v>
      </c>
      <c r="S744" s="208">
        <f t="shared" si="62"/>
        <v>0</v>
      </c>
      <c r="T744" s="208" t="str">
        <f t="shared" si="63"/>
        <v/>
      </c>
      <c r="U744" s="195">
        <f>Table33[[#This Row],[gal/100ft]]*Table33[[#This Row],[QTY]]/100</f>
        <v>0</v>
      </c>
      <c r="V744" s="195"/>
      <c r="X744" s="195"/>
      <c r="Y744" s="195"/>
    </row>
    <row r="745" spans="1:25" ht="12.75" x14ac:dyDescent="0.2">
      <c r="A745" s="275" t="s">
        <v>695</v>
      </c>
      <c r="B745" s="275" t="s">
        <v>693</v>
      </c>
      <c r="C745" s="275" t="s">
        <v>698</v>
      </c>
      <c r="D745" s="276" t="s">
        <v>699</v>
      </c>
      <c r="E745" s="538"/>
      <c r="F745" s="541">
        <v>1</v>
      </c>
      <c r="G745" s="277"/>
      <c r="H745" s="278"/>
      <c r="I745" s="279"/>
      <c r="J745" s="205">
        <v>0.99</v>
      </c>
      <c r="K745" s="287">
        <v>0.99</v>
      </c>
      <c r="L745" s="206">
        <v>10.63</v>
      </c>
      <c r="M745" s="286">
        <v>10.63</v>
      </c>
      <c r="N745" s="552">
        <v>41791</v>
      </c>
      <c r="O745" s="205">
        <f t="shared" si="60"/>
        <v>0</v>
      </c>
      <c r="P745" s="555">
        <f>(1+$R$1)*Table33[[#This Row],[Hours]]</f>
        <v>0</v>
      </c>
      <c r="Q745" s="207">
        <f t="shared" si="59"/>
        <v>0</v>
      </c>
      <c r="R745" s="208">
        <f t="shared" si="61"/>
        <v>0</v>
      </c>
      <c r="S745" s="208">
        <f t="shared" si="62"/>
        <v>0</v>
      </c>
      <c r="T745" s="208" t="str">
        <f t="shared" si="63"/>
        <v/>
      </c>
      <c r="U745" s="195">
        <f>Table33[[#This Row],[gal/100ft]]*Table33[[#This Row],[QTY]]/100</f>
        <v>0</v>
      </c>
      <c r="V745" s="195"/>
      <c r="X745" s="195"/>
      <c r="Y745" s="195"/>
    </row>
    <row r="746" spans="1:25" ht="12.75" x14ac:dyDescent="0.2">
      <c r="A746" s="275" t="s">
        <v>695</v>
      </c>
      <c r="B746" s="275" t="s">
        <v>693</v>
      </c>
      <c r="C746" s="275" t="s">
        <v>698</v>
      </c>
      <c r="D746" s="276" t="s">
        <v>699</v>
      </c>
      <c r="E746" s="538"/>
      <c r="F746" s="541">
        <v>1.25</v>
      </c>
      <c r="G746" s="277"/>
      <c r="H746" s="278"/>
      <c r="I746" s="279"/>
      <c r="J746" s="205">
        <v>1.0900000000000001</v>
      </c>
      <c r="K746" s="287">
        <v>1.0900000000000001</v>
      </c>
      <c r="L746" s="206">
        <v>24.25</v>
      </c>
      <c r="M746" s="286">
        <v>24.25</v>
      </c>
      <c r="N746" s="552">
        <v>41791</v>
      </c>
      <c r="O746" s="205">
        <f t="shared" si="60"/>
        <v>0</v>
      </c>
      <c r="P746" s="555">
        <f>(1+$R$1)*Table33[[#This Row],[Hours]]</f>
        <v>0</v>
      </c>
      <c r="Q746" s="207">
        <f t="shared" si="59"/>
        <v>0</v>
      </c>
      <c r="R746" s="208">
        <f t="shared" si="61"/>
        <v>0</v>
      </c>
      <c r="S746" s="208">
        <f t="shared" si="62"/>
        <v>0</v>
      </c>
      <c r="T746" s="208" t="str">
        <f t="shared" si="63"/>
        <v/>
      </c>
      <c r="U746" s="195">
        <f>Table33[[#This Row],[gal/100ft]]*Table33[[#This Row],[QTY]]/100</f>
        <v>0</v>
      </c>
      <c r="V746" s="195"/>
      <c r="X746" s="195"/>
      <c r="Y746" s="195"/>
    </row>
    <row r="747" spans="1:25" ht="12.75" x14ac:dyDescent="0.2">
      <c r="A747" s="275" t="s">
        <v>695</v>
      </c>
      <c r="B747" s="275" t="s">
        <v>693</v>
      </c>
      <c r="C747" s="275" t="s">
        <v>698</v>
      </c>
      <c r="D747" s="276" t="s">
        <v>699</v>
      </c>
      <c r="E747" s="538"/>
      <c r="F747" s="541">
        <v>1.5</v>
      </c>
      <c r="G747" s="277"/>
      <c r="H747" s="278"/>
      <c r="I747" s="279"/>
      <c r="J747" s="205">
        <v>1.17</v>
      </c>
      <c r="K747" s="287">
        <v>1.17</v>
      </c>
      <c r="L747" s="206">
        <v>22.25</v>
      </c>
      <c r="M747" s="286">
        <v>22.25</v>
      </c>
      <c r="N747" s="552">
        <v>41791</v>
      </c>
      <c r="O747" s="205">
        <f t="shared" si="60"/>
        <v>0</v>
      </c>
      <c r="P747" s="555">
        <f>(1+$R$1)*Table33[[#This Row],[Hours]]</f>
        <v>0</v>
      </c>
      <c r="Q747" s="207">
        <f t="shared" si="59"/>
        <v>0</v>
      </c>
      <c r="R747" s="208">
        <f t="shared" si="61"/>
        <v>0</v>
      </c>
      <c r="S747" s="208">
        <f t="shared" si="62"/>
        <v>0</v>
      </c>
      <c r="T747" s="208" t="str">
        <f t="shared" si="63"/>
        <v/>
      </c>
      <c r="U747" s="195">
        <f>Table33[[#This Row],[gal/100ft]]*Table33[[#This Row],[QTY]]/100</f>
        <v>0</v>
      </c>
      <c r="V747" s="195"/>
      <c r="X747" s="195"/>
      <c r="Y747" s="195"/>
    </row>
    <row r="748" spans="1:25" ht="12.75" x14ac:dyDescent="0.2">
      <c r="A748" s="275" t="s">
        <v>695</v>
      </c>
      <c r="B748" s="275" t="s">
        <v>693</v>
      </c>
      <c r="C748" s="275" t="s">
        <v>698</v>
      </c>
      <c r="D748" s="276" t="s">
        <v>699</v>
      </c>
      <c r="E748" s="538"/>
      <c r="F748" s="541">
        <v>2</v>
      </c>
      <c r="G748" s="277"/>
      <c r="H748" s="278"/>
      <c r="I748" s="279"/>
      <c r="J748" s="205">
        <v>1.38</v>
      </c>
      <c r="K748" s="287">
        <v>1.38</v>
      </c>
      <c r="L748" s="206">
        <v>43.67</v>
      </c>
      <c r="M748" s="286">
        <v>43.67</v>
      </c>
      <c r="N748" s="552">
        <v>41791</v>
      </c>
      <c r="O748" s="205">
        <f t="shared" si="60"/>
        <v>0</v>
      </c>
      <c r="P748" s="555">
        <f>(1+$R$1)*Table33[[#This Row],[Hours]]</f>
        <v>0</v>
      </c>
      <c r="Q748" s="207">
        <f t="shared" si="59"/>
        <v>0</v>
      </c>
      <c r="R748" s="208">
        <f t="shared" si="61"/>
        <v>0</v>
      </c>
      <c r="S748" s="208">
        <f t="shared" si="62"/>
        <v>0</v>
      </c>
      <c r="T748" s="208" t="str">
        <f t="shared" si="63"/>
        <v/>
      </c>
      <c r="U748" s="195">
        <f>Table33[[#This Row],[gal/100ft]]*Table33[[#This Row],[QTY]]/100</f>
        <v>0</v>
      </c>
      <c r="V748" s="195"/>
      <c r="X748" s="195"/>
      <c r="Y748" s="195"/>
    </row>
    <row r="749" spans="1:25" ht="12.75" x14ac:dyDescent="0.2">
      <c r="A749" s="311" t="s">
        <v>711</v>
      </c>
      <c r="B749" s="311" t="s">
        <v>711</v>
      </c>
      <c r="C749" s="311" t="s">
        <v>698</v>
      </c>
      <c r="D749" s="545" t="s">
        <v>716</v>
      </c>
      <c r="E749" s="290"/>
      <c r="F749" s="546">
        <v>0.5</v>
      </c>
      <c r="G749" s="312"/>
      <c r="H749" s="313"/>
      <c r="I749" s="314"/>
      <c r="J749" s="205">
        <v>0.3</v>
      </c>
      <c r="K749" s="287">
        <v>0.3</v>
      </c>
      <c r="L749" s="206">
        <v>11.33</v>
      </c>
      <c r="M749" s="286">
        <v>11.33</v>
      </c>
      <c r="N749" s="552">
        <v>41791</v>
      </c>
      <c r="O749" s="205">
        <f t="shared" si="60"/>
        <v>0</v>
      </c>
      <c r="P749" s="555">
        <f>(1+$R$1)*Table33[[#This Row],[Hours]]</f>
        <v>0</v>
      </c>
      <c r="Q749" s="207">
        <f t="shared" si="59"/>
        <v>0</v>
      </c>
      <c r="R749" s="208">
        <f t="shared" si="61"/>
        <v>0</v>
      </c>
      <c r="S749" s="208">
        <f t="shared" si="62"/>
        <v>0</v>
      </c>
      <c r="T749" s="208" t="str">
        <f t="shared" si="63"/>
        <v/>
      </c>
      <c r="U749" s="195">
        <f>Table33[[#This Row],[gal/100ft]]*Table33[[#This Row],[QTY]]/100</f>
        <v>0</v>
      </c>
      <c r="V749" s="195"/>
      <c r="X749" s="195"/>
      <c r="Y749" s="195"/>
    </row>
    <row r="750" spans="1:25" ht="12.75" x14ac:dyDescent="0.2">
      <c r="A750" s="311" t="s">
        <v>711</v>
      </c>
      <c r="B750" s="311" t="s">
        <v>711</v>
      </c>
      <c r="C750" s="311" t="s">
        <v>698</v>
      </c>
      <c r="D750" s="545" t="s">
        <v>716</v>
      </c>
      <c r="E750" s="290"/>
      <c r="F750" s="546">
        <v>0.75</v>
      </c>
      <c r="G750" s="312"/>
      <c r="H750" s="313"/>
      <c r="I750" s="314"/>
      <c r="J750" s="205">
        <v>0.41</v>
      </c>
      <c r="K750" s="287">
        <v>0.41</v>
      </c>
      <c r="L750" s="206">
        <v>14.85</v>
      </c>
      <c r="M750" s="286">
        <v>14.85</v>
      </c>
      <c r="N750" s="552">
        <v>41791</v>
      </c>
      <c r="O750" s="205">
        <f t="shared" si="60"/>
        <v>0</v>
      </c>
      <c r="P750" s="555">
        <f>(1+$R$1)*Table33[[#This Row],[Hours]]</f>
        <v>0</v>
      </c>
      <c r="Q750" s="207">
        <f t="shared" si="59"/>
        <v>0</v>
      </c>
      <c r="R750" s="208">
        <f t="shared" si="61"/>
        <v>0</v>
      </c>
      <c r="S750" s="208">
        <f t="shared" si="62"/>
        <v>0</v>
      </c>
      <c r="T750" s="208" t="str">
        <f t="shared" si="63"/>
        <v/>
      </c>
      <c r="U750" s="195">
        <f>Table33[[#This Row],[gal/100ft]]*Table33[[#This Row],[QTY]]/100</f>
        <v>0</v>
      </c>
      <c r="V750" s="195"/>
      <c r="X750" s="195"/>
      <c r="Y750" s="195"/>
    </row>
    <row r="751" spans="1:25" ht="12.75" x14ac:dyDescent="0.2">
      <c r="A751" s="311" t="s">
        <v>711</v>
      </c>
      <c r="B751" s="311" t="s">
        <v>711</v>
      </c>
      <c r="C751" s="311" t="s">
        <v>698</v>
      </c>
      <c r="D751" s="545" t="s">
        <v>716</v>
      </c>
      <c r="E751" s="290"/>
      <c r="F751" s="546">
        <v>1</v>
      </c>
      <c r="G751" s="312"/>
      <c r="H751" s="313"/>
      <c r="I751" s="314"/>
      <c r="J751" s="205">
        <v>0.47</v>
      </c>
      <c r="K751" s="287">
        <v>0.47</v>
      </c>
      <c r="L751" s="206">
        <v>23.73</v>
      </c>
      <c r="M751" s="286">
        <v>23.73</v>
      </c>
      <c r="N751" s="552">
        <v>41791</v>
      </c>
      <c r="O751" s="205">
        <f t="shared" si="60"/>
        <v>0</v>
      </c>
      <c r="P751" s="555">
        <f>(1+$R$1)*Table33[[#This Row],[Hours]]</f>
        <v>0</v>
      </c>
      <c r="Q751" s="207">
        <f t="shared" si="59"/>
        <v>0</v>
      </c>
      <c r="R751" s="208">
        <f t="shared" si="61"/>
        <v>0</v>
      </c>
      <c r="S751" s="208">
        <f t="shared" si="62"/>
        <v>0</v>
      </c>
      <c r="T751" s="208" t="str">
        <f t="shared" si="63"/>
        <v/>
      </c>
      <c r="U751" s="195">
        <f>Table33[[#This Row],[gal/100ft]]*Table33[[#This Row],[QTY]]/100</f>
        <v>0</v>
      </c>
      <c r="V751" s="195"/>
      <c r="X751" s="195"/>
      <c r="Y751" s="195"/>
    </row>
    <row r="752" spans="1:25" ht="12.75" x14ac:dyDescent="0.2">
      <c r="A752" s="311" t="s">
        <v>711</v>
      </c>
      <c r="B752" s="311" t="s">
        <v>711</v>
      </c>
      <c r="C752" s="311" t="s">
        <v>698</v>
      </c>
      <c r="D752" s="545" t="s">
        <v>716</v>
      </c>
      <c r="E752" s="290"/>
      <c r="F752" s="540">
        <v>1.25</v>
      </c>
      <c r="G752" s="312"/>
      <c r="H752" s="313"/>
      <c r="I752" s="314"/>
      <c r="J752" s="205">
        <v>0.56000000000000005</v>
      </c>
      <c r="K752" s="287">
        <v>0.56000000000000005</v>
      </c>
      <c r="L752" s="206">
        <v>33.869999999999997</v>
      </c>
      <c r="M752" s="286">
        <v>33.869999999999997</v>
      </c>
      <c r="N752" s="552">
        <v>41791</v>
      </c>
      <c r="O752" s="205">
        <f t="shared" si="60"/>
        <v>0</v>
      </c>
      <c r="P752" s="555">
        <f>(1+$R$1)*Table33[[#This Row],[Hours]]</f>
        <v>0</v>
      </c>
      <c r="Q752" s="207">
        <f t="shared" si="59"/>
        <v>0</v>
      </c>
      <c r="R752" s="208">
        <f t="shared" si="61"/>
        <v>0</v>
      </c>
      <c r="S752" s="208">
        <f t="shared" si="62"/>
        <v>0</v>
      </c>
      <c r="T752" s="208" t="str">
        <f t="shared" si="63"/>
        <v/>
      </c>
      <c r="U752" s="195">
        <f>Table33[[#This Row],[gal/100ft]]*Table33[[#This Row],[QTY]]/100</f>
        <v>0</v>
      </c>
      <c r="V752" s="195"/>
      <c r="X752" s="195"/>
      <c r="Y752" s="195"/>
    </row>
    <row r="753" spans="1:25" ht="12.75" x14ac:dyDescent="0.2">
      <c r="A753" s="311" t="s">
        <v>711</v>
      </c>
      <c r="B753" s="311" t="s">
        <v>711</v>
      </c>
      <c r="C753" s="311" t="s">
        <v>698</v>
      </c>
      <c r="D753" s="545" t="s">
        <v>716</v>
      </c>
      <c r="E753" s="290"/>
      <c r="F753" s="540">
        <v>1.5</v>
      </c>
      <c r="G753" s="312"/>
      <c r="H753" s="313"/>
      <c r="I753" s="314"/>
      <c r="J753" s="205">
        <v>0.64</v>
      </c>
      <c r="K753" s="287">
        <v>0.64</v>
      </c>
      <c r="L753" s="206">
        <v>46</v>
      </c>
      <c r="M753" s="286">
        <v>46</v>
      </c>
      <c r="N753" s="552">
        <v>41791</v>
      </c>
      <c r="O753" s="205">
        <f t="shared" si="60"/>
        <v>0</v>
      </c>
      <c r="P753" s="555">
        <f>(1+$R$1)*Table33[[#This Row],[Hours]]</f>
        <v>0</v>
      </c>
      <c r="Q753" s="207">
        <f t="shared" si="59"/>
        <v>0</v>
      </c>
      <c r="R753" s="208">
        <f t="shared" si="61"/>
        <v>0</v>
      </c>
      <c r="S753" s="208">
        <f t="shared" si="62"/>
        <v>0</v>
      </c>
      <c r="T753" s="208" t="str">
        <f t="shared" si="63"/>
        <v/>
      </c>
      <c r="U753" s="195">
        <f>Table33[[#This Row],[gal/100ft]]*Table33[[#This Row],[QTY]]/100</f>
        <v>0</v>
      </c>
      <c r="V753" s="195"/>
      <c r="X753" s="195"/>
      <c r="Y753" s="195"/>
    </row>
    <row r="754" spans="1:25" ht="12.75" x14ac:dyDescent="0.2">
      <c r="A754" s="311" t="s">
        <v>711</v>
      </c>
      <c r="B754" s="311" t="s">
        <v>711</v>
      </c>
      <c r="C754" s="311" t="s">
        <v>698</v>
      </c>
      <c r="D754" s="545" t="s">
        <v>716</v>
      </c>
      <c r="E754" s="290"/>
      <c r="F754" s="540">
        <v>2</v>
      </c>
      <c r="G754" s="312"/>
      <c r="H754" s="313"/>
      <c r="I754" s="314"/>
      <c r="J754" s="205">
        <v>0.76</v>
      </c>
      <c r="K754" s="287">
        <v>0.76</v>
      </c>
      <c r="L754" s="206">
        <v>75.099999999999994</v>
      </c>
      <c r="M754" s="286">
        <v>75.099999999999994</v>
      </c>
      <c r="N754" s="552">
        <v>41791</v>
      </c>
      <c r="O754" s="205">
        <f t="shared" si="60"/>
        <v>0</v>
      </c>
      <c r="P754" s="555">
        <f>(1+$R$1)*Table33[[#This Row],[Hours]]</f>
        <v>0</v>
      </c>
      <c r="Q754" s="207">
        <f t="shared" si="59"/>
        <v>0</v>
      </c>
      <c r="R754" s="208">
        <f t="shared" si="61"/>
        <v>0</v>
      </c>
      <c r="S754" s="208">
        <f t="shared" si="62"/>
        <v>0</v>
      </c>
      <c r="T754" s="208" t="str">
        <f t="shared" si="63"/>
        <v/>
      </c>
      <c r="U754" s="195">
        <f>Table33[[#This Row],[gal/100ft]]*Table33[[#This Row],[QTY]]/100</f>
        <v>0</v>
      </c>
      <c r="V754" s="195"/>
      <c r="X754" s="195"/>
      <c r="Y754" s="195"/>
    </row>
    <row r="755" spans="1:25" ht="12.75" x14ac:dyDescent="0.2">
      <c r="A755" s="311" t="s">
        <v>711</v>
      </c>
      <c r="B755" s="311" t="s">
        <v>711</v>
      </c>
      <c r="C755" s="311" t="s">
        <v>698</v>
      </c>
      <c r="D755" s="545" t="s">
        <v>716</v>
      </c>
      <c r="E755" s="290"/>
      <c r="F755" s="540">
        <v>2.5</v>
      </c>
      <c r="G755" s="312"/>
      <c r="H755" s="313"/>
      <c r="I755" s="314"/>
      <c r="J755" s="205" t="s">
        <v>718</v>
      </c>
      <c r="K755" s="287">
        <v>0.48</v>
      </c>
      <c r="L755" s="206"/>
      <c r="M755" s="286"/>
      <c r="N755" s="552">
        <v>41791</v>
      </c>
      <c r="O755" s="205">
        <f t="shared" si="60"/>
        <v>0</v>
      </c>
      <c r="P755" s="555">
        <f>(1+$R$1)*Table33[[#This Row],[Hours]]</f>
        <v>0</v>
      </c>
      <c r="Q755" s="207">
        <f t="shared" si="59"/>
        <v>0</v>
      </c>
      <c r="R755" s="208">
        <f t="shared" si="61"/>
        <v>0</v>
      </c>
      <c r="S755" s="208">
        <f t="shared" si="62"/>
        <v>0</v>
      </c>
      <c r="T755" s="208" t="str">
        <f t="shared" si="63"/>
        <v/>
      </c>
      <c r="U755" s="195">
        <f>Table33[[#This Row],[gal/100ft]]*Table33[[#This Row],[QTY]]/100</f>
        <v>0</v>
      </c>
      <c r="V755" s="195"/>
      <c r="X755" s="195"/>
      <c r="Y755" s="195"/>
    </row>
    <row r="756" spans="1:25" ht="12.75" x14ac:dyDescent="0.2">
      <c r="A756" s="311" t="s">
        <v>711</v>
      </c>
      <c r="B756" s="311" t="s">
        <v>711</v>
      </c>
      <c r="C756" s="311" t="s">
        <v>698</v>
      </c>
      <c r="D756" s="545" t="s">
        <v>716</v>
      </c>
      <c r="E756" s="290"/>
      <c r="F756" s="540">
        <v>3</v>
      </c>
      <c r="G756" s="312"/>
      <c r="H756" s="313"/>
      <c r="I756" s="314"/>
      <c r="J756" s="205" t="s">
        <v>718</v>
      </c>
      <c r="K756" s="287">
        <v>0.56999999999999995</v>
      </c>
      <c r="L756" s="206"/>
      <c r="M756" s="286"/>
      <c r="N756" s="552">
        <v>41791</v>
      </c>
      <c r="O756" s="205">
        <f t="shared" si="60"/>
        <v>0</v>
      </c>
      <c r="P756" s="555">
        <f>(1+$R$1)*Table33[[#This Row],[Hours]]</f>
        <v>0</v>
      </c>
      <c r="Q756" s="207">
        <f t="shared" si="59"/>
        <v>0</v>
      </c>
      <c r="R756" s="208">
        <f t="shared" si="61"/>
        <v>0</v>
      </c>
      <c r="S756" s="208">
        <f t="shared" si="62"/>
        <v>0</v>
      </c>
      <c r="T756" s="208" t="str">
        <f t="shared" si="63"/>
        <v/>
      </c>
      <c r="U756" s="195">
        <f>Table33[[#This Row],[gal/100ft]]*Table33[[#This Row],[QTY]]/100</f>
        <v>0</v>
      </c>
      <c r="V756" s="195"/>
      <c r="X756" s="195"/>
      <c r="Y756" s="195"/>
    </row>
    <row r="757" spans="1:25" ht="12.75" x14ac:dyDescent="0.2">
      <c r="A757" s="311" t="s">
        <v>711</v>
      </c>
      <c r="B757" s="311" t="s">
        <v>711</v>
      </c>
      <c r="C757" s="311" t="s">
        <v>698</v>
      </c>
      <c r="D757" s="545" t="s">
        <v>716</v>
      </c>
      <c r="E757" s="290"/>
      <c r="F757" s="540">
        <v>4</v>
      </c>
      <c r="G757" s="312"/>
      <c r="H757" s="313"/>
      <c r="I757" s="314"/>
      <c r="J757" s="205" t="s">
        <v>718</v>
      </c>
      <c r="K757" s="287">
        <v>0.76</v>
      </c>
      <c r="L757" s="206"/>
      <c r="M757" s="286"/>
      <c r="N757" s="552">
        <v>41791</v>
      </c>
      <c r="O757" s="205">
        <f t="shared" si="60"/>
        <v>0</v>
      </c>
      <c r="P757" s="555">
        <f>(1+$R$1)*Table33[[#This Row],[Hours]]</f>
        <v>0</v>
      </c>
      <c r="Q757" s="207">
        <f t="shared" si="59"/>
        <v>0</v>
      </c>
      <c r="R757" s="208">
        <f t="shared" si="61"/>
        <v>0</v>
      </c>
      <c r="S757" s="208">
        <f t="shared" si="62"/>
        <v>0</v>
      </c>
      <c r="T757" s="208" t="str">
        <f t="shared" si="63"/>
        <v/>
      </c>
      <c r="U757" s="195">
        <f>Table33[[#This Row],[gal/100ft]]*Table33[[#This Row],[QTY]]/100</f>
        <v>0</v>
      </c>
      <c r="V757" s="195"/>
      <c r="X757" s="195"/>
      <c r="Y757" s="195"/>
    </row>
    <row r="758" spans="1:25" ht="12.75" x14ac:dyDescent="0.2">
      <c r="A758" s="275" t="s">
        <v>617</v>
      </c>
      <c r="B758" s="275" t="s">
        <v>693</v>
      </c>
      <c r="C758" s="275" t="s">
        <v>698</v>
      </c>
      <c r="D758" s="276" t="s">
        <v>699</v>
      </c>
      <c r="E758" s="290"/>
      <c r="F758" s="540">
        <v>0.5</v>
      </c>
      <c r="G758" s="277"/>
      <c r="H758" s="278"/>
      <c r="I758" s="279"/>
      <c r="J758" s="205">
        <v>0.56999999999999995</v>
      </c>
      <c r="K758" s="287">
        <v>0.56999999999999995</v>
      </c>
      <c r="L758" s="206">
        <v>5.03</v>
      </c>
      <c r="M758" s="286">
        <v>5.03</v>
      </c>
      <c r="N758" s="552">
        <v>41791</v>
      </c>
      <c r="O758" s="205">
        <f t="shared" si="60"/>
        <v>0</v>
      </c>
      <c r="P758" s="555">
        <f>(1+$R$1)*Table33[[#This Row],[Hours]]</f>
        <v>0</v>
      </c>
      <c r="Q758" s="207">
        <f t="shared" si="59"/>
        <v>0</v>
      </c>
      <c r="R758" s="208">
        <f t="shared" si="61"/>
        <v>0</v>
      </c>
      <c r="S758" s="208">
        <f t="shared" si="62"/>
        <v>0</v>
      </c>
      <c r="T758" s="208" t="str">
        <f t="shared" si="63"/>
        <v/>
      </c>
      <c r="U758" s="195">
        <f>Table33[[#This Row],[gal/100ft]]*Table33[[#This Row],[QTY]]/100</f>
        <v>0</v>
      </c>
      <c r="V758" s="195"/>
      <c r="X758" s="195"/>
      <c r="Y758" s="195"/>
    </row>
    <row r="759" spans="1:25" ht="12.75" x14ac:dyDescent="0.2">
      <c r="A759" s="275" t="s">
        <v>617</v>
      </c>
      <c r="B759" s="275" t="s">
        <v>693</v>
      </c>
      <c r="C759" s="275" t="s">
        <v>698</v>
      </c>
      <c r="D759" s="276" t="s">
        <v>699</v>
      </c>
      <c r="E759" s="538"/>
      <c r="F759" s="541">
        <v>0.75</v>
      </c>
      <c r="G759" s="277"/>
      <c r="H759" s="278"/>
      <c r="I759" s="279"/>
      <c r="J759" s="205">
        <v>0.77</v>
      </c>
      <c r="K759" s="287">
        <v>0.77</v>
      </c>
      <c r="L759" s="206">
        <v>6.32</v>
      </c>
      <c r="M759" s="286">
        <v>6.32</v>
      </c>
      <c r="N759" s="552">
        <v>41791</v>
      </c>
      <c r="O759" s="205">
        <f t="shared" si="60"/>
        <v>0</v>
      </c>
      <c r="P759" s="555">
        <f>(1+$R$1)*Table33[[#This Row],[Hours]]</f>
        <v>0</v>
      </c>
      <c r="Q759" s="207">
        <f t="shared" si="59"/>
        <v>0</v>
      </c>
      <c r="R759" s="208">
        <f t="shared" si="61"/>
        <v>0</v>
      </c>
      <c r="S759" s="208">
        <f t="shared" si="62"/>
        <v>0</v>
      </c>
      <c r="T759" s="208" t="str">
        <f t="shared" si="63"/>
        <v/>
      </c>
      <c r="U759" s="195">
        <f>Table33[[#This Row],[gal/100ft]]*Table33[[#This Row],[QTY]]/100</f>
        <v>0</v>
      </c>
      <c r="V759" s="195"/>
      <c r="X759" s="195"/>
      <c r="Y759" s="195"/>
    </row>
    <row r="760" spans="1:25" ht="12.75" x14ac:dyDescent="0.2">
      <c r="A760" s="275" t="s">
        <v>617</v>
      </c>
      <c r="B760" s="275" t="s">
        <v>693</v>
      </c>
      <c r="C760" s="275" t="s">
        <v>698</v>
      </c>
      <c r="D760" s="276" t="s">
        <v>699</v>
      </c>
      <c r="E760" s="538"/>
      <c r="F760" s="541">
        <v>1</v>
      </c>
      <c r="G760" s="277"/>
      <c r="H760" s="278"/>
      <c r="I760" s="279"/>
      <c r="J760" s="205">
        <v>0.93</v>
      </c>
      <c r="K760" s="287">
        <v>0.93</v>
      </c>
      <c r="L760" s="206">
        <v>10.63</v>
      </c>
      <c r="M760" s="286">
        <v>10.63</v>
      </c>
      <c r="N760" s="552">
        <v>41791</v>
      </c>
      <c r="O760" s="205">
        <f t="shared" si="60"/>
        <v>0</v>
      </c>
      <c r="P760" s="555">
        <f>(1+$R$1)*Table33[[#This Row],[Hours]]</f>
        <v>0</v>
      </c>
      <c r="Q760" s="207">
        <f t="shared" si="59"/>
        <v>0</v>
      </c>
      <c r="R760" s="208">
        <f t="shared" si="61"/>
        <v>0</v>
      </c>
      <c r="S760" s="208">
        <f t="shared" si="62"/>
        <v>0</v>
      </c>
      <c r="T760" s="208" t="str">
        <f t="shared" si="63"/>
        <v/>
      </c>
      <c r="U760" s="195">
        <f>Table33[[#This Row],[gal/100ft]]*Table33[[#This Row],[QTY]]/100</f>
        <v>0</v>
      </c>
      <c r="V760" s="195"/>
      <c r="X760" s="195"/>
      <c r="Y760" s="195"/>
    </row>
    <row r="761" spans="1:25" ht="12.75" x14ac:dyDescent="0.2">
      <c r="A761" s="275" t="s">
        <v>617</v>
      </c>
      <c r="B761" s="275" t="s">
        <v>693</v>
      </c>
      <c r="C761" s="275" t="s">
        <v>698</v>
      </c>
      <c r="D761" s="276" t="s">
        <v>699</v>
      </c>
      <c r="E761" s="538"/>
      <c r="F761" s="541">
        <v>1.25</v>
      </c>
      <c r="G761" s="277"/>
      <c r="H761" s="278"/>
      <c r="I761" s="279"/>
      <c r="J761" s="205">
        <v>1.05</v>
      </c>
      <c r="K761" s="287">
        <v>1.05</v>
      </c>
      <c r="L761" s="206">
        <v>24.25</v>
      </c>
      <c r="M761" s="286">
        <v>24.25</v>
      </c>
      <c r="N761" s="552">
        <v>41791</v>
      </c>
      <c r="O761" s="205">
        <f t="shared" si="60"/>
        <v>0</v>
      </c>
      <c r="P761" s="555">
        <f>(1+$R$1)*Table33[[#This Row],[Hours]]</f>
        <v>0</v>
      </c>
      <c r="Q761" s="207">
        <f t="shared" si="59"/>
        <v>0</v>
      </c>
      <c r="R761" s="208">
        <f t="shared" si="61"/>
        <v>0</v>
      </c>
      <c r="S761" s="208">
        <f t="shared" si="62"/>
        <v>0</v>
      </c>
      <c r="T761" s="208" t="str">
        <f t="shared" si="63"/>
        <v/>
      </c>
      <c r="U761" s="195">
        <f>Table33[[#This Row],[gal/100ft]]*Table33[[#This Row],[QTY]]/100</f>
        <v>0</v>
      </c>
      <c r="V761" s="195"/>
      <c r="X761" s="195"/>
      <c r="Y761" s="195"/>
    </row>
    <row r="762" spans="1:25" ht="12.75" x14ac:dyDescent="0.2">
      <c r="A762" s="275" t="s">
        <v>617</v>
      </c>
      <c r="B762" s="275" t="s">
        <v>693</v>
      </c>
      <c r="C762" s="275" t="s">
        <v>698</v>
      </c>
      <c r="D762" s="276" t="s">
        <v>699</v>
      </c>
      <c r="E762" s="538"/>
      <c r="F762" s="541">
        <v>1.5</v>
      </c>
      <c r="G762" s="277"/>
      <c r="H762" s="278"/>
      <c r="I762" s="279"/>
      <c r="J762" s="205">
        <v>1.1299999999999999</v>
      </c>
      <c r="K762" s="287">
        <v>1.1299999999999999</v>
      </c>
      <c r="L762" s="206">
        <v>22.25</v>
      </c>
      <c r="M762" s="286">
        <v>22.25</v>
      </c>
      <c r="N762" s="552">
        <v>41791</v>
      </c>
      <c r="O762" s="205">
        <f t="shared" si="60"/>
        <v>0</v>
      </c>
      <c r="P762" s="555">
        <f>(1+$R$1)*Table33[[#This Row],[Hours]]</f>
        <v>0</v>
      </c>
      <c r="Q762" s="207">
        <f t="shared" si="59"/>
        <v>0</v>
      </c>
      <c r="R762" s="208">
        <f t="shared" si="61"/>
        <v>0</v>
      </c>
      <c r="S762" s="208">
        <f t="shared" si="62"/>
        <v>0</v>
      </c>
      <c r="T762" s="208" t="str">
        <f t="shared" si="63"/>
        <v/>
      </c>
      <c r="U762" s="195">
        <f>Table33[[#This Row],[gal/100ft]]*Table33[[#This Row],[QTY]]/100</f>
        <v>0</v>
      </c>
      <c r="V762" s="195"/>
      <c r="X762" s="195"/>
      <c r="Y762" s="195"/>
    </row>
    <row r="763" spans="1:25" ht="12.75" x14ac:dyDescent="0.2">
      <c r="A763" s="275" t="s">
        <v>617</v>
      </c>
      <c r="B763" s="275" t="s">
        <v>693</v>
      </c>
      <c r="C763" s="275" t="s">
        <v>698</v>
      </c>
      <c r="D763" s="276" t="s">
        <v>699</v>
      </c>
      <c r="E763" s="538"/>
      <c r="F763" s="541">
        <v>2</v>
      </c>
      <c r="G763" s="277"/>
      <c r="H763" s="278"/>
      <c r="I763" s="279"/>
      <c r="J763" s="205">
        <v>1.31</v>
      </c>
      <c r="K763" s="287">
        <v>1.31</v>
      </c>
      <c r="L763" s="206">
        <v>43.67</v>
      </c>
      <c r="M763" s="286">
        <v>43.67</v>
      </c>
      <c r="N763" s="552">
        <v>41791</v>
      </c>
      <c r="O763" s="205">
        <f t="shared" si="60"/>
        <v>0</v>
      </c>
      <c r="P763" s="555">
        <f>(1+$R$1)*Table33[[#This Row],[Hours]]</f>
        <v>0</v>
      </c>
      <c r="Q763" s="207">
        <f t="shared" si="59"/>
        <v>0</v>
      </c>
      <c r="R763" s="208">
        <f t="shared" si="61"/>
        <v>0</v>
      </c>
      <c r="S763" s="208">
        <f t="shared" si="62"/>
        <v>0</v>
      </c>
      <c r="T763" s="208" t="str">
        <f t="shared" si="63"/>
        <v/>
      </c>
      <c r="U763" s="195">
        <f>Table33[[#This Row],[gal/100ft]]*Table33[[#This Row],[QTY]]/100</f>
        <v>0</v>
      </c>
      <c r="V763" s="195"/>
      <c r="X763" s="195"/>
      <c r="Y763" s="195"/>
    </row>
    <row r="764" spans="1:25" ht="12.75" x14ac:dyDescent="0.2">
      <c r="A764" s="195" t="s">
        <v>593</v>
      </c>
      <c r="B764" s="536" t="s">
        <v>874</v>
      </c>
      <c r="C764" s="195" t="s">
        <v>635</v>
      </c>
      <c r="D764" s="216" t="s">
        <v>634</v>
      </c>
      <c r="E764" s="290"/>
      <c r="F764" s="540">
        <v>0.75</v>
      </c>
      <c r="G764" s="204"/>
      <c r="H764" s="197"/>
      <c r="I764" s="198"/>
      <c r="J764" s="205">
        <v>0.94</v>
      </c>
      <c r="K764" s="287">
        <v>0.94</v>
      </c>
      <c r="L764" s="206">
        <v>4.53</v>
      </c>
      <c r="M764" s="286">
        <v>4.53</v>
      </c>
      <c r="N764" s="552">
        <v>41791</v>
      </c>
      <c r="O764" s="205">
        <f t="shared" si="60"/>
        <v>0</v>
      </c>
      <c r="P764" s="555">
        <f>(1+$R$1)*Table33[[#This Row],[Hours]]</f>
        <v>0</v>
      </c>
      <c r="Q764" s="207">
        <f t="shared" si="59"/>
        <v>0</v>
      </c>
      <c r="R764" s="208">
        <f t="shared" si="61"/>
        <v>0</v>
      </c>
      <c r="S764" s="208">
        <f t="shared" si="62"/>
        <v>0</v>
      </c>
      <c r="T764" s="208" t="str">
        <f t="shared" si="63"/>
        <v/>
      </c>
      <c r="U764" s="195">
        <f>Table33[[#This Row],[gal/100ft]]*Table33[[#This Row],[QTY]]/100</f>
        <v>0</v>
      </c>
      <c r="V764" s="195"/>
      <c r="X764" s="195"/>
      <c r="Y764" s="195"/>
    </row>
    <row r="765" spans="1:25" ht="12.75" x14ac:dyDescent="0.2">
      <c r="A765" s="195" t="s">
        <v>593</v>
      </c>
      <c r="B765" s="536" t="s">
        <v>874</v>
      </c>
      <c r="C765" s="195" t="s">
        <v>635</v>
      </c>
      <c r="D765" s="216" t="s">
        <v>634</v>
      </c>
      <c r="E765" s="290"/>
      <c r="F765" s="540">
        <v>1.25</v>
      </c>
      <c r="G765" s="204"/>
      <c r="H765" s="197"/>
      <c r="I765" s="198"/>
      <c r="J765" s="205">
        <v>1.33</v>
      </c>
      <c r="K765" s="287">
        <v>1.33</v>
      </c>
      <c r="L765" s="206">
        <v>7.86</v>
      </c>
      <c r="M765" s="286">
        <v>7.86</v>
      </c>
      <c r="N765" s="552">
        <v>41791</v>
      </c>
      <c r="O765" s="205">
        <f t="shared" si="60"/>
        <v>0</v>
      </c>
      <c r="P765" s="555">
        <f>(1+$R$1)*Table33[[#This Row],[Hours]]</f>
        <v>0</v>
      </c>
      <c r="Q765" s="207">
        <f t="shared" si="59"/>
        <v>0</v>
      </c>
      <c r="R765" s="208">
        <f t="shared" si="61"/>
        <v>0</v>
      </c>
      <c r="S765" s="208">
        <f t="shared" si="62"/>
        <v>0</v>
      </c>
      <c r="T765" s="208" t="str">
        <f t="shared" si="63"/>
        <v/>
      </c>
      <c r="U765" s="195">
        <f>Table33[[#This Row],[gal/100ft]]*Table33[[#This Row],[QTY]]/100</f>
        <v>0</v>
      </c>
      <c r="V765" s="195"/>
      <c r="X765" s="195"/>
      <c r="Y765" s="195"/>
    </row>
    <row r="766" spans="1:25" ht="12.75" x14ac:dyDescent="0.2">
      <c r="A766" s="195" t="s">
        <v>593</v>
      </c>
      <c r="B766" s="536" t="s">
        <v>874</v>
      </c>
      <c r="C766" s="195" t="s">
        <v>635</v>
      </c>
      <c r="D766" s="216" t="s">
        <v>634</v>
      </c>
      <c r="E766" s="290"/>
      <c r="F766" s="540">
        <v>2</v>
      </c>
      <c r="G766" s="204"/>
      <c r="H766" s="197"/>
      <c r="I766" s="198"/>
      <c r="J766" s="205">
        <v>2.37</v>
      </c>
      <c r="K766" s="287">
        <v>2.37</v>
      </c>
      <c r="L766" s="206">
        <v>14.5</v>
      </c>
      <c r="M766" s="286">
        <v>14.5</v>
      </c>
      <c r="N766" s="552">
        <v>41791</v>
      </c>
      <c r="O766" s="205">
        <f t="shared" si="60"/>
        <v>0</v>
      </c>
      <c r="P766" s="555">
        <f>(1+$R$1)*Table33[[#This Row],[Hours]]</f>
        <v>0</v>
      </c>
      <c r="Q766" s="207">
        <f t="shared" si="59"/>
        <v>0</v>
      </c>
      <c r="R766" s="208">
        <f t="shared" si="61"/>
        <v>0</v>
      </c>
      <c r="S766" s="208">
        <f t="shared" si="62"/>
        <v>0</v>
      </c>
      <c r="T766" s="208" t="str">
        <f t="shared" si="63"/>
        <v/>
      </c>
      <c r="U766" s="195">
        <f>Table33[[#This Row],[gal/100ft]]*Table33[[#This Row],[QTY]]/100</f>
        <v>0</v>
      </c>
      <c r="V766" s="195"/>
      <c r="X766" s="195"/>
      <c r="Y766" s="195"/>
    </row>
    <row r="767" spans="1:25" ht="12.75" x14ac:dyDescent="0.2">
      <c r="A767" s="195" t="s">
        <v>593</v>
      </c>
      <c r="B767" s="536" t="s">
        <v>874</v>
      </c>
      <c r="C767" s="195" t="s">
        <v>635</v>
      </c>
      <c r="D767" s="216" t="s">
        <v>634</v>
      </c>
      <c r="E767" s="290"/>
      <c r="F767" s="540">
        <v>2.5</v>
      </c>
      <c r="G767" s="204"/>
      <c r="H767" s="197"/>
      <c r="I767" s="198"/>
      <c r="J767" s="205">
        <v>2.83</v>
      </c>
      <c r="K767" s="287">
        <v>2.83</v>
      </c>
      <c r="L767" s="206">
        <v>87.17</v>
      </c>
      <c r="M767" s="286">
        <v>87.17</v>
      </c>
      <c r="N767" s="552">
        <v>41791</v>
      </c>
      <c r="O767" s="205">
        <f t="shared" si="60"/>
        <v>0</v>
      </c>
      <c r="P767" s="555">
        <f>(1+$R$1)*Table33[[#This Row],[Hours]]</f>
        <v>0</v>
      </c>
      <c r="Q767" s="207">
        <f t="shared" si="59"/>
        <v>0</v>
      </c>
      <c r="R767" s="208">
        <f t="shared" si="61"/>
        <v>0</v>
      </c>
      <c r="S767" s="208">
        <f t="shared" si="62"/>
        <v>0</v>
      </c>
      <c r="T767" s="208" t="str">
        <f t="shared" si="63"/>
        <v/>
      </c>
      <c r="U767" s="195">
        <f>Table33[[#This Row],[gal/100ft]]*Table33[[#This Row],[QTY]]/100</f>
        <v>0</v>
      </c>
      <c r="V767" s="195"/>
      <c r="X767" s="195"/>
      <c r="Y767" s="195"/>
    </row>
    <row r="768" spans="1:25" ht="12.75" x14ac:dyDescent="0.2">
      <c r="A768" s="195" t="s">
        <v>593</v>
      </c>
      <c r="B768" s="536" t="s">
        <v>874</v>
      </c>
      <c r="C768" s="195" t="s">
        <v>635</v>
      </c>
      <c r="D768" s="216" t="s">
        <v>634</v>
      </c>
      <c r="E768" s="290"/>
      <c r="F768" s="540">
        <v>1</v>
      </c>
      <c r="G768" s="204"/>
      <c r="H768" s="197"/>
      <c r="I768" s="198"/>
      <c r="J768" s="205">
        <v>1.1499999999999999</v>
      </c>
      <c r="K768" s="287">
        <v>1.1499999999999999</v>
      </c>
      <c r="L768" s="206">
        <v>5.92</v>
      </c>
      <c r="M768" s="286">
        <v>5.92</v>
      </c>
      <c r="N768" s="552">
        <v>41791</v>
      </c>
      <c r="O768" s="205">
        <f t="shared" si="60"/>
        <v>0</v>
      </c>
      <c r="P768" s="555">
        <f>(1+$R$1)*Table33[[#This Row],[Hours]]</f>
        <v>0</v>
      </c>
      <c r="Q768" s="207">
        <f t="shared" si="59"/>
        <v>0</v>
      </c>
      <c r="R768" s="208">
        <f t="shared" si="61"/>
        <v>0</v>
      </c>
      <c r="S768" s="208">
        <f t="shared" si="62"/>
        <v>0</v>
      </c>
      <c r="T768" s="208" t="str">
        <f t="shared" si="63"/>
        <v/>
      </c>
      <c r="U768" s="195">
        <f>Table33[[#This Row],[gal/100ft]]*Table33[[#This Row],[QTY]]/100</f>
        <v>0</v>
      </c>
      <c r="V768" s="195"/>
      <c r="X768" s="195"/>
      <c r="Y768" s="195"/>
    </row>
    <row r="769" spans="1:25" ht="12.75" x14ac:dyDescent="0.2">
      <c r="A769" s="195" t="s">
        <v>593</v>
      </c>
      <c r="B769" s="536" t="s">
        <v>874</v>
      </c>
      <c r="C769" s="195" t="s">
        <v>635</v>
      </c>
      <c r="D769" s="216" t="s">
        <v>634</v>
      </c>
      <c r="E769" s="290"/>
      <c r="F769" s="540" t="s">
        <v>596</v>
      </c>
      <c r="G769" s="204"/>
      <c r="H769" s="197"/>
      <c r="I769" s="198"/>
      <c r="J769" s="205">
        <v>0.68</v>
      </c>
      <c r="K769" s="287">
        <v>0.68</v>
      </c>
      <c r="L769" s="206">
        <v>3.8</v>
      </c>
      <c r="M769" s="286">
        <v>3.8</v>
      </c>
      <c r="N769" s="552">
        <v>41791</v>
      </c>
      <c r="O769" s="205">
        <f t="shared" si="60"/>
        <v>0</v>
      </c>
      <c r="P769" s="555">
        <f>(1+$R$1)*Table33[[#This Row],[Hours]]</f>
        <v>0</v>
      </c>
      <c r="Q769" s="207">
        <f t="shared" si="59"/>
        <v>0</v>
      </c>
      <c r="R769" s="208">
        <f t="shared" si="61"/>
        <v>0</v>
      </c>
      <c r="S769" s="208">
        <f t="shared" si="62"/>
        <v>0</v>
      </c>
      <c r="T769" s="208" t="str">
        <f t="shared" si="63"/>
        <v/>
      </c>
      <c r="U769" s="195">
        <f>Table33[[#This Row],[gal/100ft]]*Table33[[#This Row],[QTY]]/100</f>
        <v>0</v>
      </c>
      <c r="V769" s="195"/>
      <c r="X769" s="195"/>
      <c r="Y769" s="195"/>
    </row>
    <row r="770" spans="1:25" ht="12.75" x14ac:dyDescent="0.2">
      <c r="A770" s="195" t="s">
        <v>593</v>
      </c>
      <c r="B770" s="536" t="s">
        <v>874</v>
      </c>
      <c r="C770" s="195" t="s">
        <v>635</v>
      </c>
      <c r="D770" s="216" t="s">
        <v>634</v>
      </c>
      <c r="E770" s="290"/>
      <c r="F770" s="540">
        <v>1.5</v>
      </c>
      <c r="G770" s="204"/>
      <c r="H770" s="197"/>
      <c r="I770" s="198"/>
      <c r="J770" s="205">
        <v>1.46</v>
      </c>
      <c r="K770" s="287">
        <v>1.46</v>
      </c>
      <c r="L770" s="206">
        <v>9.6</v>
      </c>
      <c r="M770" s="286">
        <v>9.6</v>
      </c>
      <c r="N770" s="552">
        <v>41791</v>
      </c>
      <c r="O770" s="205">
        <f t="shared" si="60"/>
        <v>0</v>
      </c>
      <c r="P770" s="555">
        <f>(1+$R$1)*Table33[[#This Row],[Hours]]</f>
        <v>0</v>
      </c>
      <c r="Q770" s="207">
        <f t="shared" si="59"/>
        <v>0</v>
      </c>
      <c r="R770" s="208">
        <f t="shared" si="61"/>
        <v>0</v>
      </c>
      <c r="S770" s="208">
        <f t="shared" si="62"/>
        <v>0</v>
      </c>
      <c r="T770" s="208" t="str">
        <f t="shared" si="63"/>
        <v/>
      </c>
      <c r="U770" s="195">
        <f>Table33[[#This Row],[gal/100ft]]*Table33[[#This Row],[QTY]]/100</f>
        <v>0</v>
      </c>
      <c r="V770" s="195"/>
      <c r="X770" s="195"/>
      <c r="Y770" s="195"/>
    </row>
    <row r="771" spans="1:25" ht="12.75" x14ac:dyDescent="0.2">
      <c r="A771" s="195" t="s">
        <v>624</v>
      </c>
      <c r="B771" s="536" t="s">
        <v>881</v>
      </c>
      <c r="C771" s="195" t="s">
        <v>594</v>
      </c>
      <c r="D771" s="216" t="s">
        <v>666</v>
      </c>
      <c r="E771" s="290"/>
      <c r="F771" s="540">
        <v>2.5</v>
      </c>
      <c r="G771" s="204"/>
      <c r="H771" s="197"/>
      <c r="I771" s="198"/>
      <c r="J771" s="205">
        <v>0</v>
      </c>
      <c r="K771" s="287">
        <v>2.25</v>
      </c>
      <c r="L771" s="206">
        <v>1211</v>
      </c>
      <c r="M771" s="286">
        <v>1211</v>
      </c>
      <c r="N771" s="552">
        <v>41791</v>
      </c>
      <c r="O771" s="205">
        <f t="shared" si="60"/>
        <v>0</v>
      </c>
      <c r="P771" s="555">
        <f>(1+$R$1)*Table33[[#This Row],[Hours]]</f>
        <v>0</v>
      </c>
      <c r="Q771" s="207">
        <f t="shared" si="59"/>
        <v>0</v>
      </c>
      <c r="R771" s="208">
        <f t="shared" si="61"/>
        <v>0</v>
      </c>
      <c r="S771" s="208">
        <f t="shared" si="62"/>
        <v>0</v>
      </c>
      <c r="T771" s="208" t="str">
        <f t="shared" si="63"/>
        <v/>
      </c>
      <c r="U771" s="195">
        <f>Table33[[#This Row],[gal/100ft]]*Table33[[#This Row],[QTY]]/100</f>
        <v>0</v>
      </c>
      <c r="V771" s="195"/>
      <c r="X771" s="195"/>
      <c r="Y771" s="195"/>
    </row>
    <row r="772" spans="1:25" ht="12.75" x14ac:dyDescent="0.2">
      <c r="A772" s="195" t="s">
        <v>624</v>
      </c>
      <c r="B772" s="536" t="s">
        <v>881</v>
      </c>
      <c r="C772" s="195" t="s">
        <v>594</v>
      </c>
      <c r="D772" s="216" t="s">
        <v>666</v>
      </c>
      <c r="E772" s="290">
        <v>0</v>
      </c>
      <c r="F772" s="540">
        <v>3</v>
      </c>
      <c r="G772" s="204"/>
      <c r="H772" s="197"/>
      <c r="I772" s="198"/>
      <c r="J772" s="205">
        <v>0</v>
      </c>
      <c r="K772" s="287">
        <v>2.4500000000000002</v>
      </c>
      <c r="L772" s="206">
        <v>1211</v>
      </c>
      <c r="M772" s="286">
        <v>1211</v>
      </c>
      <c r="N772" s="552">
        <v>41791</v>
      </c>
      <c r="O772" s="205">
        <f t="shared" si="60"/>
        <v>0</v>
      </c>
      <c r="P772" s="555">
        <f>(1+$R$1)*Table33[[#This Row],[Hours]]</f>
        <v>0</v>
      </c>
      <c r="Q772" s="207">
        <f t="shared" si="59"/>
        <v>0</v>
      </c>
      <c r="R772" s="208">
        <f t="shared" si="61"/>
        <v>0</v>
      </c>
      <c r="S772" s="208">
        <f t="shared" si="62"/>
        <v>0</v>
      </c>
      <c r="T772" s="208" t="e">
        <f t="shared" si="63"/>
        <v>#DIV/0!</v>
      </c>
      <c r="U772" s="195">
        <f>Table33[[#This Row],[gal/100ft]]*Table33[[#This Row],[QTY]]/100</f>
        <v>0</v>
      </c>
      <c r="V772" s="195"/>
      <c r="X772" s="195"/>
      <c r="Y772" s="195"/>
    </row>
    <row r="773" spans="1:25" ht="12.75" x14ac:dyDescent="0.2">
      <c r="A773" s="195" t="s">
        <v>624</v>
      </c>
      <c r="B773" s="536" t="s">
        <v>881</v>
      </c>
      <c r="C773" s="195" t="s">
        <v>594</v>
      </c>
      <c r="D773" s="216" t="s">
        <v>666</v>
      </c>
      <c r="E773" s="290"/>
      <c r="F773" s="540">
        <v>4</v>
      </c>
      <c r="G773" s="204"/>
      <c r="H773" s="197"/>
      <c r="I773" s="198"/>
      <c r="J773" s="205">
        <v>2.65</v>
      </c>
      <c r="K773" s="287">
        <v>2.65</v>
      </c>
      <c r="L773" s="206">
        <v>1505</v>
      </c>
      <c r="M773" s="286">
        <v>1505</v>
      </c>
      <c r="N773" s="552">
        <v>41791</v>
      </c>
      <c r="O773" s="205">
        <f t="shared" si="60"/>
        <v>0</v>
      </c>
      <c r="P773" s="555">
        <f>(1+$R$1)*Table33[[#This Row],[Hours]]</f>
        <v>0</v>
      </c>
      <c r="Q773" s="207">
        <f t="shared" si="59"/>
        <v>0</v>
      </c>
      <c r="R773" s="208">
        <f t="shared" si="61"/>
        <v>0</v>
      </c>
      <c r="S773" s="208">
        <f t="shared" si="62"/>
        <v>0</v>
      </c>
      <c r="T773" s="208" t="str">
        <f t="shared" si="63"/>
        <v/>
      </c>
      <c r="U773" s="195">
        <f>Table33[[#This Row],[gal/100ft]]*Table33[[#This Row],[QTY]]/100</f>
        <v>0</v>
      </c>
      <c r="V773" s="195"/>
      <c r="X773" s="195"/>
      <c r="Y773" s="195"/>
    </row>
    <row r="774" spans="1:25" ht="12.75" x14ac:dyDescent="0.2">
      <c r="A774" s="195" t="s">
        <v>624</v>
      </c>
      <c r="B774" s="536" t="s">
        <v>881</v>
      </c>
      <c r="C774" s="195" t="s">
        <v>594</v>
      </c>
      <c r="D774" s="216" t="s">
        <v>666</v>
      </c>
      <c r="E774" s="290"/>
      <c r="F774" s="540">
        <v>5</v>
      </c>
      <c r="G774" s="204"/>
      <c r="H774" s="197"/>
      <c r="I774" s="198"/>
      <c r="J774" s="205">
        <v>3.59</v>
      </c>
      <c r="K774" s="287">
        <v>3.59</v>
      </c>
      <c r="L774" s="206">
        <v>1841</v>
      </c>
      <c r="M774" s="286">
        <v>1841</v>
      </c>
      <c r="N774" s="552">
        <v>41791</v>
      </c>
      <c r="O774" s="205">
        <f t="shared" si="60"/>
        <v>0</v>
      </c>
      <c r="P774" s="555">
        <f>(1+$R$1)*Table33[[#This Row],[Hours]]</f>
        <v>0</v>
      </c>
      <c r="Q774" s="207">
        <f t="shared" si="59"/>
        <v>0</v>
      </c>
      <c r="R774" s="208">
        <f t="shared" si="61"/>
        <v>0</v>
      </c>
      <c r="S774" s="208">
        <f t="shared" si="62"/>
        <v>0</v>
      </c>
      <c r="T774" s="208" t="str">
        <f t="shared" si="63"/>
        <v/>
      </c>
      <c r="U774" s="195">
        <f>Table33[[#This Row],[gal/100ft]]*Table33[[#This Row],[QTY]]/100</f>
        <v>0</v>
      </c>
      <c r="V774" s="195"/>
      <c r="X774" s="195"/>
      <c r="Y774" s="195"/>
    </row>
    <row r="775" spans="1:25" ht="12.75" x14ac:dyDescent="0.2">
      <c r="A775" s="195" t="s">
        <v>624</v>
      </c>
      <c r="B775" s="536" t="s">
        <v>881</v>
      </c>
      <c r="C775" s="195" t="s">
        <v>594</v>
      </c>
      <c r="D775" s="216" t="s">
        <v>666</v>
      </c>
      <c r="E775" s="290"/>
      <c r="F775" s="540">
        <v>6</v>
      </c>
      <c r="G775" s="204"/>
      <c r="H775" s="197"/>
      <c r="I775" s="198"/>
      <c r="J775" s="205">
        <v>4.1500000000000004</v>
      </c>
      <c r="K775" s="287">
        <v>4.1500000000000004</v>
      </c>
      <c r="L775" s="206">
        <v>2343</v>
      </c>
      <c r="M775" s="286">
        <v>2343</v>
      </c>
      <c r="N775" s="552">
        <v>41791</v>
      </c>
      <c r="O775" s="205">
        <f t="shared" si="60"/>
        <v>0</v>
      </c>
      <c r="P775" s="555">
        <f>(1+$R$1)*Table33[[#This Row],[Hours]]</f>
        <v>0</v>
      </c>
      <c r="Q775" s="207">
        <f t="shared" ref="Q775:Q830" si="64">P775*$O$1</f>
        <v>0</v>
      </c>
      <c r="R775" s="208">
        <f t="shared" si="61"/>
        <v>0</v>
      </c>
      <c r="S775" s="208">
        <f t="shared" si="62"/>
        <v>0</v>
      </c>
      <c r="T775" s="208" t="str">
        <f t="shared" si="63"/>
        <v/>
      </c>
      <c r="U775" s="195">
        <f>Table33[[#This Row],[gal/100ft]]*Table33[[#This Row],[QTY]]/100</f>
        <v>0</v>
      </c>
      <c r="V775" s="195"/>
      <c r="X775" s="195"/>
      <c r="Y775" s="195"/>
    </row>
    <row r="776" spans="1:25" ht="12.75" x14ac:dyDescent="0.2">
      <c r="A776" s="195" t="s">
        <v>624</v>
      </c>
      <c r="B776" s="536" t="s">
        <v>881</v>
      </c>
      <c r="C776" s="195" t="s">
        <v>594</v>
      </c>
      <c r="D776" s="216" t="s">
        <v>666</v>
      </c>
      <c r="E776" s="290"/>
      <c r="F776" s="540">
        <v>8</v>
      </c>
      <c r="G776" s="204"/>
      <c r="H776" s="197"/>
      <c r="I776" s="198"/>
      <c r="J776" s="205">
        <v>5.6</v>
      </c>
      <c r="K776" s="287">
        <v>5.6</v>
      </c>
      <c r="L776" s="206">
        <v>3572</v>
      </c>
      <c r="M776" s="286">
        <v>3572</v>
      </c>
      <c r="N776" s="552">
        <v>41791</v>
      </c>
      <c r="O776" s="205">
        <f t="shared" si="60"/>
        <v>0</v>
      </c>
      <c r="P776" s="555">
        <f>(1+$R$1)*Table33[[#This Row],[Hours]]</f>
        <v>0</v>
      </c>
      <c r="Q776" s="207">
        <f t="shared" si="64"/>
        <v>0</v>
      </c>
      <c r="R776" s="208">
        <f t="shared" si="61"/>
        <v>0</v>
      </c>
      <c r="S776" s="208">
        <f t="shared" si="62"/>
        <v>0</v>
      </c>
      <c r="T776" s="208" t="str">
        <f t="shared" si="63"/>
        <v/>
      </c>
      <c r="U776" s="195">
        <f>Table33[[#This Row],[gal/100ft]]*Table33[[#This Row],[QTY]]/100</f>
        <v>0</v>
      </c>
      <c r="V776" s="195"/>
      <c r="X776" s="195"/>
      <c r="Y776" s="195"/>
    </row>
    <row r="777" spans="1:25" ht="12.75" x14ac:dyDescent="0.2">
      <c r="A777" s="195" t="s">
        <v>624</v>
      </c>
      <c r="B777" s="536" t="s">
        <v>881</v>
      </c>
      <c r="C777" s="195" t="s">
        <v>594</v>
      </c>
      <c r="D777" s="216" t="s">
        <v>666</v>
      </c>
      <c r="E777" s="318"/>
      <c r="F777" s="540">
        <v>10</v>
      </c>
      <c r="G777" s="204"/>
      <c r="H777" s="197"/>
      <c r="I777" s="198"/>
      <c r="J777" s="205">
        <v>6.33</v>
      </c>
      <c r="K777" s="287">
        <v>6.33</v>
      </c>
      <c r="L777" s="206">
        <v>5288</v>
      </c>
      <c r="M777" s="286">
        <v>5288</v>
      </c>
      <c r="N777" s="552">
        <v>41791</v>
      </c>
      <c r="O777" s="205">
        <f t="shared" si="60"/>
        <v>0</v>
      </c>
      <c r="P777" s="555">
        <f>(1+$R$1)*Table33[[#This Row],[Hours]]</f>
        <v>0</v>
      </c>
      <c r="Q777" s="207">
        <f t="shared" si="64"/>
        <v>0</v>
      </c>
      <c r="R777" s="208">
        <f t="shared" si="61"/>
        <v>0</v>
      </c>
      <c r="S777" s="208">
        <f t="shared" si="62"/>
        <v>0</v>
      </c>
      <c r="T777" s="208" t="str">
        <f t="shared" si="63"/>
        <v/>
      </c>
      <c r="U777" s="195">
        <f>Table33[[#This Row],[gal/100ft]]*Table33[[#This Row],[QTY]]/100</f>
        <v>0</v>
      </c>
      <c r="V777" s="195"/>
      <c r="X777" s="195"/>
      <c r="Y777" s="195"/>
    </row>
    <row r="778" spans="1:25" ht="12.75" x14ac:dyDescent="0.2">
      <c r="A778" s="195" t="s">
        <v>624</v>
      </c>
      <c r="B778" s="536" t="s">
        <v>881</v>
      </c>
      <c r="C778" s="195" t="s">
        <v>594</v>
      </c>
      <c r="D778" s="216" t="s">
        <v>666</v>
      </c>
      <c r="E778" s="290"/>
      <c r="F778" s="540">
        <v>12</v>
      </c>
      <c r="G778" s="204"/>
      <c r="H778" s="197"/>
      <c r="I778" s="198"/>
      <c r="J778" s="205"/>
      <c r="K778" s="287"/>
      <c r="L778" s="206">
        <v>4180</v>
      </c>
      <c r="M778" s="286">
        <v>4180</v>
      </c>
      <c r="N778" s="552">
        <v>41791</v>
      </c>
      <c r="O778" s="205">
        <f t="shared" si="60"/>
        <v>0</v>
      </c>
      <c r="P778" s="555">
        <f>(1+$R$1)*Table33[[#This Row],[Hours]]</f>
        <v>0</v>
      </c>
      <c r="Q778" s="207">
        <f t="shared" si="64"/>
        <v>0</v>
      </c>
      <c r="R778" s="208">
        <f t="shared" si="61"/>
        <v>0</v>
      </c>
      <c r="S778" s="208">
        <f t="shared" si="62"/>
        <v>0</v>
      </c>
      <c r="T778" s="208" t="str">
        <f t="shared" si="63"/>
        <v/>
      </c>
      <c r="U778" s="195">
        <f>Table33[[#This Row],[gal/100ft]]*Table33[[#This Row],[QTY]]/100</f>
        <v>0</v>
      </c>
      <c r="V778" s="195"/>
      <c r="X778" s="195"/>
      <c r="Y778" s="195"/>
    </row>
    <row r="779" spans="1:25" ht="12.75" x14ac:dyDescent="0.2">
      <c r="A779" s="195" t="s">
        <v>624</v>
      </c>
      <c r="B779" s="536" t="s">
        <v>881</v>
      </c>
      <c r="C779" s="195" t="s">
        <v>594</v>
      </c>
      <c r="D779" s="544" t="s">
        <v>882</v>
      </c>
      <c r="E779" s="290"/>
      <c r="F779" s="540">
        <v>4</v>
      </c>
      <c r="G779" s="204"/>
      <c r="H779" s="197"/>
      <c r="I779" s="198"/>
      <c r="J779" s="205">
        <v>2.0299999999999998</v>
      </c>
      <c r="K779" s="287">
        <v>2.0299999999999998</v>
      </c>
      <c r="L779" s="206">
        <v>128.34</v>
      </c>
      <c r="M779" s="286">
        <v>128.34</v>
      </c>
      <c r="N779" s="552">
        <v>41791</v>
      </c>
      <c r="O779" s="205">
        <f t="shared" si="60"/>
        <v>0</v>
      </c>
      <c r="P779" s="555">
        <f>(1+$R$1)*Table33[[#This Row],[Hours]]</f>
        <v>0</v>
      </c>
      <c r="Q779" s="207">
        <f t="shared" si="64"/>
        <v>0</v>
      </c>
      <c r="R779" s="208">
        <f t="shared" si="61"/>
        <v>0</v>
      </c>
      <c r="S779" s="208">
        <f t="shared" si="62"/>
        <v>0</v>
      </c>
      <c r="T779" s="208" t="str">
        <f t="shared" si="63"/>
        <v/>
      </c>
      <c r="U779" s="195">
        <f>Table33[[#This Row],[gal/100ft]]*Table33[[#This Row],[QTY]]/100</f>
        <v>0</v>
      </c>
      <c r="V779" s="195"/>
      <c r="X779" s="195"/>
      <c r="Y779" s="195"/>
    </row>
    <row r="780" spans="1:25" ht="12.75" x14ac:dyDescent="0.2">
      <c r="A780" s="195" t="s">
        <v>624</v>
      </c>
      <c r="B780" s="536" t="s">
        <v>881</v>
      </c>
      <c r="C780" s="195" t="s">
        <v>594</v>
      </c>
      <c r="D780" s="544" t="s">
        <v>882</v>
      </c>
      <c r="E780" s="290"/>
      <c r="F780" s="540">
        <v>2</v>
      </c>
      <c r="G780" s="204"/>
      <c r="H780" s="197"/>
      <c r="I780" s="198"/>
      <c r="J780" s="205">
        <v>1</v>
      </c>
      <c r="K780" s="287">
        <v>1</v>
      </c>
      <c r="L780" s="206">
        <v>94</v>
      </c>
      <c r="M780" s="286">
        <v>94</v>
      </c>
      <c r="N780" s="552">
        <v>41791</v>
      </c>
      <c r="O780" s="205">
        <f t="shared" si="60"/>
        <v>0</v>
      </c>
      <c r="P780" s="555">
        <f>(1+$R$1)*Table33[[#This Row],[Hours]]</f>
        <v>0</v>
      </c>
      <c r="Q780" s="207">
        <f t="shared" si="64"/>
        <v>0</v>
      </c>
      <c r="R780" s="208">
        <f t="shared" si="61"/>
        <v>0</v>
      </c>
      <c r="S780" s="208">
        <f t="shared" si="62"/>
        <v>0</v>
      </c>
      <c r="T780" s="208" t="str">
        <f t="shared" si="63"/>
        <v/>
      </c>
      <c r="U780" s="195">
        <f>Table33[[#This Row],[gal/100ft]]*Table33[[#This Row],[QTY]]/100</f>
        <v>0</v>
      </c>
      <c r="V780" s="195"/>
      <c r="X780" s="195"/>
      <c r="Y780" s="195"/>
    </row>
    <row r="781" spans="1:25" ht="12.75" x14ac:dyDescent="0.2">
      <c r="A781" s="195" t="s">
        <v>624</v>
      </c>
      <c r="B781" s="536" t="s">
        <v>881</v>
      </c>
      <c r="C781" s="195" t="s">
        <v>594</v>
      </c>
      <c r="D781" s="544" t="s">
        <v>882</v>
      </c>
      <c r="E781" s="290"/>
      <c r="F781" s="540">
        <v>2.5</v>
      </c>
      <c r="G781" s="204"/>
      <c r="H781" s="197"/>
      <c r="I781" s="198"/>
      <c r="J781" s="205">
        <v>1.1200000000000001</v>
      </c>
      <c r="K781" s="287">
        <v>1.1200000000000001</v>
      </c>
      <c r="L781" s="206">
        <v>95.57</v>
      </c>
      <c r="M781" s="286">
        <v>95.57</v>
      </c>
      <c r="N781" s="552">
        <v>41791</v>
      </c>
      <c r="O781" s="205">
        <f t="shared" si="60"/>
        <v>0</v>
      </c>
      <c r="P781" s="555">
        <f>(1+$R$1)*Table33[[#This Row],[Hours]]</f>
        <v>0</v>
      </c>
      <c r="Q781" s="207">
        <f t="shared" si="64"/>
        <v>0</v>
      </c>
      <c r="R781" s="208">
        <f t="shared" si="61"/>
        <v>0</v>
      </c>
      <c r="S781" s="208">
        <f t="shared" si="62"/>
        <v>0</v>
      </c>
      <c r="T781" s="208" t="str">
        <f t="shared" si="63"/>
        <v/>
      </c>
      <c r="U781" s="195">
        <f>Table33[[#This Row],[gal/100ft]]*Table33[[#This Row],[QTY]]/100</f>
        <v>0</v>
      </c>
      <c r="V781" s="195"/>
      <c r="X781" s="195"/>
      <c r="Y781" s="195"/>
    </row>
    <row r="782" spans="1:25" ht="12.75" x14ac:dyDescent="0.2">
      <c r="A782" s="195" t="s">
        <v>624</v>
      </c>
      <c r="B782" s="536" t="s">
        <v>881</v>
      </c>
      <c r="C782" s="195" t="s">
        <v>594</v>
      </c>
      <c r="D782" s="544" t="s">
        <v>882</v>
      </c>
      <c r="E782" s="290"/>
      <c r="F782" s="540">
        <v>3</v>
      </c>
      <c r="G782" s="204"/>
      <c r="H782" s="197"/>
      <c r="I782" s="198"/>
      <c r="J782" s="205">
        <v>1.1299999999999999</v>
      </c>
      <c r="K782" s="287">
        <v>1.1299999999999999</v>
      </c>
      <c r="L782" s="206">
        <v>105.56</v>
      </c>
      <c r="M782" s="286">
        <v>105.56</v>
      </c>
      <c r="N782" s="552">
        <v>41791</v>
      </c>
      <c r="O782" s="205">
        <f t="shared" si="60"/>
        <v>0</v>
      </c>
      <c r="P782" s="555">
        <f>(1+$R$1)*Table33[[#This Row],[Hours]]</f>
        <v>0</v>
      </c>
      <c r="Q782" s="207">
        <f t="shared" si="64"/>
        <v>0</v>
      </c>
      <c r="R782" s="208">
        <f t="shared" si="61"/>
        <v>0</v>
      </c>
      <c r="S782" s="208">
        <f t="shared" si="62"/>
        <v>0</v>
      </c>
      <c r="T782" s="208" t="str">
        <f t="shared" si="63"/>
        <v/>
      </c>
      <c r="U782" s="195">
        <f>Table33[[#This Row],[gal/100ft]]*Table33[[#This Row],[QTY]]/100</f>
        <v>0</v>
      </c>
      <c r="V782" s="195"/>
      <c r="X782" s="195"/>
      <c r="Y782" s="195"/>
    </row>
    <row r="783" spans="1:25" ht="12.75" x14ac:dyDescent="0.2">
      <c r="A783" s="195" t="s">
        <v>624</v>
      </c>
      <c r="B783" s="536" t="s">
        <v>881</v>
      </c>
      <c r="C783" s="195" t="s">
        <v>594</v>
      </c>
      <c r="D783" s="544" t="s">
        <v>882</v>
      </c>
      <c r="E783" s="290"/>
      <c r="F783" s="540">
        <v>5</v>
      </c>
      <c r="G783" s="204"/>
      <c r="H783" s="197"/>
      <c r="I783" s="198"/>
      <c r="J783" s="205">
        <v>2.4900000000000002</v>
      </c>
      <c r="K783" s="287">
        <v>2.4900000000000002</v>
      </c>
      <c r="L783" s="206">
        <v>135.6</v>
      </c>
      <c r="M783" s="286">
        <v>135.6</v>
      </c>
      <c r="N783" s="552">
        <v>41791</v>
      </c>
      <c r="O783" s="205">
        <f t="shared" si="60"/>
        <v>0</v>
      </c>
      <c r="P783" s="555">
        <f>(1+$R$1)*Table33[[#This Row],[Hours]]</f>
        <v>0</v>
      </c>
      <c r="Q783" s="207">
        <f t="shared" si="64"/>
        <v>0</v>
      </c>
      <c r="R783" s="208">
        <f t="shared" si="61"/>
        <v>0</v>
      </c>
      <c r="S783" s="208">
        <f t="shared" si="62"/>
        <v>0</v>
      </c>
      <c r="T783" s="208" t="str">
        <f t="shared" si="63"/>
        <v/>
      </c>
      <c r="U783" s="195">
        <f>Table33[[#This Row],[gal/100ft]]*Table33[[#This Row],[QTY]]/100</f>
        <v>0</v>
      </c>
      <c r="V783" s="195"/>
      <c r="X783" s="195"/>
      <c r="Y783" s="195"/>
    </row>
    <row r="784" spans="1:25" ht="12.75" x14ac:dyDescent="0.2">
      <c r="A784" s="195" t="s">
        <v>624</v>
      </c>
      <c r="B784" s="536" t="s">
        <v>881</v>
      </c>
      <c r="C784" s="195" t="s">
        <v>594</v>
      </c>
      <c r="D784" s="544" t="s">
        <v>882</v>
      </c>
      <c r="E784" s="290"/>
      <c r="F784" s="540">
        <v>6</v>
      </c>
      <c r="G784" s="204"/>
      <c r="H784" s="197"/>
      <c r="I784" s="198"/>
      <c r="J784" s="205">
        <v>2.54</v>
      </c>
      <c r="K784" s="287">
        <v>2.54</v>
      </c>
      <c r="L784" s="206">
        <v>210.27</v>
      </c>
      <c r="M784" s="286">
        <v>210.27</v>
      </c>
      <c r="N784" s="552">
        <v>41791</v>
      </c>
      <c r="O784" s="205">
        <f t="shared" si="60"/>
        <v>0</v>
      </c>
      <c r="P784" s="555">
        <f>(1+$R$1)*Table33[[#This Row],[Hours]]</f>
        <v>0</v>
      </c>
      <c r="Q784" s="207">
        <f t="shared" si="64"/>
        <v>0</v>
      </c>
      <c r="R784" s="208">
        <f t="shared" si="61"/>
        <v>0</v>
      </c>
      <c r="S784" s="208">
        <f t="shared" si="62"/>
        <v>0</v>
      </c>
      <c r="T784" s="208" t="str">
        <f t="shared" si="63"/>
        <v/>
      </c>
      <c r="U784" s="195">
        <f>Table33[[#This Row],[gal/100ft]]*Table33[[#This Row],[QTY]]/100</f>
        <v>0</v>
      </c>
      <c r="V784" s="195"/>
      <c r="X784" s="195"/>
      <c r="Y784" s="195"/>
    </row>
    <row r="785" spans="1:25" ht="12.75" x14ac:dyDescent="0.2">
      <c r="A785" s="195" t="s">
        <v>624</v>
      </c>
      <c r="B785" s="536" t="s">
        <v>881</v>
      </c>
      <c r="C785" s="195" t="s">
        <v>594</v>
      </c>
      <c r="D785" s="544" t="s">
        <v>882</v>
      </c>
      <c r="E785" s="290"/>
      <c r="F785" s="540">
        <v>8</v>
      </c>
      <c r="G785" s="204"/>
      <c r="H785" s="197"/>
      <c r="I785" s="198"/>
      <c r="J785" s="205">
        <v>2.82</v>
      </c>
      <c r="K785" s="287">
        <v>2.82</v>
      </c>
      <c r="L785" s="206">
        <v>291.31</v>
      </c>
      <c r="M785" s="286">
        <v>291.31</v>
      </c>
      <c r="N785" s="552">
        <v>41791</v>
      </c>
      <c r="O785" s="205">
        <f t="shared" si="60"/>
        <v>0</v>
      </c>
      <c r="P785" s="555">
        <f>(1+$R$1)*Table33[[#This Row],[Hours]]</f>
        <v>0</v>
      </c>
      <c r="Q785" s="207">
        <f t="shared" si="64"/>
        <v>0</v>
      </c>
      <c r="R785" s="208">
        <f t="shared" si="61"/>
        <v>0</v>
      </c>
      <c r="S785" s="208">
        <f t="shared" si="62"/>
        <v>0</v>
      </c>
      <c r="T785" s="208" t="str">
        <f t="shared" si="63"/>
        <v/>
      </c>
      <c r="U785" s="195">
        <f>Table33[[#This Row],[gal/100ft]]*Table33[[#This Row],[QTY]]/100</f>
        <v>0</v>
      </c>
      <c r="V785" s="195"/>
      <c r="X785" s="195"/>
      <c r="Y785" s="195"/>
    </row>
    <row r="786" spans="1:25" ht="12.75" x14ac:dyDescent="0.2">
      <c r="A786" s="195" t="s">
        <v>624</v>
      </c>
      <c r="B786" s="536" t="s">
        <v>881</v>
      </c>
      <c r="C786" s="195" t="s">
        <v>594</v>
      </c>
      <c r="D786" s="544" t="s">
        <v>882</v>
      </c>
      <c r="E786" s="290"/>
      <c r="F786" s="540">
        <v>10</v>
      </c>
      <c r="G786" s="204"/>
      <c r="H786" s="197"/>
      <c r="I786" s="198"/>
      <c r="J786" s="205">
        <v>4.21</v>
      </c>
      <c r="K786" s="287">
        <v>4.21</v>
      </c>
      <c r="L786" s="206">
        <v>852</v>
      </c>
      <c r="M786" s="286">
        <v>852</v>
      </c>
      <c r="N786" s="552">
        <v>41791</v>
      </c>
      <c r="O786" s="205">
        <f t="shared" si="60"/>
        <v>0</v>
      </c>
      <c r="P786" s="555">
        <f>(1+$R$1)*Table33[[#This Row],[Hours]]</f>
        <v>0</v>
      </c>
      <c r="Q786" s="207">
        <f t="shared" si="64"/>
        <v>0</v>
      </c>
      <c r="R786" s="208">
        <f t="shared" si="61"/>
        <v>0</v>
      </c>
      <c r="S786" s="208">
        <f t="shared" si="62"/>
        <v>0</v>
      </c>
      <c r="T786" s="208" t="str">
        <f t="shared" si="63"/>
        <v/>
      </c>
      <c r="U786" s="195">
        <f>Table33[[#This Row],[gal/100ft]]*Table33[[#This Row],[QTY]]/100</f>
        <v>0</v>
      </c>
      <c r="V786" s="195"/>
      <c r="X786" s="195"/>
      <c r="Y786" s="195"/>
    </row>
    <row r="787" spans="1:25" ht="12.75" x14ac:dyDescent="0.2">
      <c r="A787" s="195" t="s">
        <v>624</v>
      </c>
      <c r="B787" s="536" t="s">
        <v>881</v>
      </c>
      <c r="C787" s="195" t="s">
        <v>594</v>
      </c>
      <c r="D787" s="544" t="s">
        <v>882</v>
      </c>
      <c r="E787" s="290"/>
      <c r="F787" s="540">
        <v>12</v>
      </c>
      <c r="G787" s="204"/>
      <c r="H787" s="197"/>
      <c r="I787" s="198"/>
      <c r="J787" s="205">
        <v>5.13</v>
      </c>
      <c r="K787" s="287">
        <v>5.13</v>
      </c>
      <c r="L787" s="206">
        <v>1236</v>
      </c>
      <c r="M787" s="286">
        <v>1236</v>
      </c>
      <c r="N787" s="552">
        <v>41791</v>
      </c>
      <c r="O787" s="205">
        <f t="shared" si="60"/>
        <v>0</v>
      </c>
      <c r="P787" s="555">
        <f>(1+$R$1)*Table33[[#This Row],[Hours]]</f>
        <v>0</v>
      </c>
      <c r="Q787" s="207">
        <f t="shared" si="64"/>
        <v>0</v>
      </c>
      <c r="R787" s="208">
        <f t="shared" si="61"/>
        <v>0</v>
      </c>
      <c r="S787" s="208">
        <f t="shared" si="62"/>
        <v>0</v>
      </c>
      <c r="T787" s="208" t="str">
        <f t="shared" si="63"/>
        <v/>
      </c>
      <c r="U787" s="195">
        <f>Table33[[#This Row],[gal/100ft]]*Table33[[#This Row],[QTY]]/100</f>
        <v>0</v>
      </c>
      <c r="V787" s="195"/>
      <c r="X787" s="195"/>
      <c r="Y787" s="195"/>
    </row>
    <row r="788" spans="1:25" ht="12.75" x14ac:dyDescent="0.2">
      <c r="A788" s="195" t="s">
        <v>624</v>
      </c>
      <c r="B788" s="536" t="s">
        <v>881</v>
      </c>
      <c r="C788" s="195" t="s">
        <v>594</v>
      </c>
      <c r="D788" s="544" t="s">
        <v>882</v>
      </c>
      <c r="E788" s="290"/>
      <c r="F788" s="540">
        <v>14</v>
      </c>
      <c r="G788" s="204"/>
      <c r="H788" s="197"/>
      <c r="I788" s="198"/>
      <c r="J788" s="205"/>
      <c r="K788" s="287"/>
      <c r="L788" s="206">
        <v>1233</v>
      </c>
      <c r="M788" s="286">
        <v>1233</v>
      </c>
      <c r="N788" s="552">
        <v>41791</v>
      </c>
      <c r="O788" s="205">
        <f t="shared" si="60"/>
        <v>0</v>
      </c>
      <c r="P788" s="555">
        <f>(1+$R$1)*Table33[[#This Row],[Hours]]</f>
        <v>0</v>
      </c>
      <c r="Q788" s="207">
        <f t="shared" si="64"/>
        <v>0</v>
      </c>
      <c r="R788" s="208">
        <f t="shared" si="61"/>
        <v>0</v>
      </c>
      <c r="S788" s="208">
        <f t="shared" si="62"/>
        <v>0</v>
      </c>
      <c r="T788" s="208" t="str">
        <f t="shared" si="63"/>
        <v/>
      </c>
      <c r="U788" s="195">
        <f>Table33[[#This Row],[gal/100ft]]*Table33[[#This Row],[QTY]]/100</f>
        <v>0</v>
      </c>
      <c r="V788" s="195"/>
      <c r="X788" s="195"/>
      <c r="Y788" s="195"/>
    </row>
    <row r="789" spans="1:25" ht="12.75" x14ac:dyDescent="0.2">
      <c r="A789" s="195" t="s">
        <v>624</v>
      </c>
      <c r="B789" s="536" t="s">
        <v>881</v>
      </c>
      <c r="C789" s="195" t="s">
        <v>594</v>
      </c>
      <c r="D789" s="544" t="s">
        <v>882</v>
      </c>
      <c r="E789" s="290"/>
      <c r="F789" s="540">
        <v>16</v>
      </c>
      <c r="G789" s="204"/>
      <c r="H789" s="197"/>
      <c r="I789" s="198"/>
      <c r="J789" s="205"/>
      <c r="K789" s="287"/>
      <c r="L789" s="206">
        <v>2444</v>
      </c>
      <c r="M789" s="286">
        <v>2444</v>
      </c>
      <c r="N789" s="552">
        <v>41791</v>
      </c>
      <c r="O789" s="205">
        <f t="shared" si="60"/>
        <v>0</v>
      </c>
      <c r="P789" s="555">
        <f>(1+$R$1)*Table33[[#This Row],[Hours]]</f>
        <v>0</v>
      </c>
      <c r="Q789" s="207">
        <f t="shared" si="64"/>
        <v>0</v>
      </c>
      <c r="R789" s="208">
        <f t="shared" si="61"/>
        <v>0</v>
      </c>
      <c r="S789" s="208">
        <f t="shared" si="62"/>
        <v>0</v>
      </c>
      <c r="T789" s="208" t="str">
        <f t="shared" si="63"/>
        <v/>
      </c>
      <c r="U789" s="195">
        <f>Table33[[#This Row],[gal/100ft]]*Table33[[#This Row],[QTY]]/100</f>
        <v>0</v>
      </c>
      <c r="V789" s="195"/>
      <c r="X789" s="195"/>
      <c r="Y789" s="195"/>
    </row>
    <row r="790" spans="1:25" ht="12.75" x14ac:dyDescent="0.2">
      <c r="A790" s="195" t="s">
        <v>643</v>
      </c>
      <c r="B790" s="195" t="s">
        <v>643</v>
      </c>
      <c r="C790" s="195" t="s">
        <v>594</v>
      </c>
      <c r="D790" s="216" t="s">
        <v>651</v>
      </c>
      <c r="E790" s="290"/>
      <c r="F790" s="540">
        <v>0.75</v>
      </c>
      <c r="G790" s="204"/>
      <c r="H790" s="197"/>
      <c r="I790" s="198"/>
      <c r="J790" s="205">
        <v>0.12</v>
      </c>
      <c r="K790" s="287">
        <v>0.12</v>
      </c>
      <c r="L790" s="206">
        <v>58.4</v>
      </c>
      <c r="M790" s="286">
        <v>58.4</v>
      </c>
      <c r="N790" s="552">
        <v>41791</v>
      </c>
      <c r="O790" s="205">
        <f t="shared" si="60"/>
        <v>0</v>
      </c>
      <c r="P790" s="555">
        <f>(1+$R$1)*Table33[[#This Row],[Hours]]</f>
        <v>0</v>
      </c>
      <c r="Q790" s="207">
        <f t="shared" si="64"/>
        <v>0</v>
      </c>
      <c r="R790" s="208">
        <f t="shared" si="61"/>
        <v>0</v>
      </c>
      <c r="S790" s="208">
        <f t="shared" si="62"/>
        <v>0</v>
      </c>
      <c r="T790" s="208" t="str">
        <f t="shared" si="63"/>
        <v/>
      </c>
      <c r="U790" s="195">
        <f>Table33[[#This Row],[gal/100ft]]*Table33[[#This Row],[QTY]]/100</f>
        <v>0</v>
      </c>
      <c r="V790" s="195"/>
      <c r="X790" s="195"/>
      <c r="Y790" s="195"/>
    </row>
    <row r="791" spans="1:25" ht="12.75" x14ac:dyDescent="0.2">
      <c r="A791" s="195" t="s">
        <v>643</v>
      </c>
      <c r="B791" s="195" t="s">
        <v>643</v>
      </c>
      <c r="C791" s="195" t="s">
        <v>594</v>
      </c>
      <c r="D791" s="216" t="s">
        <v>651</v>
      </c>
      <c r="E791" s="290"/>
      <c r="F791" s="540">
        <v>1</v>
      </c>
      <c r="G791" s="204"/>
      <c r="H791" s="197"/>
      <c r="I791" s="198"/>
      <c r="J791" s="205">
        <v>0.15</v>
      </c>
      <c r="K791" s="287">
        <v>0.15</v>
      </c>
      <c r="L791" s="206">
        <v>44.35</v>
      </c>
      <c r="M791" s="286">
        <v>44.35</v>
      </c>
      <c r="N791" s="552">
        <v>41791</v>
      </c>
      <c r="O791" s="205">
        <f t="shared" ref="O791:O830" si="65">K791*E791</f>
        <v>0</v>
      </c>
      <c r="P791" s="555">
        <f>(1+$R$1)*Table33[[#This Row],[Hours]]</f>
        <v>0</v>
      </c>
      <c r="Q791" s="207">
        <f t="shared" si="64"/>
        <v>0</v>
      </c>
      <c r="R791" s="208">
        <f t="shared" ref="R791:R830" si="66">M791*E791</f>
        <v>0</v>
      </c>
      <c r="S791" s="208">
        <f t="shared" ref="S791:S830" si="67">R791+Q791</f>
        <v>0</v>
      </c>
      <c r="T791" s="208" t="str">
        <f t="shared" ref="T791:T830" si="68">IF(E791="","",S791/E791)</f>
        <v/>
      </c>
      <c r="U791" s="195">
        <f>Table33[[#This Row],[gal/100ft]]*Table33[[#This Row],[QTY]]/100</f>
        <v>0</v>
      </c>
      <c r="V791" s="195"/>
      <c r="X791" s="195"/>
      <c r="Y791" s="195"/>
    </row>
    <row r="792" spans="1:25" ht="12.75" x14ac:dyDescent="0.2">
      <c r="A792" s="311" t="s">
        <v>711</v>
      </c>
      <c r="B792" s="311" t="s">
        <v>711</v>
      </c>
      <c r="C792" s="311" t="s">
        <v>594</v>
      </c>
      <c r="D792" s="545" t="s">
        <v>719</v>
      </c>
      <c r="E792" s="290"/>
      <c r="F792" s="546">
        <v>0.5</v>
      </c>
      <c r="G792" s="312"/>
      <c r="H792" s="313"/>
      <c r="I792" s="314"/>
      <c r="J792" s="205" t="s">
        <v>718</v>
      </c>
      <c r="K792" s="287">
        <v>0.12</v>
      </c>
      <c r="L792" s="206">
        <v>9.32</v>
      </c>
      <c r="M792" s="286">
        <v>9.32</v>
      </c>
      <c r="N792" s="552">
        <v>41791</v>
      </c>
      <c r="O792" s="205">
        <f t="shared" si="65"/>
        <v>0</v>
      </c>
      <c r="P792" s="555">
        <f>(1+$R$1)*Table33[[#This Row],[Hours]]</f>
        <v>0</v>
      </c>
      <c r="Q792" s="207">
        <f t="shared" si="64"/>
        <v>0</v>
      </c>
      <c r="R792" s="208">
        <f t="shared" si="66"/>
        <v>0</v>
      </c>
      <c r="S792" s="208">
        <f t="shared" si="67"/>
        <v>0</v>
      </c>
      <c r="T792" s="208" t="str">
        <f t="shared" si="68"/>
        <v/>
      </c>
      <c r="U792" s="195">
        <f>Table33[[#This Row],[gal/100ft]]*Table33[[#This Row],[QTY]]/100</f>
        <v>0</v>
      </c>
      <c r="V792" s="195"/>
      <c r="X792" s="195"/>
      <c r="Y792" s="195"/>
    </row>
    <row r="793" spans="1:25" ht="12.75" x14ac:dyDescent="0.2">
      <c r="A793" s="311" t="s">
        <v>711</v>
      </c>
      <c r="B793" s="311" t="s">
        <v>711</v>
      </c>
      <c r="C793" s="311" t="s">
        <v>594</v>
      </c>
      <c r="D793" s="545" t="s">
        <v>719</v>
      </c>
      <c r="E793" s="290"/>
      <c r="F793" s="546">
        <v>0.75</v>
      </c>
      <c r="G793" s="312"/>
      <c r="H793" s="313"/>
      <c r="I793" s="314"/>
      <c r="J793" s="205" t="s">
        <v>718</v>
      </c>
      <c r="K793" s="287">
        <v>0.16</v>
      </c>
      <c r="L793" s="206">
        <v>14.15</v>
      </c>
      <c r="M793" s="286">
        <v>14.15</v>
      </c>
      <c r="N793" s="552">
        <v>41791</v>
      </c>
      <c r="O793" s="205">
        <f t="shared" si="65"/>
        <v>0</v>
      </c>
      <c r="P793" s="555">
        <f>(1+$R$1)*Table33[[#This Row],[Hours]]</f>
        <v>0</v>
      </c>
      <c r="Q793" s="207">
        <f t="shared" si="64"/>
        <v>0</v>
      </c>
      <c r="R793" s="208">
        <f t="shared" si="66"/>
        <v>0</v>
      </c>
      <c r="S793" s="208">
        <f t="shared" si="67"/>
        <v>0</v>
      </c>
      <c r="T793" s="208" t="str">
        <f t="shared" si="68"/>
        <v/>
      </c>
      <c r="U793" s="195">
        <f>Table33[[#This Row],[gal/100ft]]*Table33[[#This Row],[QTY]]/100</f>
        <v>0</v>
      </c>
      <c r="V793" s="195"/>
      <c r="X793" s="195"/>
      <c r="Y793" s="195"/>
    </row>
    <row r="794" spans="1:25" ht="12.75" x14ac:dyDescent="0.2">
      <c r="A794" s="311" t="s">
        <v>711</v>
      </c>
      <c r="B794" s="311" t="s">
        <v>711</v>
      </c>
      <c r="C794" s="311" t="s">
        <v>594</v>
      </c>
      <c r="D794" s="545" t="s">
        <v>719</v>
      </c>
      <c r="E794" s="288"/>
      <c r="F794" s="546">
        <v>1</v>
      </c>
      <c r="G794" s="312"/>
      <c r="H794" s="313"/>
      <c r="I794" s="314"/>
      <c r="J794" s="205" t="s">
        <v>718</v>
      </c>
      <c r="K794" s="287">
        <v>0.17</v>
      </c>
      <c r="L794" s="206">
        <v>20.48</v>
      </c>
      <c r="M794" s="286">
        <v>20.48</v>
      </c>
      <c r="N794" s="552">
        <v>41791</v>
      </c>
      <c r="O794" s="205">
        <f t="shared" si="65"/>
        <v>0</v>
      </c>
      <c r="P794" s="555">
        <f>(1+$R$1)*Table33[[#This Row],[Hours]]</f>
        <v>0</v>
      </c>
      <c r="Q794" s="207">
        <f t="shared" si="64"/>
        <v>0</v>
      </c>
      <c r="R794" s="208">
        <f t="shared" si="66"/>
        <v>0</v>
      </c>
      <c r="S794" s="208">
        <f t="shared" si="67"/>
        <v>0</v>
      </c>
      <c r="T794" s="208" t="str">
        <f t="shared" si="68"/>
        <v/>
      </c>
      <c r="U794" s="195">
        <f>Table33[[#This Row],[gal/100ft]]*Table33[[#This Row],[QTY]]/100</f>
        <v>0</v>
      </c>
      <c r="V794" s="195"/>
      <c r="X794" s="195"/>
      <c r="Y794" s="195"/>
    </row>
    <row r="795" spans="1:25" ht="12.75" x14ac:dyDescent="0.2">
      <c r="A795" s="311" t="s">
        <v>711</v>
      </c>
      <c r="B795" s="311" t="s">
        <v>711</v>
      </c>
      <c r="C795" s="311" t="s">
        <v>594</v>
      </c>
      <c r="D795" s="545" t="s">
        <v>719</v>
      </c>
      <c r="E795" s="288"/>
      <c r="F795" s="540">
        <v>1.25</v>
      </c>
      <c r="G795" s="312"/>
      <c r="H795" s="313"/>
      <c r="I795" s="314"/>
      <c r="J795" s="205" t="s">
        <v>718</v>
      </c>
      <c r="K795" s="287">
        <v>0.2</v>
      </c>
      <c r="L795" s="206">
        <v>42.12</v>
      </c>
      <c r="M795" s="286">
        <v>42.12</v>
      </c>
      <c r="N795" s="552">
        <v>41791</v>
      </c>
      <c r="O795" s="205">
        <f t="shared" si="65"/>
        <v>0</v>
      </c>
      <c r="P795" s="555">
        <f>(1+$R$1)*Table33[[#This Row],[Hours]]</f>
        <v>0</v>
      </c>
      <c r="Q795" s="207">
        <f t="shared" si="64"/>
        <v>0</v>
      </c>
      <c r="R795" s="208">
        <f t="shared" si="66"/>
        <v>0</v>
      </c>
      <c r="S795" s="208">
        <f t="shared" si="67"/>
        <v>0</v>
      </c>
      <c r="T795" s="208" t="str">
        <f t="shared" si="68"/>
        <v/>
      </c>
      <c r="U795" s="195">
        <f>Table33[[#This Row],[gal/100ft]]*Table33[[#This Row],[QTY]]/100</f>
        <v>0</v>
      </c>
      <c r="V795" s="195"/>
      <c r="X795" s="195"/>
      <c r="Y795" s="195"/>
    </row>
    <row r="796" spans="1:25" ht="12.75" x14ac:dyDescent="0.2">
      <c r="A796" s="311" t="s">
        <v>711</v>
      </c>
      <c r="B796" s="311" t="s">
        <v>711</v>
      </c>
      <c r="C796" s="311" t="s">
        <v>594</v>
      </c>
      <c r="D796" s="545" t="s">
        <v>719</v>
      </c>
      <c r="E796" s="288"/>
      <c r="F796" s="540">
        <v>1.5</v>
      </c>
      <c r="G796" s="312"/>
      <c r="H796" s="313"/>
      <c r="I796" s="314"/>
      <c r="J796" s="205" t="s">
        <v>718</v>
      </c>
      <c r="K796" s="287">
        <v>0.24</v>
      </c>
      <c r="L796" s="206">
        <v>56.1</v>
      </c>
      <c r="M796" s="286">
        <v>56.1</v>
      </c>
      <c r="N796" s="552">
        <v>41791</v>
      </c>
      <c r="O796" s="205">
        <f t="shared" si="65"/>
        <v>0</v>
      </c>
      <c r="P796" s="555">
        <f>(1+$R$1)*Table33[[#This Row],[Hours]]</f>
        <v>0</v>
      </c>
      <c r="Q796" s="207">
        <f t="shared" si="64"/>
        <v>0</v>
      </c>
      <c r="R796" s="208">
        <f t="shared" si="66"/>
        <v>0</v>
      </c>
      <c r="S796" s="208">
        <f t="shared" si="67"/>
        <v>0</v>
      </c>
      <c r="T796" s="208" t="str">
        <f t="shared" si="68"/>
        <v/>
      </c>
      <c r="U796" s="195">
        <f>Table33[[#This Row],[gal/100ft]]*Table33[[#This Row],[QTY]]/100</f>
        <v>0</v>
      </c>
      <c r="V796" s="195"/>
      <c r="X796" s="195"/>
      <c r="Y796" s="195"/>
    </row>
    <row r="797" spans="1:25" ht="12.75" x14ac:dyDescent="0.2">
      <c r="A797" s="311" t="s">
        <v>711</v>
      </c>
      <c r="B797" s="311" t="s">
        <v>711</v>
      </c>
      <c r="C797" s="311" t="s">
        <v>594</v>
      </c>
      <c r="D797" s="545" t="s">
        <v>719</v>
      </c>
      <c r="E797" s="290"/>
      <c r="F797" s="540">
        <v>2</v>
      </c>
      <c r="G797" s="312"/>
      <c r="H797" s="313"/>
      <c r="I797" s="314"/>
      <c r="J797" s="205" t="s">
        <v>718</v>
      </c>
      <c r="K797" s="287">
        <v>0.27</v>
      </c>
      <c r="L797" s="206">
        <v>96.55</v>
      </c>
      <c r="M797" s="286">
        <v>96.55</v>
      </c>
      <c r="N797" s="552">
        <v>41791</v>
      </c>
      <c r="O797" s="205">
        <f t="shared" si="65"/>
        <v>0</v>
      </c>
      <c r="P797" s="555">
        <f>(1+$R$1)*Table33[[#This Row],[Hours]]</f>
        <v>0</v>
      </c>
      <c r="Q797" s="207">
        <f t="shared" si="64"/>
        <v>0</v>
      </c>
      <c r="R797" s="208">
        <f t="shared" si="66"/>
        <v>0</v>
      </c>
      <c r="S797" s="208">
        <f t="shared" si="67"/>
        <v>0</v>
      </c>
      <c r="T797" s="208" t="str">
        <f t="shared" si="68"/>
        <v/>
      </c>
      <c r="U797" s="195">
        <f>Table33[[#This Row],[gal/100ft]]*Table33[[#This Row],[QTY]]/100</f>
        <v>0</v>
      </c>
      <c r="V797" s="195"/>
      <c r="X797" s="195"/>
      <c r="Y797" s="195"/>
    </row>
    <row r="798" spans="1:25" ht="12.75" x14ac:dyDescent="0.2">
      <c r="A798" s="311" t="s">
        <v>711</v>
      </c>
      <c r="B798" s="311" t="s">
        <v>711</v>
      </c>
      <c r="C798" s="311" t="s">
        <v>594</v>
      </c>
      <c r="D798" s="545" t="s">
        <v>719</v>
      </c>
      <c r="E798" s="290"/>
      <c r="F798" s="540">
        <v>2.5</v>
      </c>
      <c r="G798" s="312"/>
      <c r="H798" s="313"/>
      <c r="I798" s="314"/>
      <c r="J798" s="205" t="s">
        <v>718</v>
      </c>
      <c r="K798" s="287">
        <v>0.31</v>
      </c>
      <c r="L798" s="206"/>
      <c r="M798" s="286"/>
      <c r="N798" s="552">
        <v>41791</v>
      </c>
      <c r="O798" s="205">
        <f t="shared" si="65"/>
        <v>0</v>
      </c>
      <c r="P798" s="555">
        <f>(1+$R$1)*Table33[[#This Row],[Hours]]</f>
        <v>0</v>
      </c>
      <c r="Q798" s="207">
        <f t="shared" si="64"/>
        <v>0</v>
      </c>
      <c r="R798" s="208">
        <f t="shared" si="66"/>
        <v>0</v>
      </c>
      <c r="S798" s="208">
        <f t="shared" si="67"/>
        <v>0</v>
      </c>
      <c r="T798" s="208" t="str">
        <f t="shared" si="68"/>
        <v/>
      </c>
      <c r="U798" s="195">
        <f>Table33[[#This Row],[gal/100ft]]*Table33[[#This Row],[QTY]]/100</f>
        <v>0</v>
      </c>
      <c r="V798" s="195"/>
      <c r="X798" s="195"/>
      <c r="Y798" s="195"/>
    </row>
    <row r="799" spans="1:25" ht="12.75" x14ac:dyDescent="0.2">
      <c r="A799" s="311" t="s">
        <v>711</v>
      </c>
      <c r="B799" s="311" t="s">
        <v>711</v>
      </c>
      <c r="C799" s="311" t="s">
        <v>594</v>
      </c>
      <c r="D799" s="545" t="s">
        <v>719</v>
      </c>
      <c r="E799" s="290"/>
      <c r="F799" s="540">
        <v>3</v>
      </c>
      <c r="G799" s="312"/>
      <c r="H799" s="313"/>
      <c r="I799" s="314"/>
      <c r="J799" s="205" t="s">
        <v>718</v>
      </c>
      <c r="K799" s="287">
        <v>0.36</v>
      </c>
      <c r="L799" s="206"/>
      <c r="M799" s="286"/>
      <c r="N799" s="552">
        <v>41791</v>
      </c>
      <c r="O799" s="205">
        <f t="shared" si="65"/>
        <v>0</v>
      </c>
      <c r="P799" s="555">
        <f>(1+$R$1)*Table33[[#This Row],[Hours]]</f>
        <v>0</v>
      </c>
      <c r="Q799" s="207">
        <f t="shared" si="64"/>
        <v>0</v>
      </c>
      <c r="R799" s="208">
        <f t="shared" si="66"/>
        <v>0</v>
      </c>
      <c r="S799" s="208">
        <f t="shared" si="67"/>
        <v>0</v>
      </c>
      <c r="T799" s="208" t="str">
        <f t="shared" si="68"/>
        <v/>
      </c>
      <c r="U799" s="195">
        <f>Table33[[#This Row],[gal/100ft]]*Table33[[#This Row],[QTY]]/100</f>
        <v>0</v>
      </c>
      <c r="V799" s="195"/>
      <c r="X799" s="195"/>
      <c r="Y799" s="195"/>
    </row>
    <row r="800" spans="1:25" ht="12.75" x14ac:dyDescent="0.2">
      <c r="A800" s="311" t="s">
        <v>711</v>
      </c>
      <c r="B800" s="311" t="s">
        <v>711</v>
      </c>
      <c r="C800" s="311" t="s">
        <v>594</v>
      </c>
      <c r="D800" s="545" t="s">
        <v>719</v>
      </c>
      <c r="E800" s="290"/>
      <c r="F800" s="540">
        <v>4</v>
      </c>
      <c r="G800" s="312"/>
      <c r="H800" s="313"/>
      <c r="I800" s="314"/>
      <c r="J800" s="205" t="s">
        <v>718</v>
      </c>
      <c r="K800" s="287">
        <v>0.48</v>
      </c>
      <c r="L800" s="206"/>
      <c r="M800" s="286"/>
      <c r="N800" s="552">
        <v>41791</v>
      </c>
      <c r="O800" s="205">
        <f t="shared" si="65"/>
        <v>0</v>
      </c>
      <c r="P800" s="555">
        <f>(1+$R$1)*Table33[[#This Row],[Hours]]</f>
        <v>0</v>
      </c>
      <c r="Q800" s="207">
        <f t="shared" si="64"/>
        <v>0</v>
      </c>
      <c r="R800" s="208">
        <f t="shared" si="66"/>
        <v>0</v>
      </c>
      <c r="S800" s="208">
        <f t="shared" si="67"/>
        <v>0</v>
      </c>
      <c r="T800" s="208" t="str">
        <f t="shared" si="68"/>
        <v/>
      </c>
      <c r="U800" s="195">
        <f>Table33[[#This Row],[gal/100ft]]*Table33[[#This Row],[QTY]]/100</f>
        <v>0</v>
      </c>
      <c r="V800" s="195"/>
      <c r="X800" s="195"/>
      <c r="Y800" s="195"/>
    </row>
    <row r="801" spans="1:25" ht="12.75" x14ac:dyDescent="0.2">
      <c r="A801" s="195" t="s">
        <v>617</v>
      </c>
      <c r="B801" s="536" t="s">
        <v>631</v>
      </c>
      <c r="C801" s="195" t="s">
        <v>594</v>
      </c>
      <c r="D801" s="216" t="s">
        <v>618</v>
      </c>
      <c r="E801" s="290"/>
      <c r="F801" s="540" t="s">
        <v>619</v>
      </c>
      <c r="G801" s="204"/>
      <c r="H801" s="197" t="s">
        <v>619</v>
      </c>
      <c r="I801" s="198"/>
      <c r="J801" s="570" t="s">
        <v>718</v>
      </c>
      <c r="K801" s="287">
        <v>2</v>
      </c>
      <c r="L801" s="206"/>
      <c r="M801" s="286">
        <v>90</v>
      </c>
      <c r="N801" s="552">
        <v>41791</v>
      </c>
      <c r="O801" s="205">
        <f t="shared" si="65"/>
        <v>0</v>
      </c>
      <c r="P801" s="555">
        <f>(1+$R$1)*Table33[[#This Row],[Hours]]</f>
        <v>0</v>
      </c>
      <c r="Q801" s="207">
        <f t="shared" si="64"/>
        <v>0</v>
      </c>
      <c r="R801" s="208">
        <f t="shared" si="66"/>
        <v>0</v>
      </c>
      <c r="S801" s="208">
        <f t="shared" si="67"/>
        <v>0</v>
      </c>
      <c r="T801" s="208" t="str">
        <f t="shared" si="68"/>
        <v/>
      </c>
      <c r="U801" s="195">
        <f>Table33[[#This Row],[gal/100ft]]*Table33[[#This Row],[QTY]]/100</f>
        <v>0</v>
      </c>
      <c r="V801" s="195"/>
      <c r="X801" s="195"/>
      <c r="Y801" s="195"/>
    </row>
    <row r="802" spans="1:25" ht="12.75" x14ac:dyDescent="0.2">
      <c r="A802" s="195" t="s">
        <v>617</v>
      </c>
      <c r="B802" s="536" t="s">
        <v>631</v>
      </c>
      <c r="C802" s="195" t="s">
        <v>594</v>
      </c>
      <c r="D802" s="216" t="s">
        <v>620</v>
      </c>
      <c r="E802" s="290"/>
      <c r="F802" s="540">
        <v>0.75</v>
      </c>
      <c r="G802" s="204"/>
      <c r="H802" s="197" t="s">
        <v>621</v>
      </c>
      <c r="I802" s="198"/>
      <c r="J802" s="570" t="s">
        <v>718</v>
      </c>
      <c r="K802" s="287">
        <v>2</v>
      </c>
      <c r="L802" s="206"/>
      <c r="M802" s="286">
        <v>85</v>
      </c>
      <c r="N802" s="552">
        <v>41791</v>
      </c>
      <c r="O802" s="205">
        <f t="shared" si="65"/>
        <v>0</v>
      </c>
      <c r="P802" s="555">
        <f>(1+$R$1)*Table33[[#This Row],[Hours]]</f>
        <v>0</v>
      </c>
      <c r="Q802" s="207">
        <f t="shared" si="64"/>
        <v>0</v>
      </c>
      <c r="R802" s="208">
        <f t="shared" si="66"/>
        <v>0</v>
      </c>
      <c r="S802" s="208">
        <f t="shared" si="67"/>
        <v>0</v>
      </c>
      <c r="T802" s="208" t="str">
        <f t="shared" si="68"/>
        <v/>
      </c>
      <c r="U802" s="195">
        <f>Table33[[#This Row],[gal/100ft]]*Table33[[#This Row],[QTY]]/100</f>
        <v>0</v>
      </c>
      <c r="V802" s="195"/>
      <c r="X802" s="195"/>
      <c r="Y802" s="195"/>
    </row>
    <row r="803" spans="1:25" ht="12.75" x14ac:dyDescent="0.2">
      <c r="A803" s="195" t="s">
        <v>593</v>
      </c>
      <c r="B803" s="536" t="s">
        <v>631</v>
      </c>
      <c r="C803" s="195" t="s">
        <v>594</v>
      </c>
      <c r="D803" s="216" t="s">
        <v>595</v>
      </c>
      <c r="E803" s="290"/>
      <c r="F803" s="540">
        <v>0.75</v>
      </c>
      <c r="G803" s="204"/>
      <c r="H803" s="197"/>
      <c r="I803" s="198"/>
      <c r="J803" s="205">
        <v>0.85</v>
      </c>
      <c r="K803" s="287">
        <v>0.85</v>
      </c>
      <c r="L803" s="206">
        <v>38.630000000000003</v>
      </c>
      <c r="M803" s="286">
        <v>38.630000000000003</v>
      </c>
      <c r="N803" s="552">
        <v>41791</v>
      </c>
      <c r="O803" s="205">
        <f t="shared" si="65"/>
        <v>0</v>
      </c>
      <c r="P803" s="555">
        <f>(1+$R$1)*Table33[[#This Row],[Hours]]</f>
        <v>0</v>
      </c>
      <c r="Q803" s="207">
        <f t="shared" si="64"/>
        <v>0</v>
      </c>
      <c r="R803" s="208">
        <f t="shared" si="66"/>
        <v>0</v>
      </c>
      <c r="S803" s="208">
        <f t="shared" si="67"/>
        <v>0</v>
      </c>
      <c r="T803" s="208" t="str">
        <f t="shared" si="68"/>
        <v/>
      </c>
      <c r="U803" s="195">
        <f>Table33[[#This Row],[gal/100ft]]*Table33[[#This Row],[QTY]]/100</f>
        <v>0</v>
      </c>
      <c r="V803" s="195"/>
      <c r="X803" s="195"/>
      <c r="Y803" s="195"/>
    </row>
    <row r="804" spans="1:25" ht="12.75" x14ac:dyDescent="0.2">
      <c r="A804" s="195" t="s">
        <v>593</v>
      </c>
      <c r="B804" s="536" t="s">
        <v>631</v>
      </c>
      <c r="C804" s="195" t="s">
        <v>594</v>
      </c>
      <c r="D804" s="216" t="s">
        <v>595</v>
      </c>
      <c r="E804" s="290"/>
      <c r="F804" s="540">
        <v>1.25</v>
      </c>
      <c r="G804" s="204"/>
      <c r="H804" s="197"/>
      <c r="I804" s="198"/>
      <c r="J804" s="205">
        <v>1.2</v>
      </c>
      <c r="K804" s="287">
        <v>1.2</v>
      </c>
      <c r="L804" s="206">
        <v>68.94</v>
      </c>
      <c r="M804" s="286">
        <v>68.94</v>
      </c>
      <c r="N804" s="552">
        <v>41791</v>
      </c>
      <c r="O804" s="205">
        <f t="shared" si="65"/>
        <v>0</v>
      </c>
      <c r="P804" s="555">
        <f>(1+$R$1)*Table33[[#This Row],[Hours]]</f>
        <v>0</v>
      </c>
      <c r="Q804" s="207">
        <f t="shared" si="64"/>
        <v>0</v>
      </c>
      <c r="R804" s="208">
        <f t="shared" si="66"/>
        <v>0</v>
      </c>
      <c r="S804" s="208">
        <f t="shared" si="67"/>
        <v>0</v>
      </c>
      <c r="T804" s="208" t="str">
        <f t="shared" si="68"/>
        <v/>
      </c>
      <c r="U804" s="195">
        <f>Table33[[#This Row],[gal/100ft]]*Table33[[#This Row],[QTY]]/100</f>
        <v>0</v>
      </c>
      <c r="V804" s="195"/>
      <c r="X804" s="195"/>
      <c r="Y804" s="195"/>
    </row>
    <row r="805" spans="1:25" ht="12.75" x14ac:dyDescent="0.2">
      <c r="A805" s="195" t="s">
        <v>593</v>
      </c>
      <c r="B805" s="536" t="s">
        <v>631</v>
      </c>
      <c r="C805" s="195" t="s">
        <v>594</v>
      </c>
      <c r="D805" s="216" t="s">
        <v>595</v>
      </c>
      <c r="E805" s="290"/>
      <c r="F805" s="540">
        <v>2</v>
      </c>
      <c r="G805" s="204"/>
      <c r="H805" s="197"/>
      <c r="I805" s="198"/>
      <c r="J805" s="205">
        <v>1.6</v>
      </c>
      <c r="K805" s="287">
        <v>1.6</v>
      </c>
      <c r="L805" s="206">
        <v>118.25</v>
      </c>
      <c r="M805" s="286">
        <v>118.25</v>
      </c>
      <c r="N805" s="552">
        <v>41791</v>
      </c>
      <c r="O805" s="205">
        <f t="shared" si="65"/>
        <v>0</v>
      </c>
      <c r="P805" s="555">
        <f>(1+$R$1)*Table33[[#This Row],[Hours]]</f>
        <v>0</v>
      </c>
      <c r="Q805" s="207">
        <f t="shared" si="64"/>
        <v>0</v>
      </c>
      <c r="R805" s="208">
        <f t="shared" si="66"/>
        <v>0</v>
      </c>
      <c r="S805" s="208">
        <f t="shared" si="67"/>
        <v>0</v>
      </c>
      <c r="T805" s="208" t="str">
        <f t="shared" si="68"/>
        <v/>
      </c>
      <c r="U805" s="195">
        <f>Table33[[#This Row],[gal/100ft]]*Table33[[#This Row],[QTY]]/100</f>
        <v>0</v>
      </c>
      <c r="V805" s="195"/>
      <c r="X805" s="195"/>
      <c r="Y805" s="195"/>
    </row>
    <row r="806" spans="1:25" ht="12.75" x14ac:dyDescent="0.2">
      <c r="A806" s="195" t="s">
        <v>593</v>
      </c>
      <c r="B806" s="536" t="s">
        <v>631</v>
      </c>
      <c r="C806" s="195" t="s">
        <v>594</v>
      </c>
      <c r="D806" s="216" t="s">
        <v>595</v>
      </c>
      <c r="E806" s="290"/>
      <c r="F806" s="540">
        <v>2.5</v>
      </c>
      <c r="G806" s="204"/>
      <c r="H806" s="197"/>
      <c r="I806" s="198"/>
      <c r="J806" s="205">
        <v>2.66</v>
      </c>
      <c r="K806" s="287">
        <v>2.66</v>
      </c>
      <c r="L806" s="206"/>
      <c r="M806" s="286"/>
      <c r="N806" s="552">
        <v>41791</v>
      </c>
      <c r="O806" s="205">
        <f t="shared" si="65"/>
        <v>0</v>
      </c>
      <c r="P806" s="555">
        <f>(1+$R$1)*Table33[[#This Row],[Hours]]</f>
        <v>0</v>
      </c>
      <c r="Q806" s="207">
        <f t="shared" si="64"/>
        <v>0</v>
      </c>
      <c r="R806" s="208">
        <f t="shared" si="66"/>
        <v>0</v>
      </c>
      <c r="S806" s="208">
        <f t="shared" si="67"/>
        <v>0</v>
      </c>
      <c r="T806" s="208" t="str">
        <f t="shared" si="68"/>
        <v/>
      </c>
      <c r="U806" s="195">
        <f>Table33[[#This Row],[gal/100ft]]*Table33[[#This Row],[QTY]]/100</f>
        <v>0</v>
      </c>
      <c r="V806" s="195"/>
      <c r="X806" s="195"/>
      <c r="Y806" s="195"/>
    </row>
    <row r="807" spans="1:25" ht="12.75" x14ac:dyDescent="0.2">
      <c r="A807" s="195" t="s">
        <v>593</v>
      </c>
      <c r="B807" s="536" t="s">
        <v>631</v>
      </c>
      <c r="C807" s="195" t="s">
        <v>594</v>
      </c>
      <c r="D807" s="216" t="s">
        <v>595</v>
      </c>
      <c r="E807" s="290"/>
      <c r="F807" s="540">
        <v>1</v>
      </c>
      <c r="G807" s="204"/>
      <c r="H807" s="197"/>
      <c r="I807" s="198"/>
      <c r="J807" s="205">
        <v>1.03</v>
      </c>
      <c r="K807" s="287">
        <v>1.03</v>
      </c>
      <c r="L807" s="206">
        <v>50.52</v>
      </c>
      <c r="M807" s="286">
        <v>50.52</v>
      </c>
      <c r="N807" s="552">
        <v>41791</v>
      </c>
      <c r="O807" s="205">
        <f t="shared" si="65"/>
        <v>0</v>
      </c>
      <c r="P807" s="555">
        <f>(1+$R$1)*Table33[[#This Row],[Hours]]</f>
        <v>0</v>
      </c>
      <c r="Q807" s="207">
        <f t="shared" si="64"/>
        <v>0</v>
      </c>
      <c r="R807" s="208">
        <f t="shared" si="66"/>
        <v>0</v>
      </c>
      <c r="S807" s="208">
        <f t="shared" si="67"/>
        <v>0</v>
      </c>
      <c r="T807" s="208" t="str">
        <f t="shared" si="68"/>
        <v/>
      </c>
      <c r="U807" s="195">
        <f>Table33[[#This Row],[gal/100ft]]*Table33[[#This Row],[QTY]]/100</f>
        <v>0</v>
      </c>
      <c r="V807" s="195"/>
      <c r="X807" s="195"/>
      <c r="Y807" s="195"/>
    </row>
    <row r="808" spans="1:25" ht="12.75" x14ac:dyDescent="0.2">
      <c r="A808" s="195" t="s">
        <v>593</v>
      </c>
      <c r="B808" s="536" t="s">
        <v>631</v>
      </c>
      <c r="C808" s="195" t="s">
        <v>594</v>
      </c>
      <c r="D808" s="216" t="s">
        <v>595</v>
      </c>
      <c r="E808" s="290"/>
      <c r="F808" s="540" t="s">
        <v>596</v>
      </c>
      <c r="G808" s="204"/>
      <c r="H808" s="197"/>
      <c r="I808" s="198"/>
      <c r="J808" s="205">
        <v>0.61</v>
      </c>
      <c r="K808" s="287">
        <v>0.61</v>
      </c>
      <c r="L808" s="206">
        <v>33.28</v>
      </c>
      <c r="M808" s="286">
        <v>33.28</v>
      </c>
      <c r="N808" s="552">
        <v>41791</v>
      </c>
      <c r="O808" s="205">
        <f t="shared" si="65"/>
        <v>0</v>
      </c>
      <c r="P808" s="555">
        <f>(1+$R$1)*Table33[[#This Row],[Hours]]</f>
        <v>0</v>
      </c>
      <c r="Q808" s="207">
        <f t="shared" si="64"/>
        <v>0</v>
      </c>
      <c r="R808" s="208">
        <f t="shared" si="66"/>
        <v>0</v>
      </c>
      <c r="S808" s="208">
        <f t="shared" si="67"/>
        <v>0</v>
      </c>
      <c r="T808" s="208" t="str">
        <f t="shared" si="68"/>
        <v/>
      </c>
      <c r="U808" s="195">
        <f>Table33[[#This Row],[gal/100ft]]*Table33[[#This Row],[QTY]]/100</f>
        <v>0</v>
      </c>
      <c r="V808" s="195"/>
      <c r="X808" s="195"/>
      <c r="Y808" s="195"/>
    </row>
    <row r="809" spans="1:25" ht="12.75" x14ac:dyDescent="0.2">
      <c r="A809" s="195" t="s">
        <v>593</v>
      </c>
      <c r="B809" s="536" t="s">
        <v>631</v>
      </c>
      <c r="C809" s="195" t="s">
        <v>594</v>
      </c>
      <c r="D809" s="216" t="s">
        <v>595</v>
      </c>
      <c r="E809" s="288"/>
      <c r="F809" s="540">
        <v>1.5</v>
      </c>
      <c r="G809" s="204"/>
      <c r="H809" s="197"/>
      <c r="I809" s="198"/>
      <c r="J809" s="205">
        <v>1.3</v>
      </c>
      <c r="K809" s="287">
        <v>1.3</v>
      </c>
      <c r="L809" s="206">
        <v>84.98</v>
      </c>
      <c r="M809" s="286">
        <v>84.98</v>
      </c>
      <c r="N809" s="552">
        <v>41791</v>
      </c>
      <c r="O809" s="205">
        <f t="shared" si="65"/>
        <v>0</v>
      </c>
      <c r="P809" s="555">
        <f>(1+$R$1)*Table33[[#This Row],[Hours]]</f>
        <v>0</v>
      </c>
      <c r="Q809" s="207">
        <f t="shared" si="64"/>
        <v>0</v>
      </c>
      <c r="R809" s="208">
        <f t="shared" si="66"/>
        <v>0</v>
      </c>
      <c r="S809" s="208">
        <f t="shared" si="67"/>
        <v>0</v>
      </c>
      <c r="T809" s="208" t="str">
        <f t="shared" si="68"/>
        <v/>
      </c>
      <c r="U809" s="195">
        <f>Table33[[#This Row],[gal/100ft]]*Table33[[#This Row],[QTY]]/100</f>
        <v>0</v>
      </c>
      <c r="V809" s="195"/>
      <c r="X809" s="195"/>
      <c r="Y809" s="195"/>
    </row>
    <row r="810" spans="1:25" ht="12.75" x14ac:dyDescent="0.2">
      <c r="B810" s="195" t="s">
        <v>648</v>
      </c>
      <c r="C810" s="195" t="s">
        <v>650</v>
      </c>
      <c r="D810" s="216"/>
      <c r="E810" s="288"/>
      <c r="F810" s="540">
        <v>2</v>
      </c>
      <c r="G810" s="204"/>
      <c r="H810" s="197"/>
      <c r="I810" s="198"/>
      <c r="J810" s="205">
        <v>1</v>
      </c>
      <c r="K810" s="287">
        <v>1</v>
      </c>
      <c r="L810" s="206">
        <v>10</v>
      </c>
      <c r="M810" s="286">
        <v>10</v>
      </c>
      <c r="N810" s="552">
        <v>41791</v>
      </c>
      <c r="O810" s="205">
        <f t="shared" si="65"/>
        <v>0</v>
      </c>
      <c r="P810" s="555">
        <f>(1+$R$1)*Table33[[#This Row],[Hours]]</f>
        <v>0</v>
      </c>
      <c r="Q810" s="207">
        <f t="shared" si="64"/>
        <v>0</v>
      </c>
      <c r="R810" s="208">
        <f t="shared" si="66"/>
        <v>0</v>
      </c>
      <c r="S810" s="208">
        <f t="shared" si="67"/>
        <v>0</v>
      </c>
      <c r="T810" s="208" t="str">
        <f t="shared" si="68"/>
        <v/>
      </c>
      <c r="U810" s="195">
        <f>Table33[[#This Row],[gal/100ft]]*Table33[[#This Row],[QTY]]/100</f>
        <v>0</v>
      </c>
      <c r="V810" s="195"/>
      <c r="X810" s="195"/>
      <c r="Y810" s="195"/>
    </row>
    <row r="811" spans="1:25" ht="12.75" x14ac:dyDescent="0.2">
      <c r="B811" s="195" t="s">
        <v>648</v>
      </c>
      <c r="C811" s="195" t="s">
        <v>650</v>
      </c>
      <c r="D811" s="216"/>
      <c r="E811" s="288"/>
      <c r="F811" s="540">
        <v>3</v>
      </c>
      <c r="G811" s="204"/>
      <c r="H811" s="197"/>
      <c r="I811" s="198"/>
      <c r="J811" s="205">
        <v>1</v>
      </c>
      <c r="K811" s="287">
        <v>1</v>
      </c>
      <c r="L811" s="206">
        <v>10</v>
      </c>
      <c r="M811" s="286">
        <v>10</v>
      </c>
      <c r="N811" s="552">
        <v>41791</v>
      </c>
      <c r="O811" s="205">
        <f t="shared" si="65"/>
        <v>0</v>
      </c>
      <c r="P811" s="555">
        <f>(1+$R$1)*Table33[[#This Row],[Hours]]</f>
        <v>0</v>
      </c>
      <c r="Q811" s="207">
        <f t="shared" si="64"/>
        <v>0</v>
      </c>
      <c r="R811" s="208">
        <f t="shared" si="66"/>
        <v>0</v>
      </c>
      <c r="S811" s="208">
        <f t="shared" si="67"/>
        <v>0</v>
      </c>
      <c r="T811" s="208" t="str">
        <f t="shared" si="68"/>
        <v/>
      </c>
      <c r="U811" s="195">
        <f>Table33[[#This Row],[gal/100ft]]*Table33[[#This Row],[QTY]]/100</f>
        <v>0</v>
      </c>
      <c r="V811" s="195"/>
      <c r="X811" s="195"/>
      <c r="Y811" s="195"/>
    </row>
    <row r="812" spans="1:25" ht="12.75" x14ac:dyDescent="0.2">
      <c r="B812" s="195" t="s">
        <v>648</v>
      </c>
      <c r="C812" s="195" t="s">
        <v>650</v>
      </c>
      <c r="D812" s="216"/>
      <c r="E812" s="290"/>
      <c r="F812" s="540">
        <v>5</v>
      </c>
      <c r="G812" s="204"/>
      <c r="H812" s="197"/>
      <c r="I812" s="198"/>
      <c r="J812" s="205">
        <v>1.25</v>
      </c>
      <c r="K812" s="287">
        <v>1.25</v>
      </c>
      <c r="L812" s="206">
        <v>12</v>
      </c>
      <c r="M812" s="286">
        <v>12</v>
      </c>
      <c r="N812" s="552">
        <v>41791</v>
      </c>
      <c r="O812" s="205">
        <f t="shared" si="65"/>
        <v>0</v>
      </c>
      <c r="P812" s="555">
        <f>(1+$R$1)*Table33[[#This Row],[Hours]]</f>
        <v>0</v>
      </c>
      <c r="Q812" s="207">
        <f t="shared" si="64"/>
        <v>0</v>
      </c>
      <c r="R812" s="208">
        <f t="shared" si="66"/>
        <v>0</v>
      </c>
      <c r="S812" s="208">
        <f t="shared" si="67"/>
        <v>0</v>
      </c>
      <c r="T812" s="208" t="str">
        <f t="shared" si="68"/>
        <v/>
      </c>
      <c r="U812" s="195">
        <f>Table33[[#This Row],[gal/100ft]]*Table33[[#This Row],[QTY]]/100</f>
        <v>0</v>
      </c>
      <c r="V812" s="195"/>
      <c r="X812" s="195"/>
      <c r="Y812" s="195"/>
    </row>
    <row r="813" spans="1:25" ht="12.75" x14ac:dyDescent="0.2">
      <c r="B813" s="195" t="s">
        <v>648</v>
      </c>
      <c r="C813" s="195" t="s">
        <v>650</v>
      </c>
      <c r="D813" s="216"/>
      <c r="E813" s="288"/>
      <c r="F813" s="540">
        <v>6</v>
      </c>
      <c r="G813" s="204"/>
      <c r="H813" s="197"/>
      <c r="I813" s="198"/>
      <c r="J813" s="205">
        <v>1.25</v>
      </c>
      <c r="K813" s="287">
        <v>1.25</v>
      </c>
      <c r="L813" s="206">
        <v>13</v>
      </c>
      <c r="M813" s="286">
        <v>13</v>
      </c>
      <c r="N813" s="552">
        <v>41791</v>
      </c>
      <c r="O813" s="205">
        <f t="shared" si="65"/>
        <v>0</v>
      </c>
      <c r="P813" s="555">
        <f>(1+$R$1)*Table33[[#This Row],[Hours]]</f>
        <v>0</v>
      </c>
      <c r="Q813" s="207">
        <f t="shared" si="64"/>
        <v>0</v>
      </c>
      <c r="R813" s="208">
        <f t="shared" si="66"/>
        <v>0</v>
      </c>
      <c r="S813" s="208">
        <f t="shared" si="67"/>
        <v>0</v>
      </c>
      <c r="T813" s="208" t="str">
        <f t="shared" si="68"/>
        <v/>
      </c>
      <c r="U813" s="195">
        <f>Table33[[#This Row],[gal/100ft]]*Table33[[#This Row],[QTY]]/100</f>
        <v>0</v>
      </c>
      <c r="V813" s="195"/>
      <c r="X813" s="195"/>
      <c r="Y813" s="195"/>
    </row>
    <row r="814" spans="1:25" ht="12.75" x14ac:dyDescent="0.2">
      <c r="B814" s="195" t="s">
        <v>648</v>
      </c>
      <c r="C814" s="195" t="s">
        <v>650</v>
      </c>
      <c r="D814" s="216"/>
      <c r="E814" s="288"/>
      <c r="F814" s="540">
        <v>7</v>
      </c>
      <c r="G814" s="204"/>
      <c r="H814" s="197"/>
      <c r="I814" s="198"/>
      <c r="J814" s="205">
        <v>1.5</v>
      </c>
      <c r="K814" s="287">
        <v>1.5</v>
      </c>
      <c r="L814" s="206">
        <v>14</v>
      </c>
      <c r="M814" s="286">
        <v>14</v>
      </c>
      <c r="N814" s="552">
        <v>41791</v>
      </c>
      <c r="O814" s="205">
        <f t="shared" si="65"/>
        <v>0</v>
      </c>
      <c r="P814" s="555">
        <f>(1+$R$1)*Table33[[#This Row],[Hours]]</f>
        <v>0</v>
      </c>
      <c r="Q814" s="207">
        <f t="shared" si="64"/>
        <v>0</v>
      </c>
      <c r="R814" s="208">
        <f t="shared" si="66"/>
        <v>0</v>
      </c>
      <c r="S814" s="208">
        <f t="shared" si="67"/>
        <v>0</v>
      </c>
      <c r="T814" s="208" t="str">
        <f t="shared" si="68"/>
        <v/>
      </c>
      <c r="U814" s="195">
        <f>Table33[[#This Row],[gal/100ft]]*Table33[[#This Row],[QTY]]/100</f>
        <v>0</v>
      </c>
      <c r="V814" s="195"/>
      <c r="X814" s="195"/>
      <c r="Y814" s="195"/>
    </row>
    <row r="815" spans="1:25" ht="12.75" x14ac:dyDescent="0.2">
      <c r="B815" s="195" t="s">
        <v>648</v>
      </c>
      <c r="C815" s="195" t="s">
        <v>650</v>
      </c>
      <c r="D815" s="216"/>
      <c r="E815" s="290"/>
      <c r="F815" s="540">
        <v>8</v>
      </c>
      <c r="G815" s="204"/>
      <c r="H815" s="197"/>
      <c r="I815" s="198"/>
      <c r="J815" s="205">
        <v>2</v>
      </c>
      <c r="K815" s="287">
        <v>2</v>
      </c>
      <c r="L815" s="206">
        <v>15</v>
      </c>
      <c r="M815" s="286">
        <v>15</v>
      </c>
      <c r="N815" s="552">
        <v>41791</v>
      </c>
      <c r="O815" s="205">
        <f t="shared" si="65"/>
        <v>0</v>
      </c>
      <c r="P815" s="555">
        <f>(1+$R$1)*Table33[[#This Row],[Hours]]</f>
        <v>0</v>
      </c>
      <c r="Q815" s="207">
        <f t="shared" si="64"/>
        <v>0</v>
      </c>
      <c r="R815" s="208">
        <f t="shared" si="66"/>
        <v>0</v>
      </c>
      <c r="S815" s="208">
        <f t="shared" si="67"/>
        <v>0</v>
      </c>
      <c r="T815" s="208" t="str">
        <f t="shared" si="68"/>
        <v/>
      </c>
      <c r="U815" s="195">
        <f>Table33[[#This Row],[gal/100ft]]*Table33[[#This Row],[QTY]]/100</f>
        <v>0</v>
      </c>
      <c r="V815" s="195"/>
      <c r="X815" s="195"/>
      <c r="Y815" s="195"/>
    </row>
    <row r="816" spans="1:25" ht="12.75" x14ac:dyDescent="0.2">
      <c r="B816" s="195" t="s">
        <v>648</v>
      </c>
      <c r="C816" s="195" t="s">
        <v>650</v>
      </c>
      <c r="D816" s="216"/>
      <c r="E816" s="290"/>
      <c r="F816" s="540">
        <v>4</v>
      </c>
      <c r="G816" s="204"/>
      <c r="H816" s="197"/>
      <c r="I816" s="198"/>
      <c r="J816" s="205">
        <v>1</v>
      </c>
      <c r="K816" s="287">
        <v>1</v>
      </c>
      <c r="L816" s="206">
        <v>10</v>
      </c>
      <c r="M816" s="286">
        <v>10</v>
      </c>
      <c r="N816" s="552">
        <v>41791</v>
      </c>
      <c r="O816" s="205">
        <f t="shared" si="65"/>
        <v>0</v>
      </c>
      <c r="P816" s="555">
        <f>(1+$R$1)*Table33[[#This Row],[Hours]]</f>
        <v>0</v>
      </c>
      <c r="Q816" s="207">
        <f t="shared" si="64"/>
        <v>0</v>
      </c>
      <c r="R816" s="208">
        <f t="shared" si="66"/>
        <v>0</v>
      </c>
      <c r="S816" s="208">
        <f t="shared" si="67"/>
        <v>0</v>
      </c>
      <c r="T816" s="208" t="str">
        <f t="shared" si="68"/>
        <v/>
      </c>
      <c r="U816" s="195">
        <f>Table33[[#This Row],[gal/100ft]]*Table33[[#This Row],[QTY]]/100</f>
        <v>0</v>
      </c>
      <c r="V816" s="195"/>
      <c r="X816" s="195"/>
      <c r="Y816" s="195"/>
    </row>
    <row r="817" spans="1:25" ht="12.75" x14ac:dyDescent="0.2">
      <c r="A817" s="536" t="s">
        <v>585</v>
      </c>
      <c r="B817" s="195" t="s">
        <v>585</v>
      </c>
      <c r="C817" s="195" t="s">
        <v>585</v>
      </c>
      <c r="D817" s="536" t="s">
        <v>884</v>
      </c>
      <c r="E817" s="288"/>
      <c r="F817" s="204">
        <v>0.5</v>
      </c>
      <c r="G817" s="204"/>
      <c r="H817" s="197"/>
      <c r="I817" s="198"/>
      <c r="J817" s="205">
        <v>0.5</v>
      </c>
      <c r="K817" s="287">
        <v>0.5</v>
      </c>
      <c r="L817" s="206">
        <v>1.03</v>
      </c>
      <c r="M817" s="286">
        <v>1.03</v>
      </c>
      <c r="N817" s="552">
        <v>42124</v>
      </c>
      <c r="O817" s="205">
        <f t="shared" si="65"/>
        <v>0</v>
      </c>
      <c r="P817" s="555">
        <f>(1+$R$1)*Table33[[#This Row],[Hours]]</f>
        <v>0</v>
      </c>
      <c r="Q817" s="207">
        <f t="shared" si="64"/>
        <v>0</v>
      </c>
      <c r="R817" s="208">
        <f t="shared" si="66"/>
        <v>0</v>
      </c>
      <c r="S817" s="208">
        <f t="shared" si="67"/>
        <v>0</v>
      </c>
      <c r="T817" s="208" t="str">
        <f t="shared" si="68"/>
        <v/>
      </c>
      <c r="U817" s="195">
        <f>Table33[[#This Row],[gal/100ft]]*Table33[[#This Row],[QTY]]/100</f>
        <v>0</v>
      </c>
      <c r="V817" s="195"/>
      <c r="W817" s="195"/>
      <c r="X817" s="195"/>
      <c r="Y817" s="195"/>
    </row>
    <row r="818" spans="1:25" ht="12.75" x14ac:dyDescent="0.2">
      <c r="A818" s="536" t="s">
        <v>585</v>
      </c>
      <c r="B818" s="195" t="s">
        <v>585</v>
      </c>
      <c r="C818" s="195" t="s">
        <v>585</v>
      </c>
      <c r="D818" s="536" t="s">
        <v>884</v>
      </c>
      <c r="E818" s="288"/>
      <c r="F818" s="204">
        <v>0.75</v>
      </c>
      <c r="G818" s="204"/>
      <c r="H818" s="197"/>
      <c r="I818" s="198"/>
      <c r="J818" s="205">
        <v>0.5</v>
      </c>
      <c r="K818" s="287">
        <v>0.5</v>
      </c>
      <c r="L818" s="206">
        <v>1</v>
      </c>
      <c r="M818" s="286">
        <v>1</v>
      </c>
      <c r="N818" s="552">
        <v>42124</v>
      </c>
      <c r="O818" s="205">
        <f t="shared" si="65"/>
        <v>0</v>
      </c>
      <c r="P818" s="555">
        <f>(1+$R$1)*Table33[[#This Row],[Hours]]</f>
        <v>0</v>
      </c>
      <c r="Q818" s="207">
        <f t="shared" si="64"/>
        <v>0</v>
      </c>
      <c r="R818" s="208">
        <f t="shared" si="66"/>
        <v>0</v>
      </c>
      <c r="S818" s="208">
        <f t="shared" si="67"/>
        <v>0</v>
      </c>
      <c r="T818" s="208" t="str">
        <f t="shared" si="68"/>
        <v/>
      </c>
      <c r="U818" s="195">
        <f>Table33[[#This Row],[gal/100ft]]*Table33[[#This Row],[QTY]]/100</f>
        <v>0</v>
      </c>
      <c r="V818" s="195"/>
      <c r="W818" s="195"/>
      <c r="X818" s="195"/>
      <c r="Y818" s="195"/>
    </row>
    <row r="819" spans="1:25" ht="12.75" x14ac:dyDescent="0.2">
      <c r="A819" s="536" t="s">
        <v>585</v>
      </c>
      <c r="B819" s="195" t="s">
        <v>585</v>
      </c>
      <c r="C819" s="195" t="s">
        <v>585</v>
      </c>
      <c r="D819" s="536" t="s">
        <v>884</v>
      </c>
      <c r="E819" s="288"/>
      <c r="F819" s="204">
        <v>1</v>
      </c>
      <c r="G819" s="204"/>
      <c r="H819" s="197"/>
      <c r="I819" s="198"/>
      <c r="J819" s="205">
        <v>0.5</v>
      </c>
      <c r="K819" s="287">
        <v>0.5</v>
      </c>
      <c r="L819" s="206">
        <v>1.1200000000000001</v>
      </c>
      <c r="M819" s="286">
        <v>1.1200000000000001</v>
      </c>
      <c r="N819" s="552">
        <v>42124</v>
      </c>
      <c r="O819" s="205">
        <f t="shared" si="65"/>
        <v>0</v>
      </c>
      <c r="P819" s="555">
        <f>(1+$R$1)*Table33[[#This Row],[Hours]]</f>
        <v>0</v>
      </c>
      <c r="Q819" s="207">
        <f t="shared" si="64"/>
        <v>0</v>
      </c>
      <c r="R819" s="208">
        <f t="shared" si="66"/>
        <v>0</v>
      </c>
      <c r="S819" s="208">
        <f t="shared" si="67"/>
        <v>0</v>
      </c>
      <c r="T819" s="208" t="str">
        <f t="shared" si="68"/>
        <v/>
      </c>
      <c r="U819" s="195">
        <f>Table33[[#This Row],[gal/100ft]]*Table33[[#This Row],[QTY]]/100</f>
        <v>0</v>
      </c>
      <c r="V819" s="195"/>
      <c r="W819" s="195"/>
      <c r="X819" s="195"/>
      <c r="Y819" s="195"/>
    </row>
    <row r="820" spans="1:25" ht="12.75" x14ac:dyDescent="0.2">
      <c r="A820" s="536" t="s">
        <v>585</v>
      </c>
      <c r="B820" s="195" t="s">
        <v>585</v>
      </c>
      <c r="C820" s="195" t="s">
        <v>585</v>
      </c>
      <c r="D820" s="536" t="s">
        <v>884</v>
      </c>
      <c r="E820" s="288"/>
      <c r="F820" s="204">
        <v>1.25</v>
      </c>
      <c r="G820" s="204"/>
      <c r="H820" s="197"/>
      <c r="I820" s="198"/>
      <c r="J820" s="205">
        <v>0.5</v>
      </c>
      <c r="K820" s="287">
        <v>0.5</v>
      </c>
      <c r="L820" s="206">
        <v>1.27</v>
      </c>
      <c r="M820" s="286">
        <v>1.27</v>
      </c>
      <c r="N820" s="552">
        <v>42124</v>
      </c>
      <c r="O820" s="205">
        <f t="shared" si="65"/>
        <v>0</v>
      </c>
      <c r="P820" s="555">
        <f>(1+$R$1)*Table33[[#This Row],[Hours]]</f>
        <v>0</v>
      </c>
      <c r="Q820" s="207">
        <f t="shared" si="64"/>
        <v>0</v>
      </c>
      <c r="R820" s="208">
        <f t="shared" si="66"/>
        <v>0</v>
      </c>
      <c r="S820" s="208">
        <f t="shared" si="67"/>
        <v>0</v>
      </c>
      <c r="T820" s="208" t="str">
        <f t="shared" si="68"/>
        <v/>
      </c>
      <c r="U820" s="195">
        <f>Table33[[#This Row],[gal/100ft]]*Table33[[#This Row],[QTY]]/100</f>
        <v>0</v>
      </c>
      <c r="V820" s="195"/>
      <c r="W820" s="195"/>
      <c r="X820" s="195"/>
      <c r="Y820" s="195"/>
    </row>
    <row r="821" spans="1:25" ht="12.75" x14ac:dyDescent="0.2">
      <c r="A821" s="536" t="s">
        <v>585</v>
      </c>
      <c r="B821" s="195" t="s">
        <v>585</v>
      </c>
      <c r="C821" s="195" t="s">
        <v>585</v>
      </c>
      <c r="D821" s="536" t="s">
        <v>884</v>
      </c>
      <c r="E821" s="288"/>
      <c r="F821" s="204">
        <v>1.5</v>
      </c>
      <c r="G821" s="204"/>
      <c r="H821" s="197"/>
      <c r="I821" s="198"/>
      <c r="J821" s="205">
        <v>0.5</v>
      </c>
      <c r="K821" s="287">
        <v>0.5</v>
      </c>
      <c r="L821" s="206">
        <v>1.87</v>
      </c>
      <c r="M821" s="286">
        <v>1.87</v>
      </c>
      <c r="N821" s="552">
        <v>42124</v>
      </c>
      <c r="O821" s="205">
        <f t="shared" si="65"/>
        <v>0</v>
      </c>
      <c r="P821" s="555">
        <f>(1+$R$1)*Table33[[#This Row],[Hours]]</f>
        <v>0</v>
      </c>
      <c r="Q821" s="207">
        <f t="shared" si="64"/>
        <v>0</v>
      </c>
      <c r="R821" s="208">
        <f t="shared" si="66"/>
        <v>0</v>
      </c>
      <c r="S821" s="208">
        <f t="shared" si="67"/>
        <v>0</v>
      </c>
      <c r="T821" s="208" t="str">
        <f t="shared" si="68"/>
        <v/>
      </c>
      <c r="U821" s="195">
        <f>Table33[[#This Row],[gal/100ft]]*Table33[[#This Row],[QTY]]/100</f>
        <v>0</v>
      </c>
      <c r="V821" s="195"/>
      <c r="W821" s="195"/>
      <c r="X821" s="195"/>
      <c r="Y821" s="195"/>
    </row>
    <row r="822" spans="1:25" ht="12.75" x14ac:dyDescent="0.2">
      <c r="A822" s="536" t="s">
        <v>585</v>
      </c>
      <c r="B822" s="195" t="s">
        <v>585</v>
      </c>
      <c r="C822" s="195" t="s">
        <v>585</v>
      </c>
      <c r="D822" s="536" t="s">
        <v>884</v>
      </c>
      <c r="E822" s="288"/>
      <c r="F822" s="204">
        <v>2</v>
      </c>
      <c r="G822" s="204"/>
      <c r="H822" s="197"/>
      <c r="I822" s="198"/>
      <c r="J822" s="205">
        <v>0.5</v>
      </c>
      <c r="K822" s="287">
        <v>0.5</v>
      </c>
      <c r="L822" s="206">
        <v>1.73</v>
      </c>
      <c r="M822" s="286">
        <v>1.73</v>
      </c>
      <c r="N822" s="552">
        <v>42124</v>
      </c>
      <c r="O822" s="205">
        <f t="shared" si="65"/>
        <v>0</v>
      </c>
      <c r="P822" s="555">
        <f>(1+$R$1)*Table33[[#This Row],[Hours]]</f>
        <v>0</v>
      </c>
      <c r="Q822" s="207">
        <f t="shared" si="64"/>
        <v>0</v>
      </c>
      <c r="R822" s="208">
        <f t="shared" si="66"/>
        <v>0</v>
      </c>
      <c r="S822" s="208">
        <f t="shared" si="67"/>
        <v>0</v>
      </c>
      <c r="T822" s="208" t="str">
        <f t="shared" si="68"/>
        <v/>
      </c>
      <c r="U822" s="195">
        <f>Table33[[#This Row],[gal/100ft]]*Table33[[#This Row],[QTY]]/100</f>
        <v>0</v>
      </c>
      <c r="V822" s="195"/>
      <c r="W822" s="195"/>
      <c r="X822" s="195"/>
      <c r="Y822" s="195"/>
    </row>
    <row r="823" spans="1:25" ht="12.75" x14ac:dyDescent="0.2">
      <c r="A823" s="536" t="s">
        <v>585</v>
      </c>
      <c r="B823" s="195" t="s">
        <v>585</v>
      </c>
      <c r="C823" s="195" t="s">
        <v>585</v>
      </c>
      <c r="D823" s="536" t="s">
        <v>884</v>
      </c>
      <c r="E823" s="288"/>
      <c r="F823" s="204">
        <v>2.5</v>
      </c>
      <c r="G823" s="204"/>
      <c r="H823" s="197"/>
      <c r="I823" s="198"/>
      <c r="J823" s="205">
        <v>0.5</v>
      </c>
      <c r="K823" s="287">
        <v>0.5</v>
      </c>
      <c r="L823" s="206">
        <v>2.8</v>
      </c>
      <c r="M823" s="286">
        <v>2.8</v>
      </c>
      <c r="N823" s="552">
        <v>42124</v>
      </c>
      <c r="O823" s="205">
        <f t="shared" si="65"/>
        <v>0</v>
      </c>
      <c r="P823" s="555">
        <f>(1+$R$1)*Table33[[#This Row],[Hours]]</f>
        <v>0</v>
      </c>
      <c r="Q823" s="207">
        <f t="shared" si="64"/>
        <v>0</v>
      </c>
      <c r="R823" s="208">
        <f t="shared" si="66"/>
        <v>0</v>
      </c>
      <c r="S823" s="208">
        <f t="shared" si="67"/>
        <v>0</v>
      </c>
      <c r="T823" s="208" t="str">
        <f t="shared" si="68"/>
        <v/>
      </c>
      <c r="U823" s="195">
        <f>Table33[[#This Row],[gal/100ft]]*Table33[[#This Row],[QTY]]/100</f>
        <v>0</v>
      </c>
      <c r="V823" s="195"/>
      <c r="W823" s="195"/>
      <c r="X823" s="195"/>
      <c r="Y823" s="195"/>
    </row>
    <row r="824" spans="1:25" ht="12.75" x14ac:dyDescent="0.2">
      <c r="A824" s="536" t="s">
        <v>585</v>
      </c>
      <c r="B824" s="195" t="s">
        <v>585</v>
      </c>
      <c r="C824" s="195" t="s">
        <v>585</v>
      </c>
      <c r="D824" s="536" t="s">
        <v>884</v>
      </c>
      <c r="E824" s="288"/>
      <c r="F824" s="204">
        <v>3</v>
      </c>
      <c r="G824" s="204"/>
      <c r="H824" s="197"/>
      <c r="I824" s="198"/>
      <c r="J824" s="205">
        <v>0.5</v>
      </c>
      <c r="K824" s="287">
        <v>0.5</v>
      </c>
      <c r="L824" s="206">
        <v>3.51</v>
      </c>
      <c r="M824" s="286">
        <v>3.51</v>
      </c>
      <c r="N824" s="552">
        <v>42124</v>
      </c>
      <c r="O824" s="205">
        <f t="shared" si="65"/>
        <v>0</v>
      </c>
      <c r="P824" s="555">
        <f>(1+$R$1)*Table33[[#This Row],[Hours]]</f>
        <v>0</v>
      </c>
      <c r="Q824" s="207">
        <f t="shared" si="64"/>
        <v>0</v>
      </c>
      <c r="R824" s="208">
        <f t="shared" si="66"/>
        <v>0</v>
      </c>
      <c r="S824" s="208">
        <f t="shared" si="67"/>
        <v>0</v>
      </c>
      <c r="T824" s="208" t="str">
        <f t="shared" si="68"/>
        <v/>
      </c>
      <c r="U824" s="195">
        <f>Table33[[#This Row],[gal/100ft]]*Table33[[#This Row],[QTY]]/100</f>
        <v>0</v>
      </c>
      <c r="V824" s="195"/>
      <c r="W824" s="195"/>
      <c r="X824" s="195"/>
      <c r="Y824" s="195"/>
    </row>
    <row r="825" spans="1:25" ht="12.75" x14ac:dyDescent="0.2">
      <c r="A825" s="536" t="s">
        <v>585</v>
      </c>
      <c r="B825" s="195" t="s">
        <v>585</v>
      </c>
      <c r="C825" s="195" t="s">
        <v>585</v>
      </c>
      <c r="D825" s="536" t="s">
        <v>884</v>
      </c>
      <c r="E825" s="288"/>
      <c r="F825" s="204">
        <v>4</v>
      </c>
      <c r="G825" s="204"/>
      <c r="H825" s="197"/>
      <c r="I825" s="198"/>
      <c r="J825" s="205">
        <v>0.5</v>
      </c>
      <c r="K825" s="287">
        <v>0.5</v>
      </c>
      <c r="L825" s="206">
        <v>4.2</v>
      </c>
      <c r="M825" s="286">
        <v>4.2</v>
      </c>
      <c r="N825" s="552">
        <v>42124</v>
      </c>
      <c r="O825" s="205">
        <f t="shared" si="65"/>
        <v>0</v>
      </c>
      <c r="P825" s="555">
        <f>(1+$R$1)*Table33[[#This Row],[Hours]]</f>
        <v>0</v>
      </c>
      <c r="Q825" s="207">
        <f t="shared" si="64"/>
        <v>0</v>
      </c>
      <c r="R825" s="208">
        <f t="shared" si="66"/>
        <v>0</v>
      </c>
      <c r="S825" s="208">
        <f t="shared" si="67"/>
        <v>0</v>
      </c>
      <c r="T825" s="208" t="str">
        <f t="shared" si="68"/>
        <v/>
      </c>
      <c r="U825" s="195">
        <f>Table33[[#This Row],[gal/100ft]]*Table33[[#This Row],[QTY]]/100</f>
        <v>0</v>
      </c>
      <c r="V825" s="195"/>
      <c r="W825" s="195"/>
      <c r="X825" s="195"/>
      <c r="Y825" s="195"/>
    </row>
    <row r="826" spans="1:25" ht="12.75" x14ac:dyDescent="0.2">
      <c r="A826" s="536" t="s">
        <v>585</v>
      </c>
      <c r="B826" s="195" t="s">
        <v>585</v>
      </c>
      <c r="C826" s="195" t="s">
        <v>585</v>
      </c>
      <c r="D826" s="536" t="s">
        <v>884</v>
      </c>
      <c r="E826" s="288"/>
      <c r="F826" s="204">
        <v>5</v>
      </c>
      <c r="G826" s="204"/>
      <c r="H826" s="197"/>
      <c r="I826" s="198"/>
      <c r="J826" s="205">
        <v>0.5</v>
      </c>
      <c r="K826" s="287">
        <v>0.5</v>
      </c>
      <c r="L826" s="206">
        <v>5.88</v>
      </c>
      <c r="M826" s="286">
        <v>5.88</v>
      </c>
      <c r="N826" s="552">
        <v>42124</v>
      </c>
      <c r="O826" s="205">
        <f t="shared" si="65"/>
        <v>0</v>
      </c>
      <c r="P826" s="555">
        <f>(1+$R$1)*Table33[[#This Row],[Hours]]</f>
        <v>0</v>
      </c>
      <c r="Q826" s="207">
        <f t="shared" si="64"/>
        <v>0</v>
      </c>
      <c r="R826" s="208">
        <f t="shared" si="66"/>
        <v>0</v>
      </c>
      <c r="S826" s="208">
        <f t="shared" si="67"/>
        <v>0</v>
      </c>
      <c r="T826" s="208" t="str">
        <f t="shared" si="68"/>
        <v/>
      </c>
      <c r="U826" s="195">
        <f>Table33[[#This Row],[gal/100ft]]*Table33[[#This Row],[QTY]]/100</f>
        <v>0</v>
      </c>
      <c r="V826" s="195"/>
      <c r="W826" s="195"/>
      <c r="X826" s="195"/>
      <c r="Y826" s="195"/>
    </row>
    <row r="827" spans="1:25" ht="12.75" x14ac:dyDescent="0.2">
      <c r="A827" s="536" t="s">
        <v>585</v>
      </c>
      <c r="B827" s="195" t="s">
        <v>585</v>
      </c>
      <c r="C827" s="195" t="s">
        <v>585</v>
      </c>
      <c r="D827" s="536" t="s">
        <v>884</v>
      </c>
      <c r="E827" s="288"/>
      <c r="F827" s="204">
        <v>6</v>
      </c>
      <c r="G827" s="204"/>
      <c r="H827" s="197"/>
      <c r="I827" s="198"/>
      <c r="J827" s="205">
        <v>0.5</v>
      </c>
      <c r="K827" s="287">
        <v>0.5</v>
      </c>
      <c r="L827" s="206">
        <v>7.73</v>
      </c>
      <c r="M827" s="286">
        <v>7.73</v>
      </c>
      <c r="N827" s="552">
        <v>42124</v>
      </c>
      <c r="O827" s="205">
        <f t="shared" si="65"/>
        <v>0</v>
      </c>
      <c r="P827" s="555">
        <f>(1+$R$1)*Table33[[#This Row],[Hours]]</f>
        <v>0</v>
      </c>
      <c r="Q827" s="207">
        <f t="shared" si="64"/>
        <v>0</v>
      </c>
      <c r="R827" s="208">
        <f t="shared" si="66"/>
        <v>0</v>
      </c>
      <c r="S827" s="208">
        <f t="shared" si="67"/>
        <v>0</v>
      </c>
      <c r="T827" s="208" t="str">
        <f t="shared" si="68"/>
        <v/>
      </c>
      <c r="U827" s="195">
        <f>Table33[[#This Row],[gal/100ft]]*Table33[[#This Row],[QTY]]/100</f>
        <v>0</v>
      </c>
      <c r="V827" s="195"/>
      <c r="W827" s="195"/>
      <c r="X827" s="195"/>
      <c r="Y827" s="195"/>
    </row>
    <row r="828" spans="1:25" ht="12.75" x14ac:dyDescent="0.2">
      <c r="A828" s="536" t="s">
        <v>585</v>
      </c>
      <c r="B828" s="195" t="s">
        <v>585</v>
      </c>
      <c r="C828" s="195" t="s">
        <v>585</v>
      </c>
      <c r="D828" s="536" t="s">
        <v>884</v>
      </c>
      <c r="E828" s="288"/>
      <c r="F828" s="204">
        <v>8</v>
      </c>
      <c r="G828" s="204"/>
      <c r="H828" s="197"/>
      <c r="I828" s="198"/>
      <c r="J828" s="205">
        <v>0.5</v>
      </c>
      <c r="K828" s="287">
        <v>0.5</v>
      </c>
      <c r="L828" s="206">
        <v>12.8</v>
      </c>
      <c r="M828" s="286">
        <v>12.8</v>
      </c>
      <c r="N828" s="552">
        <v>42124</v>
      </c>
      <c r="O828" s="205">
        <f t="shared" si="65"/>
        <v>0</v>
      </c>
      <c r="P828" s="555">
        <f>(1+$R$1)*Table33[[#This Row],[Hours]]</f>
        <v>0</v>
      </c>
      <c r="Q828" s="207">
        <f t="shared" si="64"/>
        <v>0</v>
      </c>
      <c r="R828" s="208">
        <f t="shared" si="66"/>
        <v>0</v>
      </c>
      <c r="S828" s="208">
        <f t="shared" si="67"/>
        <v>0</v>
      </c>
      <c r="T828" s="208" t="str">
        <f t="shared" si="68"/>
        <v/>
      </c>
      <c r="U828" s="195">
        <f>Table33[[#This Row],[gal/100ft]]*Table33[[#This Row],[QTY]]/100</f>
        <v>0</v>
      </c>
      <c r="V828" s="195"/>
      <c r="W828" s="195"/>
      <c r="X828" s="195"/>
      <c r="Y828" s="195"/>
    </row>
    <row r="829" spans="1:25" ht="12.75" x14ac:dyDescent="0.2">
      <c r="A829" s="536" t="s">
        <v>585</v>
      </c>
      <c r="B829" s="195" t="s">
        <v>585</v>
      </c>
      <c r="C829" s="195" t="s">
        <v>585</v>
      </c>
      <c r="D829" s="536" t="s">
        <v>884</v>
      </c>
      <c r="E829" s="288"/>
      <c r="F829" s="204">
        <v>10</v>
      </c>
      <c r="G829" s="204"/>
      <c r="H829" s="197"/>
      <c r="I829" s="198"/>
      <c r="J829" s="205">
        <v>0.5</v>
      </c>
      <c r="K829" s="287">
        <v>0.5</v>
      </c>
      <c r="L829" s="206">
        <v>22.29</v>
      </c>
      <c r="M829" s="286">
        <v>22.29</v>
      </c>
      <c r="N829" s="552">
        <v>42124</v>
      </c>
      <c r="O829" s="205">
        <f t="shared" si="65"/>
        <v>0</v>
      </c>
      <c r="P829" s="555">
        <f>(1+$R$1)*Table33[[#This Row],[Hours]]</f>
        <v>0</v>
      </c>
      <c r="Q829" s="207">
        <f t="shared" si="64"/>
        <v>0</v>
      </c>
      <c r="R829" s="208">
        <f t="shared" si="66"/>
        <v>0</v>
      </c>
      <c r="S829" s="208">
        <f t="shared" si="67"/>
        <v>0</v>
      </c>
      <c r="T829" s="208" t="str">
        <f t="shared" si="68"/>
        <v/>
      </c>
      <c r="U829" s="195">
        <f>Table33[[#This Row],[gal/100ft]]*Table33[[#This Row],[QTY]]/100</f>
        <v>0</v>
      </c>
      <c r="V829" s="195"/>
      <c r="W829" s="195"/>
      <c r="X829" s="195"/>
      <c r="Y829" s="195"/>
    </row>
    <row r="830" spans="1:25" ht="12.75" x14ac:dyDescent="0.2">
      <c r="A830" s="536" t="s">
        <v>585</v>
      </c>
      <c r="B830" s="195" t="s">
        <v>585</v>
      </c>
      <c r="C830" s="195" t="s">
        <v>585</v>
      </c>
      <c r="D830" s="536" t="s">
        <v>884</v>
      </c>
      <c r="E830" s="548"/>
      <c r="F830" s="540">
        <v>12</v>
      </c>
      <c r="G830" s="204"/>
      <c r="H830" s="197"/>
      <c r="I830" s="198"/>
      <c r="J830" s="205">
        <v>0.5</v>
      </c>
      <c r="K830" s="287">
        <v>0.5</v>
      </c>
      <c r="L830" s="206">
        <v>28.46</v>
      </c>
      <c r="M830" s="286">
        <v>28.46</v>
      </c>
      <c r="N830" s="552">
        <v>42124</v>
      </c>
      <c r="O830" s="205">
        <f t="shared" si="65"/>
        <v>0</v>
      </c>
      <c r="P830" s="555">
        <f>(1+$R$1)*Table33[[#This Row],[Hours]]</f>
        <v>0</v>
      </c>
      <c r="Q830" s="207">
        <f t="shared" si="64"/>
        <v>0</v>
      </c>
      <c r="R830" s="208">
        <f t="shared" si="66"/>
        <v>0</v>
      </c>
      <c r="S830" s="208">
        <f t="shared" si="67"/>
        <v>0</v>
      </c>
      <c r="T830" s="208" t="str">
        <f t="shared" si="68"/>
        <v/>
      </c>
      <c r="U830" s="195">
        <f>Table33[[#This Row],[gal/100ft]]*Table33[[#This Row],[QTY]]/100</f>
        <v>0</v>
      </c>
      <c r="V830" s="547"/>
      <c r="W830" s="195"/>
      <c r="X830" s="195"/>
      <c r="Y830" s="195"/>
    </row>
    <row r="831" spans="1:25" ht="12.75" x14ac:dyDescent="0.2">
      <c r="A831" s="536" t="s">
        <v>585</v>
      </c>
      <c r="B831" s="195" t="s">
        <v>585</v>
      </c>
      <c r="C831" s="195" t="s">
        <v>585</v>
      </c>
      <c r="D831" s="536" t="s">
        <v>884</v>
      </c>
      <c r="E831" s="288"/>
      <c r="F831" s="204">
        <v>14</v>
      </c>
      <c r="G831" s="204"/>
      <c r="H831" s="197"/>
      <c r="I831" s="198"/>
      <c r="J831" s="205">
        <v>0.5</v>
      </c>
      <c r="K831" s="287">
        <v>0.5</v>
      </c>
      <c r="L831" s="206"/>
      <c r="M831" s="286"/>
      <c r="N831" s="552"/>
      <c r="O831" s="205">
        <f t="shared" ref="O831:O871" si="69">K831*E831</f>
        <v>0</v>
      </c>
      <c r="P831" s="555">
        <f>(1+$R$1)*Table33[[#This Row],[Hours]]</f>
        <v>0</v>
      </c>
      <c r="Q831" s="207">
        <f t="shared" ref="Q831:Q871" si="70">P831*$O$1</f>
        <v>0</v>
      </c>
      <c r="R831" s="208">
        <f t="shared" ref="R831:R871" si="71">M831*E831</f>
        <v>0</v>
      </c>
      <c r="S831" s="208">
        <f t="shared" ref="S831:S871" si="72">R831+Q831</f>
        <v>0</v>
      </c>
      <c r="T831" s="208" t="str">
        <f t="shared" ref="T831:T871" si="73">IF(E831="","",S831/E831)</f>
        <v/>
      </c>
      <c r="U831" s="195">
        <f>Table33[[#This Row],[gal/100ft]]*Table33[[#This Row],[QTY]]/100</f>
        <v>0</v>
      </c>
      <c r="V831" s="195"/>
      <c r="W831" s="195"/>
      <c r="X831" s="195"/>
      <c r="Y831" s="195"/>
    </row>
    <row r="832" spans="1:25" ht="12.75" x14ac:dyDescent="0.2">
      <c r="A832" s="572"/>
      <c r="B832" s="572"/>
      <c r="C832" s="572"/>
      <c r="D832" s="573"/>
      <c r="E832" s="548"/>
      <c r="F832" s="574"/>
      <c r="G832" s="575"/>
      <c r="H832" s="576"/>
      <c r="I832" s="577"/>
      <c r="J832" s="578"/>
      <c r="K832" s="287"/>
      <c r="L832" s="579"/>
      <c r="M832" s="580"/>
      <c r="N832" s="581"/>
      <c r="O832" s="578">
        <f t="shared" ref="O832:O866" si="74">K832*E832</f>
        <v>0</v>
      </c>
      <c r="P832" s="555">
        <f>(1+$R$1)*Table33[[#This Row],[Hours]]</f>
        <v>0</v>
      </c>
      <c r="Q832" s="582">
        <f t="shared" ref="Q832:Q866" si="75">P832*$O$1</f>
        <v>0</v>
      </c>
      <c r="R832" s="583">
        <f t="shared" ref="R832:R866" si="76">M832*E832</f>
        <v>0</v>
      </c>
      <c r="S832" s="583">
        <f t="shared" ref="S832:S866" si="77">R832+Q832</f>
        <v>0</v>
      </c>
      <c r="T832" s="583" t="str">
        <f t="shared" ref="T832:T866" si="78">IF(E832="","",S832/E832)</f>
        <v/>
      </c>
      <c r="U832" s="572">
        <f>Table33[[#This Row],[gal/100ft]]*Table33[[#This Row],[QTY]]/100</f>
        <v>0</v>
      </c>
      <c r="V832" s="195"/>
      <c r="W832" s="195"/>
      <c r="X832" s="195"/>
      <c r="Y832" s="195"/>
    </row>
    <row r="833" spans="1:25" ht="12.75" x14ac:dyDescent="0.2">
      <c r="A833" s="572" t="s">
        <v>612</v>
      </c>
      <c r="B833" s="572" t="s">
        <v>874</v>
      </c>
      <c r="C833" s="572" t="s">
        <v>594</v>
      </c>
      <c r="D833" s="573" t="s">
        <v>885</v>
      </c>
      <c r="E833" s="548"/>
      <c r="F833" s="574">
        <v>2</v>
      </c>
      <c r="G833" s="575"/>
      <c r="H833" s="576"/>
      <c r="I833" s="577"/>
      <c r="J833" s="578"/>
      <c r="K833" s="287"/>
      <c r="L833" s="579"/>
      <c r="M833" s="580"/>
      <c r="N833" s="581"/>
      <c r="O833" s="578">
        <f t="shared" si="74"/>
        <v>0</v>
      </c>
      <c r="P833" s="555">
        <f>(1+$R$1)*Table33[[#This Row],[Hours]]</f>
        <v>0</v>
      </c>
      <c r="Q833" s="582">
        <f t="shared" si="75"/>
        <v>0</v>
      </c>
      <c r="R833" s="583">
        <f t="shared" si="76"/>
        <v>0</v>
      </c>
      <c r="S833" s="583">
        <f t="shared" si="77"/>
        <v>0</v>
      </c>
      <c r="T833" s="583" t="str">
        <f t="shared" si="78"/>
        <v/>
      </c>
      <c r="U833" s="572">
        <f>Table33[[#This Row],[gal/100ft]]*Table33[[#This Row],[QTY]]/100</f>
        <v>0</v>
      </c>
      <c r="V833" s="195"/>
      <c r="W833" s="195"/>
      <c r="X833" s="195"/>
      <c r="Y833" s="195"/>
    </row>
    <row r="834" spans="1:25" ht="12.75" x14ac:dyDescent="0.2">
      <c r="A834" s="572" t="s">
        <v>612</v>
      </c>
      <c r="B834" s="572" t="s">
        <v>874</v>
      </c>
      <c r="C834" s="572" t="s">
        <v>594</v>
      </c>
      <c r="D834" s="573" t="s">
        <v>885</v>
      </c>
      <c r="E834" s="548"/>
      <c r="F834" s="574">
        <v>2.5</v>
      </c>
      <c r="G834" s="575"/>
      <c r="H834" s="576"/>
      <c r="I834" s="577"/>
      <c r="J834" s="578">
        <v>0.69</v>
      </c>
      <c r="K834" s="578">
        <v>0.69</v>
      </c>
      <c r="L834" s="579"/>
      <c r="M834" s="580"/>
      <c r="N834" s="581">
        <v>42124</v>
      </c>
      <c r="O834" s="578">
        <f t="shared" si="74"/>
        <v>0</v>
      </c>
      <c r="P834" s="555">
        <f>(1+$R$1)*Table33[[#This Row],[Hours]]</f>
        <v>0</v>
      </c>
      <c r="Q834" s="582">
        <f t="shared" si="75"/>
        <v>0</v>
      </c>
      <c r="R834" s="583">
        <f t="shared" si="76"/>
        <v>0</v>
      </c>
      <c r="S834" s="583">
        <f t="shared" si="77"/>
        <v>0</v>
      </c>
      <c r="T834" s="583" t="str">
        <f t="shared" si="78"/>
        <v/>
      </c>
      <c r="U834" s="572">
        <f>Table33[[#This Row],[gal/100ft]]*Table33[[#This Row],[QTY]]/100</f>
        <v>0</v>
      </c>
      <c r="V834" s="195"/>
      <c r="W834" s="195"/>
      <c r="X834" s="195"/>
      <c r="Y834" s="195"/>
    </row>
    <row r="835" spans="1:25" ht="12.75" x14ac:dyDescent="0.2">
      <c r="A835" s="572" t="s">
        <v>612</v>
      </c>
      <c r="B835" s="572" t="s">
        <v>874</v>
      </c>
      <c r="C835" s="572" t="s">
        <v>594</v>
      </c>
      <c r="D835" s="573" t="s">
        <v>885</v>
      </c>
      <c r="E835" s="548"/>
      <c r="F835" s="574">
        <v>3</v>
      </c>
      <c r="G835" s="575"/>
      <c r="H835" s="576"/>
      <c r="I835" s="577"/>
      <c r="J835" s="578">
        <v>0.78</v>
      </c>
      <c r="K835" s="578">
        <v>0.78</v>
      </c>
      <c r="L835" s="579"/>
      <c r="M835" s="580"/>
      <c r="N835" s="581">
        <v>42124</v>
      </c>
      <c r="O835" s="578">
        <f t="shared" si="74"/>
        <v>0</v>
      </c>
      <c r="P835" s="555">
        <f>(1+$R$1)*Table33[[#This Row],[Hours]]</f>
        <v>0</v>
      </c>
      <c r="Q835" s="582">
        <f t="shared" si="75"/>
        <v>0</v>
      </c>
      <c r="R835" s="583">
        <f t="shared" si="76"/>
        <v>0</v>
      </c>
      <c r="S835" s="583">
        <f t="shared" si="77"/>
        <v>0</v>
      </c>
      <c r="T835" s="583" t="str">
        <f t="shared" si="78"/>
        <v/>
      </c>
      <c r="U835" s="572">
        <f>Table33[[#This Row],[gal/100ft]]*Table33[[#This Row],[QTY]]/100</f>
        <v>0</v>
      </c>
      <c r="V835" s="195"/>
      <c r="W835" s="195"/>
      <c r="X835" s="195"/>
      <c r="Y835" s="195"/>
    </row>
    <row r="836" spans="1:25" ht="12.75" x14ac:dyDescent="0.2">
      <c r="A836" s="572" t="s">
        <v>612</v>
      </c>
      <c r="B836" s="572" t="s">
        <v>874</v>
      </c>
      <c r="C836" s="572" t="s">
        <v>594</v>
      </c>
      <c r="D836" s="573" t="s">
        <v>885</v>
      </c>
      <c r="E836" s="548"/>
      <c r="F836" s="574">
        <v>4</v>
      </c>
      <c r="G836" s="575"/>
      <c r="H836" s="576"/>
      <c r="I836" s="577"/>
      <c r="J836" s="578">
        <v>1.02</v>
      </c>
      <c r="K836" s="578">
        <v>1.02</v>
      </c>
      <c r="L836" s="579"/>
      <c r="M836" s="580"/>
      <c r="N836" s="581">
        <v>42124</v>
      </c>
      <c r="O836" s="578">
        <f t="shared" si="74"/>
        <v>0</v>
      </c>
      <c r="P836" s="555">
        <f>(1+$R$1)*Table33[[#This Row],[Hours]]</f>
        <v>0</v>
      </c>
      <c r="Q836" s="582">
        <f t="shared" si="75"/>
        <v>0</v>
      </c>
      <c r="R836" s="583">
        <f t="shared" si="76"/>
        <v>0</v>
      </c>
      <c r="S836" s="583">
        <f t="shared" si="77"/>
        <v>0</v>
      </c>
      <c r="T836" s="583" t="str">
        <f t="shared" si="78"/>
        <v/>
      </c>
      <c r="U836" s="572">
        <f>Table33[[#This Row],[gal/100ft]]*Table33[[#This Row],[QTY]]/100</f>
        <v>0</v>
      </c>
      <c r="V836" s="195"/>
      <c r="W836" s="195"/>
      <c r="X836" s="195"/>
      <c r="Y836" s="195"/>
    </row>
    <row r="837" spans="1:25" ht="12.75" x14ac:dyDescent="0.2">
      <c r="A837" s="572" t="s">
        <v>612</v>
      </c>
      <c r="B837" s="572" t="s">
        <v>874</v>
      </c>
      <c r="C837" s="572" t="s">
        <v>594</v>
      </c>
      <c r="D837" s="573" t="s">
        <v>885</v>
      </c>
      <c r="E837" s="548"/>
      <c r="F837" s="574">
        <v>5</v>
      </c>
      <c r="G837" s="575"/>
      <c r="H837" s="576"/>
      <c r="I837" s="577"/>
      <c r="J837" s="578">
        <v>1.3</v>
      </c>
      <c r="K837" s="578">
        <v>1.3</v>
      </c>
      <c r="L837" s="579"/>
      <c r="M837" s="580"/>
      <c r="N837" s="581">
        <v>42124</v>
      </c>
      <c r="O837" s="578">
        <f t="shared" si="74"/>
        <v>0</v>
      </c>
      <c r="P837" s="555">
        <f>(1+$R$1)*Table33[[#This Row],[Hours]]</f>
        <v>0</v>
      </c>
      <c r="Q837" s="582">
        <f t="shared" si="75"/>
        <v>0</v>
      </c>
      <c r="R837" s="583">
        <f t="shared" si="76"/>
        <v>0</v>
      </c>
      <c r="S837" s="583">
        <f t="shared" si="77"/>
        <v>0</v>
      </c>
      <c r="T837" s="583" t="str">
        <f t="shared" si="78"/>
        <v/>
      </c>
      <c r="U837" s="572">
        <f>Table33[[#This Row],[gal/100ft]]*Table33[[#This Row],[QTY]]/100</f>
        <v>0</v>
      </c>
      <c r="V837" s="195"/>
      <c r="W837" s="195"/>
      <c r="X837" s="195"/>
      <c r="Y837" s="195"/>
    </row>
    <row r="838" spans="1:25" ht="12.75" x14ac:dyDescent="0.2">
      <c r="A838" s="572" t="s">
        <v>612</v>
      </c>
      <c r="B838" s="572" t="s">
        <v>874</v>
      </c>
      <c r="C838" s="572" t="s">
        <v>594</v>
      </c>
      <c r="D838" s="573" t="s">
        <v>885</v>
      </c>
      <c r="E838" s="548"/>
      <c r="F838" s="574">
        <v>6</v>
      </c>
      <c r="G838" s="575"/>
      <c r="H838" s="576"/>
      <c r="I838" s="577"/>
      <c r="J838" s="578">
        <v>1.58</v>
      </c>
      <c r="K838" s="578">
        <v>1.58</v>
      </c>
      <c r="L838" s="579"/>
      <c r="M838" s="580"/>
      <c r="N838" s="581">
        <v>42124</v>
      </c>
      <c r="O838" s="578">
        <f t="shared" si="74"/>
        <v>0</v>
      </c>
      <c r="P838" s="555">
        <f>(1+$R$1)*Table33[[#This Row],[Hours]]</f>
        <v>0</v>
      </c>
      <c r="Q838" s="582">
        <f t="shared" si="75"/>
        <v>0</v>
      </c>
      <c r="R838" s="583">
        <f t="shared" si="76"/>
        <v>0</v>
      </c>
      <c r="S838" s="583">
        <f t="shared" si="77"/>
        <v>0</v>
      </c>
      <c r="T838" s="583" t="str">
        <f t="shared" si="78"/>
        <v/>
      </c>
      <c r="U838" s="572">
        <f>Table33[[#This Row],[gal/100ft]]*Table33[[#This Row],[QTY]]/100</f>
        <v>0</v>
      </c>
      <c r="V838" s="195"/>
      <c r="W838" s="195"/>
      <c r="X838" s="195"/>
      <c r="Y838" s="195"/>
    </row>
    <row r="839" spans="1:25" ht="12.75" x14ac:dyDescent="0.2">
      <c r="A839" s="572" t="s">
        <v>612</v>
      </c>
      <c r="B839" s="572" t="s">
        <v>874</v>
      </c>
      <c r="C839" s="572" t="s">
        <v>594</v>
      </c>
      <c r="D839" s="573" t="s">
        <v>885</v>
      </c>
      <c r="E839" s="548"/>
      <c r="F839" s="574">
        <v>8</v>
      </c>
      <c r="G839" s="575"/>
      <c r="H839" s="576"/>
      <c r="I839" s="577"/>
      <c r="J839" s="578">
        <v>2.63</v>
      </c>
      <c r="K839" s="578">
        <v>2.63</v>
      </c>
      <c r="L839" s="579"/>
      <c r="M839" s="580"/>
      <c r="N839" s="581">
        <v>42124</v>
      </c>
      <c r="O839" s="578">
        <f t="shared" si="74"/>
        <v>0</v>
      </c>
      <c r="P839" s="555">
        <f>(1+$R$1)*Table33[[#This Row],[Hours]]</f>
        <v>0</v>
      </c>
      <c r="Q839" s="582">
        <f t="shared" si="75"/>
        <v>0</v>
      </c>
      <c r="R839" s="583">
        <f t="shared" si="76"/>
        <v>0</v>
      </c>
      <c r="S839" s="583">
        <f t="shared" si="77"/>
        <v>0</v>
      </c>
      <c r="T839" s="583" t="str">
        <f t="shared" si="78"/>
        <v/>
      </c>
      <c r="U839" s="572">
        <f>Table33[[#This Row],[gal/100ft]]*Table33[[#This Row],[QTY]]/100</f>
        <v>0</v>
      </c>
      <c r="V839" s="195"/>
      <c r="W839" s="195"/>
      <c r="X839" s="195"/>
      <c r="Y839" s="195"/>
    </row>
    <row r="840" spans="1:25" ht="12.75" x14ac:dyDescent="0.2">
      <c r="A840" s="572" t="s">
        <v>612</v>
      </c>
      <c r="B840" s="572" t="s">
        <v>874</v>
      </c>
      <c r="C840" s="572" t="s">
        <v>594</v>
      </c>
      <c r="D840" s="573" t="s">
        <v>885</v>
      </c>
      <c r="E840" s="548"/>
      <c r="F840" s="574">
        <v>10</v>
      </c>
      <c r="G840" s="575"/>
      <c r="H840" s="576"/>
      <c r="I840" s="577"/>
      <c r="J840" s="578">
        <v>3.87</v>
      </c>
      <c r="K840" s="578">
        <v>3.87</v>
      </c>
      <c r="L840" s="579"/>
      <c r="M840" s="580"/>
      <c r="N840" s="581">
        <v>42124</v>
      </c>
      <c r="O840" s="578">
        <f t="shared" si="74"/>
        <v>0</v>
      </c>
      <c r="P840" s="555">
        <f>(1+$R$1)*Table33[[#This Row],[Hours]]</f>
        <v>0</v>
      </c>
      <c r="Q840" s="582">
        <f t="shared" si="75"/>
        <v>0</v>
      </c>
      <c r="R840" s="583">
        <f t="shared" si="76"/>
        <v>0</v>
      </c>
      <c r="S840" s="583">
        <f t="shared" si="77"/>
        <v>0</v>
      </c>
      <c r="T840" s="583" t="str">
        <f t="shared" si="78"/>
        <v/>
      </c>
      <c r="U840" s="572">
        <f>Table33[[#This Row],[gal/100ft]]*Table33[[#This Row],[QTY]]/100</f>
        <v>0</v>
      </c>
      <c r="V840" s="195"/>
      <c r="W840" s="195"/>
      <c r="X840" s="195"/>
      <c r="Y840" s="195"/>
    </row>
    <row r="841" spans="1:25" ht="12.75" x14ac:dyDescent="0.2">
      <c r="A841" s="572" t="s">
        <v>612</v>
      </c>
      <c r="B841" s="572" t="s">
        <v>874</v>
      </c>
      <c r="C841" s="572" t="s">
        <v>594</v>
      </c>
      <c r="D841" s="573" t="s">
        <v>885</v>
      </c>
      <c r="E841" s="548"/>
      <c r="F841" s="574">
        <v>12</v>
      </c>
      <c r="G841" s="575"/>
      <c r="H841" s="576"/>
      <c r="I841" s="577"/>
      <c r="J841" s="578"/>
      <c r="K841" s="287"/>
      <c r="L841" s="579"/>
      <c r="M841" s="580"/>
      <c r="N841" s="581">
        <v>42124</v>
      </c>
      <c r="O841" s="578">
        <f t="shared" si="74"/>
        <v>0</v>
      </c>
      <c r="P841" s="555">
        <f>(1+$R$1)*Table33[[#This Row],[Hours]]</f>
        <v>0</v>
      </c>
      <c r="Q841" s="582">
        <f t="shared" si="75"/>
        <v>0</v>
      </c>
      <c r="R841" s="583">
        <f t="shared" si="76"/>
        <v>0</v>
      </c>
      <c r="S841" s="583">
        <f t="shared" si="77"/>
        <v>0</v>
      </c>
      <c r="T841" s="583" t="str">
        <f t="shared" si="78"/>
        <v/>
      </c>
      <c r="U841" s="572">
        <f>Table33[[#This Row],[gal/100ft]]*Table33[[#This Row],[QTY]]/100</f>
        <v>0</v>
      </c>
      <c r="V841" s="195"/>
      <c r="W841" s="195"/>
      <c r="X841" s="195"/>
      <c r="Y841" s="195"/>
    </row>
    <row r="842" spans="1:25" ht="12.75" x14ac:dyDescent="0.2">
      <c r="A842" s="572"/>
      <c r="B842" s="572"/>
      <c r="C842" s="572"/>
      <c r="D842" s="573"/>
      <c r="E842" s="548"/>
      <c r="F842" s="574"/>
      <c r="G842" s="575"/>
      <c r="H842" s="576"/>
      <c r="I842" s="577"/>
      <c r="J842" s="578">
        <v>0.64</v>
      </c>
      <c r="K842" s="287">
        <v>0.64</v>
      </c>
      <c r="L842" s="579"/>
      <c r="M842" s="580"/>
      <c r="N842" s="581">
        <v>42124</v>
      </c>
      <c r="O842" s="578">
        <f t="shared" si="74"/>
        <v>0</v>
      </c>
      <c r="P842" s="555">
        <f>(1+$R$1)*Table33[[#This Row],[Hours]]</f>
        <v>0</v>
      </c>
      <c r="Q842" s="582">
        <f t="shared" si="75"/>
        <v>0</v>
      </c>
      <c r="R842" s="583">
        <f t="shared" si="76"/>
        <v>0</v>
      </c>
      <c r="S842" s="583">
        <f t="shared" si="77"/>
        <v>0</v>
      </c>
      <c r="T842" s="583" t="str">
        <f t="shared" si="78"/>
        <v/>
      </c>
      <c r="U842" s="572">
        <f>Table33[[#This Row],[gal/100ft]]*Table33[[#This Row],[QTY]]/100</f>
        <v>0</v>
      </c>
      <c r="V842" s="195"/>
      <c r="W842" s="195"/>
      <c r="X842" s="195"/>
      <c r="Y842" s="195"/>
    </row>
    <row r="843" spans="1:25" ht="12.75" x14ac:dyDescent="0.2">
      <c r="A843" s="572" t="s">
        <v>612</v>
      </c>
      <c r="B843" s="572" t="s">
        <v>874</v>
      </c>
      <c r="C843" s="572" t="s">
        <v>594</v>
      </c>
      <c r="D843" s="573" t="s">
        <v>886</v>
      </c>
      <c r="E843" s="548"/>
      <c r="F843" s="574">
        <v>2.5</v>
      </c>
      <c r="G843" s="575"/>
      <c r="H843" s="576"/>
      <c r="I843" s="577"/>
      <c r="J843" s="578">
        <v>0.53</v>
      </c>
      <c r="K843" s="287">
        <v>0.53</v>
      </c>
      <c r="L843" s="579"/>
      <c r="M843" s="580"/>
      <c r="N843" s="581">
        <v>42124</v>
      </c>
      <c r="O843" s="578">
        <f t="shared" si="74"/>
        <v>0</v>
      </c>
      <c r="P843" s="555">
        <f>(1+$R$1)*Table33[[#This Row],[Hours]]</f>
        <v>0</v>
      </c>
      <c r="Q843" s="582">
        <f t="shared" si="75"/>
        <v>0</v>
      </c>
      <c r="R843" s="583">
        <f t="shared" si="76"/>
        <v>0</v>
      </c>
      <c r="S843" s="583">
        <f t="shared" si="77"/>
        <v>0</v>
      </c>
      <c r="T843" s="583" t="str">
        <f t="shared" si="78"/>
        <v/>
      </c>
      <c r="U843" s="572">
        <f>Table33[[#This Row],[gal/100ft]]*Table33[[#This Row],[QTY]]/100</f>
        <v>0</v>
      </c>
      <c r="V843" s="195"/>
      <c r="W843" s="195"/>
      <c r="X843" s="195"/>
      <c r="Y843" s="195"/>
    </row>
    <row r="844" spans="1:25" ht="12.75" x14ac:dyDescent="0.2">
      <c r="A844" s="572" t="s">
        <v>612</v>
      </c>
      <c r="B844" s="572" t="s">
        <v>874</v>
      </c>
      <c r="C844" s="572" t="s">
        <v>594</v>
      </c>
      <c r="D844" s="573" t="s">
        <v>886</v>
      </c>
      <c r="E844" s="548"/>
      <c r="F844" s="574">
        <v>3</v>
      </c>
      <c r="G844" s="575"/>
      <c r="H844" s="576"/>
      <c r="I844" s="577"/>
      <c r="J844" s="578">
        <v>0.55000000000000004</v>
      </c>
      <c r="K844" s="287">
        <v>0.55000000000000004</v>
      </c>
      <c r="L844" s="579"/>
      <c r="M844" s="580"/>
      <c r="N844" s="581">
        <v>42124</v>
      </c>
      <c r="O844" s="578">
        <f t="shared" si="74"/>
        <v>0</v>
      </c>
      <c r="P844" s="555">
        <f>(1+$R$1)*Table33[[#This Row],[Hours]]</f>
        <v>0</v>
      </c>
      <c r="Q844" s="582">
        <f t="shared" si="75"/>
        <v>0</v>
      </c>
      <c r="R844" s="583">
        <f t="shared" si="76"/>
        <v>0</v>
      </c>
      <c r="S844" s="583">
        <f t="shared" si="77"/>
        <v>0</v>
      </c>
      <c r="T844" s="583" t="str">
        <f t="shared" si="78"/>
        <v/>
      </c>
      <c r="U844" s="572">
        <f>Table33[[#This Row],[gal/100ft]]*Table33[[#This Row],[QTY]]/100</f>
        <v>0</v>
      </c>
      <c r="V844" s="195"/>
      <c r="W844" s="195"/>
      <c r="X844" s="195"/>
      <c r="Y844" s="195"/>
    </row>
    <row r="845" spans="1:25" ht="12.75" x14ac:dyDescent="0.2">
      <c r="A845" s="572" t="s">
        <v>612</v>
      </c>
      <c r="B845" s="572" t="s">
        <v>874</v>
      </c>
      <c r="C845" s="572" t="s">
        <v>594</v>
      </c>
      <c r="D845" s="573" t="s">
        <v>886</v>
      </c>
      <c r="E845" s="548"/>
      <c r="F845" s="574">
        <v>4</v>
      </c>
      <c r="G845" s="575"/>
      <c r="H845" s="576"/>
      <c r="I845" s="577"/>
      <c r="J845" s="578">
        <v>0.8</v>
      </c>
      <c r="K845" s="287">
        <v>0.8</v>
      </c>
      <c r="L845" s="579"/>
      <c r="M845" s="580"/>
      <c r="N845" s="581">
        <v>42124</v>
      </c>
      <c r="O845" s="578">
        <f t="shared" si="74"/>
        <v>0</v>
      </c>
      <c r="P845" s="555">
        <f>(1+$R$1)*Table33[[#This Row],[Hours]]</f>
        <v>0</v>
      </c>
      <c r="Q845" s="582">
        <f t="shared" si="75"/>
        <v>0</v>
      </c>
      <c r="R845" s="583">
        <f t="shared" si="76"/>
        <v>0</v>
      </c>
      <c r="S845" s="583">
        <f t="shared" si="77"/>
        <v>0</v>
      </c>
      <c r="T845" s="583" t="str">
        <f t="shared" si="78"/>
        <v/>
      </c>
      <c r="U845" s="572">
        <f>Table33[[#This Row],[gal/100ft]]*Table33[[#This Row],[QTY]]/100</f>
        <v>0</v>
      </c>
      <c r="V845" s="195"/>
      <c r="W845" s="195"/>
      <c r="X845" s="195"/>
      <c r="Y845" s="195"/>
    </row>
    <row r="846" spans="1:25" ht="12.75" x14ac:dyDescent="0.2">
      <c r="A846" s="572" t="s">
        <v>612</v>
      </c>
      <c r="B846" s="572" t="s">
        <v>874</v>
      </c>
      <c r="C846" s="572" t="s">
        <v>594</v>
      </c>
      <c r="D846" s="573" t="s">
        <v>886</v>
      </c>
      <c r="E846" s="548"/>
      <c r="F846" s="574">
        <v>5</v>
      </c>
      <c r="G846" s="575"/>
      <c r="H846" s="576"/>
      <c r="I846" s="577"/>
      <c r="J846" s="578">
        <v>0.86</v>
      </c>
      <c r="K846" s="287">
        <v>0.86</v>
      </c>
      <c r="L846" s="579"/>
      <c r="M846" s="580"/>
      <c r="N846" s="581">
        <v>42124</v>
      </c>
      <c r="O846" s="578">
        <f t="shared" si="74"/>
        <v>0</v>
      </c>
      <c r="P846" s="555">
        <f>(1+$R$1)*Table33[[#This Row],[Hours]]</f>
        <v>0</v>
      </c>
      <c r="Q846" s="582">
        <f t="shared" si="75"/>
        <v>0</v>
      </c>
      <c r="R846" s="583">
        <f t="shared" si="76"/>
        <v>0</v>
      </c>
      <c r="S846" s="583">
        <f t="shared" si="77"/>
        <v>0</v>
      </c>
      <c r="T846" s="583" t="str">
        <f t="shared" si="78"/>
        <v/>
      </c>
      <c r="U846" s="572">
        <f>Table33[[#This Row],[gal/100ft]]*Table33[[#This Row],[QTY]]/100</f>
        <v>0</v>
      </c>
      <c r="V846" s="195"/>
      <c r="W846" s="195"/>
      <c r="X846" s="195"/>
      <c r="Y846" s="195"/>
    </row>
    <row r="847" spans="1:25" ht="12.75" x14ac:dyDescent="0.2">
      <c r="A847" s="572" t="s">
        <v>612</v>
      </c>
      <c r="B847" s="572" t="s">
        <v>874</v>
      </c>
      <c r="C847" s="572" t="s">
        <v>594</v>
      </c>
      <c r="D847" s="573" t="s">
        <v>886</v>
      </c>
      <c r="E847" s="548"/>
      <c r="F847" s="574">
        <v>6</v>
      </c>
      <c r="G847" s="575"/>
      <c r="H847" s="576"/>
      <c r="I847" s="577"/>
      <c r="J847" s="578">
        <v>0.97</v>
      </c>
      <c r="K847" s="287">
        <v>0.97</v>
      </c>
      <c r="L847" s="579"/>
      <c r="M847" s="580"/>
      <c r="N847" s="581">
        <v>42124</v>
      </c>
      <c r="O847" s="578">
        <f t="shared" si="74"/>
        <v>0</v>
      </c>
      <c r="P847" s="555">
        <f>(1+$R$1)*Table33[[#This Row],[Hours]]</f>
        <v>0</v>
      </c>
      <c r="Q847" s="582">
        <f t="shared" si="75"/>
        <v>0</v>
      </c>
      <c r="R847" s="583">
        <f t="shared" si="76"/>
        <v>0</v>
      </c>
      <c r="S847" s="583">
        <f t="shared" si="77"/>
        <v>0</v>
      </c>
      <c r="T847" s="583" t="str">
        <f t="shared" si="78"/>
        <v/>
      </c>
      <c r="U847" s="572">
        <f>Table33[[#This Row],[gal/100ft]]*Table33[[#This Row],[QTY]]/100</f>
        <v>0</v>
      </c>
      <c r="V847" s="195"/>
      <c r="W847" s="195"/>
      <c r="X847" s="195"/>
      <c r="Y847" s="195"/>
    </row>
    <row r="848" spans="1:25" ht="12.75" x14ac:dyDescent="0.2">
      <c r="A848" s="572" t="s">
        <v>612</v>
      </c>
      <c r="B848" s="572" t="s">
        <v>874</v>
      </c>
      <c r="C848" s="572" t="s">
        <v>594</v>
      </c>
      <c r="D848" s="573" t="s">
        <v>886</v>
      </c>
      <c r="E848" s="548"/>
      <c r="F848" s="574">
        <v>8</v>
      </c>
      <c r="G848" s="575"/>
      <c r="H848" s="576"/>
      <c r="I848" s="577"/>
      <c r="J848" s="578">
        <v>1.1499999999999999</v>
      </c>
      <c r="K848" s="287">
        <v>1.1499999999999999</v>
      </c>
      <c r="L848" s="579"/>
      <c r="M848" s="580"/>
      <c r="N848" s="581">
        <v>42124</v>
      </c>
      <c r="O848" s="578">
        <f t="shared" si="74"/>
        <v>0</v>
      </c>
      <c r="P848" s="555">
        <f>(1+$R$1)*Table33[[#This Row],[Hours]]</f>
        <v>0</v>
      </c>
      <c r="Q848" s="582">
        <f t="shared" si="75"/>
        <v>0</v>
      </c>
      <c r="R848" s="583">
        <f t="shared" si="76"/>
        <v>0</v>
      </c>
      <c r="S848" s="583">
        <f t="shared" si="77"/>
        <v>0</v>
      </c>
      <c r="T848" s="583" t="str">
        <f t="shared" si="78"/>
        <v/>
      </c>
      <c r="U848" s="572">
        <f>Table33[[#This Row],[gal/100ft]]*Table33[[#This Row],[QTY]]/100</f>
        <v>0</v>
      </c>
      <c r="V848" s="195"/>
      <c r="W848" s="195"/>
      <c r="X848" s="195"/>
      <c r="Y848" s="195"/>
    </row>
    <row r="849" spans="1:25" ht="12.75" x14ac:dyDescent="0.2">
      <c r="A849" s="572" t="s">
        <v>612</v>
      </c>
      <c r="B849" s="572" t="s">
        <v>874</v>
      </c>
      <c r="C849" s="572" t="s">
        <v>594</v>
      </c>
      <c r="D849" s="573" t="s">
        <v>886</v>
      </c>
      <c r="E849" s="548"/>
      <c r="F849" s="574">
        <v>10</v>
      </c>
      <c r="G849" s="575"/>
      <c r="H849" s="576"/>
      <c r="I849" s="577"/>
      <c r="J849" s="578">
        <v>2.36</v>
      </c>
      <c r="K849" s="287">
        <v>2.36</v>
      </c>
      <c r="L849" s="579"/>
      <c r="M849" s="580"/>
      <c r="N849" s="581">
        <v>42124</v>
      </c>
      <c r="O849" s="578">
        <f t="shared" si="74"/>
        <v>0</v>
      </c>
      <c r="P849" s="555">
        <f>(1+$R$1)*Table33[[#This Row],[Hours]]</f>
        <v>0</v>
      </c>
      <c r="Q849" s="582">
        <f t="shared" si="75"/>
        <v>0</v>
      </c>
      <c r="R849" s="583">
        <f t="shared" si="76"/>
        <v>0</v>
      </c>
      <c r="S849" s="583">
        <f t="shared" si="77"/>
        <v>0</v>
      </c>
      <c r="T849" s="583" t="str">
        <f t="shared" si="78"/>
        <v/>
      </c>
      <c r="U849" s="572">
        <f>Table33[[#This Row],[gal/100ft]]*Table33[[#This Row],[QTY]]/100</f>
        <v>0</v>
      </c>
      <c r="V849" s="195"/>
      <c r="W849" s="195"/>
      <c r="X849" s="195"/>
      <c r="Y849" s="195"/>
    </row>
    <row r="850" spans="1:25" ht="12.75" x14ac:dyDescent="0.2">
      <c r="A850" s="572" t="s">
        <v>612</v>
      </c>
      <c r="B850" s="572" t="s">
        <v>874</v>
      </c>
      <c r="C850" s="572" t="s">
        <v>594</v>
      </c>
      <c r="D850" s="573" t="s">
        <v>886</v>
      </c>
      <c r="E850" s="548"/>
      <c r="F850" s="574">
        <v>12</v>
      </c>
      <c r="G850" s="575"/>
      <c r="H850" s="576"/>
      <c r="I850" s="577"/>
      <c r="J850" s="578">
        <v>2.95</v>
      </c>
      <c r="K850" s="287">
        <v>2.95</v>
      </c>
      <c r="L850" s="579"/>
      <c r="M850" s="580"/>
      <c r="N850" s="581">
        <v>42124</v>
      </c>
      <c r="O850" s="578">
        <f t="shared" si="74"/>
        <v>0</v>
      </c>
      <c r="P850" s="555">
        <f>(1+$R$1)*Table33[[#This Row],[Hours]]</f>
        <v>0</v>
      </c>
      <c r="Q850" s="582">
        <f t="shared" si="75"/>
        <v>0</v>
      </c>
      <c r="R850" s="583">
        <f t="shared" si="76"/>
        <v>0</v>
      </c>
      <c r="S850" s="583">
        <f t="shared" si="77"/>
        <v>0</v>
      </c>
      <c r="T850" s="583" t="str">
        <f t="shared" si="78"/>
        <v/>
      </c>
      <c r="U850" s="572">
        <f>Table33[[#This Row],[gal/100ft]]*Table33[[#This Row],[QTY]]/100</f>
        <v>0</v>
      </c>
      <c r="V850" s="195"/>
      <c r="W850" s="195"/>
      <c r="X850" s="195"/>
      <c r="Y850" s="195"/>
    </row>
    <row r="851" spans="1:25" ht="12.75" x14ac:dyDescent="0.2">
      <c r="A851" s="572"/>
      <c r="B851" s="572"/>
      <c r="C851" s="572"/>
      <c r="D851" s="573"/>
      <c r="E851" s="548"/>
      <c r="F851" s="574"/>
      <c r="G851" s="575"/>
      <c r="H851" s="576"/>
      <c r="I851" s="577"/>
      <c r="J851" s="578"/>
      <c r="K851" s="287"/>
      <c r="L851" s="579"/>
      <c r="M851" s="580"/>
      <c r="N851" s="581"/>
      <c r="O851" s="578">
        <f t="shared" si="74"/>
        <v>0</v>
      </c>
      <c r="P851" s="555">
        <f>(1+$R$1)*Table33[[#This Row],[Hours]]</f>
        <v>0</v>
      </c>
      <c r="Q851" s="582">
        <f t="shared" si="75"/>
        <v>0</v>
      </c>
      <c r="R851" s="583">
        <f t="shared" si="76"/>
        <v>0</v>
      </c>
      <c r="S851" s="583">
        <f t="shared" si="77"/>
        <v>0</v>
      </c>
      <c r="T851" s="583" t="str">
        <f t="shared" si="78"/>
        <v/>
      </c>
      <c r="U851" s="572">
        <f>Table33[[#This Row],[gal/100ft]]*Table33[[#This Row],[QTY]]/100</f>
        <v>0</v>
      </c>
      <c r="V851" s="195"/>
      <c r="W851" s="195"/>
      <c r="X851" s="195"/>
      <c r="Y851" s="195"/>
    </row>
    <row r="852" spans="1:25" ht="12.75" x14ac:dyDescent="0.2">
      <c r="A852" s="572"/>
      <c r="B852" s="572"/>
      <c r="C852" s="572"/>
      <c r="D852" s="573"/>
      <c r="E852" s="548"/>
      <c r="F852" s="574"/>
      <c r="G852" s="575"/>
      <c r="H852" s="576"/>
      <c r="I852" s="577"/>
      <c r="J852" s="578"/>
      <c r="K852" s="287"/>
      <c r="L852" s="579"/>
      <c r="M852" s="580"/>
      <c r="N852" s="581"/>
      <c r="O852" s="578">
        <f t="shared" si="74"/>
        <v>0</v>
      </c>
      <c r="P852" s="555">
        <f>(1+$R$1)*Table33[[#This Row],[Hours]]</f>
        <v>0</v>
      </c>
      <c r="Q852" s="582">
        <f t="shared" si="75"/>
        <v>0</v>
      </c>
      <c r="R852" s="583">
        <f t="shared" si="76"/>
        <v>0</v>
      </c>
      <c r="S852" s="583">
        <f t="shared" si="77"/>
        <v>0</v>
      </c>
      <c r="T852" s="583" t="str">
        <f t="shared" si="78"/>
        <v/>
      </c>
      <c r="U852" s="572">
        <f>Table33[[#This Row],[gal/100ft]]*Table33[[#This Row],[QTY]]/100</f>
        <v>0</v>
      </c>
      <c r="V852" s="195"/>
      <c r="W852" s="195"/>
      <c r="X852" s="195"/>
      <c r="Y852" s="195"/>
    </row>
    <row r="853" spans="1:25" ht="12.75" x14ac:dyDescent="0.2">
      <c r="A853" s="572"/>
      <c r="B853" s="572"/>
      <c r="C853" s="572"/>
      <c r="D853" s="573"/>
      <c r="E853" s="548"/>
      <c r="F853" s="574"/>
      <c r="G853" s="575"/>
      <c r="H853" s="576"/>
      <c r="I853" s="577"/>
      <c r="J853" s="578"/>
      <c r="K853" s="287"/>
      <c r="L853" s="579"/>
      <c r="M853" s="580"/>
      <c r="N853" s="581"/>
      <c r="O853" s="578">
        <f t="shared" si="74"/>
        <v>0</v>
      </c>
      <c r="P853" s="555">
        <f>(1+$R$1)*Table33[[#This Row],[Hours]]</f>
        <v>0</v>
      </c>
      <c r="Q853" s="582">
        <f t="shared" si="75"/>
        <v>0</v>
      </c>
      <c r="R853" s="583">
        <f t="shared" si="76"/>
        <v>0</v>
      </c>
      <c r="S853" s="583">
        <f t="shared" si="77"/>
        <v>0</v>
      </c>
      <c r="T853" s="583" t="str">
        <f t="shared" si="78"/>
        <v/>
      </c>
      <c r="U853" s="572">
        <f>Table33[[#This Row],[gal/100ft]]*Table33[[#This Row],[QTY]]/100</f>
        <v>0</v>
      </c>
      <c r="V853" s="195"/>
      <c r="W853" s="195"/>
      <c r="X853" s="195"/>
      <c r="Y853" s="195"/>
    </row>
    <row r="854" spans="1:25" ht="12.75" x14ac:dyDescent="0.2">
      <c r="A854" s="572"/>
      <c r="B854" s="572"/>
      <c r="C854" s="572"/>
      <c r="D854" s="573"/>
      <c r="E854" s="548"/>
      <c r="F854" s="574"/>
      <c r="G854" s="575"/>
      <c r="H854" s="576"/>
      <c r="I854" s="577"/>
      <c r="J854" s="578"/>
      <c r="K854" s="287"/>
      <c r="L854" s="579"/>
      <c r="M854" s="580"/>
      <c r="N854" s="581"/>
      <c r="O854" s="578">
        <f t="shared" si="74"/>
        <v>0</v>
      </c>
      <c r="P854" s="555">
        <f>(1+$R$1)*Table33[[#This Row],[Hours]]</f>
        <v>0</v>
      </c>
      <c r="Q854" s="582">
        <f t="shared" si="75"/>
        <v>0</v>
      </c>
      <c r="R854" s="583">
        <f t="shared" si="76"/>
        <v>0</v>
      </c>
      <c r="S854" s="583">
        <f t="shared" si="77"/>
        <v>0</v>
      </c>
      <c r="T854" s="583" t="str">
        <f t="shared" si="78"/>
        <v/>
      </c>
      <c r="U854" s="572">
        <f>Table33[[#This Row],[gal/100ft]]*Table33[[#This Row],[QTY]]/100</f>
        <v>0</v>
      </c>
      <c r="V854" s="195"/>
      <c r="W854" s="195"/>
      <c r="X854" s="195"/>
      <c r="Y854" s="195"/>
    </row>
    <row r="855" spans="1:25" ht="12.75" x14ac:dyDescent="0.2">
      <c r="A855" s="572"/>
      <c r="B855" s="572"/>
      <c r="C855" s="572"/>
      <c r="D855" s="573"/>
      <c r="E855" s="548"/>
      <c r="F855" s="574"/>
      <c r="G855" s="575"/>
      <c r="H855" s="576"/>
      <c r="I855" s="577"/>
      <c r="J855" s="578"/>
      <c r="K855" s="287"/>
      <c r="L855" s="579"/>
      <c r="M855" s="580"/>
      <c r="N855" s="581"/>
      <c r="O855" s="578">
        <f t="shared" si="74"/>
        <v>0</v>
      </c>
      <c r="P855" s="555">
        <f>(1+$R$1)*Table33[[#This Row],[Hours]]</f>
        <v>0</v>
      </c>
      <c r="Q855" s="582">
        <f t="shared" si="75"/>
        <v>0</v>
      </c>
      <c r="R855" s="583">
        <f t="shared" si="76"/>
        <v>0</v>
      </c>
      <c r="S855" s="583">
        <f t="shared" si="77"/>
        <v>0</v>
      </c>
      <c r="T855" s="583" t="str">
        <f t="shared" si="78"/>
        <v/>
      </c>
      <c r="U855" s="572">
        <f>Table33[[#This Row],[gal/100ft]]*Table33[[#This Row],[QTY]]/100</f>
        <v>0</v>
      </c>
      <c r="V855" s="195"/>
      <c r="W855" s="195"/>
      <c r="X855" s="195"/>
      <c r="Y855" s="195"/>
    </row>
    <row r="856" spans="1:25" ht="12.75" x14ac:dyDescent="0.2">
      <c r="A856" s="572"/>
      <c r="B856" s="572"/>
      <c r="C856" s="572"/>
      <c r="D856" s="573"/>
      <c r="E856" s="548"/>
      <c r="F856" s="574"/>
      <c r="G856" s="575"/>
      <c r="H856" s="576"/>
      <c r="I856" s="577"/>
      <c r="J856" s="578"/>
      <c r="K856" s="287"/>
      <c r="L856" s="579"/>
      <c r="M856" s="580"/>
      <c r="N856" s="581"/>
      <c r="O856" s="578">
        <f t="shared" si="74"/>
        <v>0</v>
      </c>
      <c r="P856" s="555">
        <f>(1+$R$1)*Table33[[#This Row],[Hours]]</f>
        <v>0</v>
      </c>
      <c r="Q856" s="582">
        <f t="shared" si="75"/>
        <v>0</v>
      </c>
      <c r="R856" s="583">
        <f t="shared" si="76"/>
        <v>0</v>
      </c>
      <c r="S856" s="583">
        <f t="shared" si="77"/>
        <v>0</v>
      </c>
      <c r="T856" s="583" t="str">
        <f t="shared" si="78"/>
        <v/>
      </c>
      <c r="U856" s="572">
        <f>Table33[[#This Row],[gal/100ft]]*Table33[[#This Row],[QTY]]/100</f>
        <v>0</v>
      </c>
      <c r="V856" s="195"/>
      <c r="W856" s="195"/>
      <c r="X856" s="195"/>
      <c r="Y856" s="195"/>
    </row>
    <row r="857" spans="1:25" ht="12.75" x14ac:dyDescent="0.2">
      <c r="A857" s="572"/>
      <c r="B857" s="572"/>
      <c r="C857" s="572"/>
      <c r="D857" s="573"/>
      <c r="E857" s="548"/>
      <c r="F857" s="574"/>
      <c r="G857" s="575"/>
      <c r="H857" s="576"/>
      <c r="I857" s="577"/>
      <c r="J857" s="578"/>
      <c r="K857" s="287"/>
      <c r="L857" s="579"/>
      <c r="M857" s="580"/>
      <c r="N857" s="581"/>
      <c r="O857" s="578">
        <f t="shared" si="74"/>
        <v>0</v>
      </c>
      <c r="P857" s="555">
        <f>(1+$R$1)*Table33[[#This Row],[Hours]]</f>
        <v>0</v>
      </c>
      <c r="Q857" s="582">
        <f t="shared" si="75"/>
        <v>0</v>
      </c>
      <c r="R857" s="583">
        <f t="shared" si="76"/>
        <v>0</v>
      </c>
      <c r="S857" s="583">
        <f t="shared" si="77"/>
        <v>0</v>
      </c>
      <c r="T857" s="583" t="str">
        <f t="shared" si="78"/>
        <v/>
      </c>
      <c r="U857" s="572">
        <f>Table33[[#This Row],[gal/100ft]]*Table33[[#This Row],[QTY]]/100</f>
        <v>0</v>
      </c>
      <c r="V857" s="195"/>
      <c r="W857" s="195"/>
      <c r="X857" s="195"/>
      <c r="Y857" s="195"/>
    </row>
    <row r="858" spans="1:25" ht="12.75" x14ac:dyDescent="0.2">
      <c r="A858" s="572"/>
      <c r="B858" s="572"/>
      <c r="C858" s="572"/>
      <c r="D858" s="573"/>
      <c r="E858" s="548"/>
      <c r="F858" s="574"/>
      <c r="G858" s="575"/>
      <c r="H858" s="576"/>
      <c r="I858" s="577"/>
      <c r="J858" s="578"/>
      <c r="K858" s="287"/>
      <c r="L858" s="579"/>
      <c r="M858" s="580"/>
      <c r="N858" s="581"/>
      <c r="O858" s="578">
        <f t="shared" si="74"/>
        <v>0</v>
      </c>
      <c r="P858" s="555">
        <f>(1+$R$1)*Table33[[#This Row],[Hours]]</f>
        <v>0</v>
      </c>
      <c r="Q858" s="582">
        <f t="shared" si="75"/>
        <v>0</v>
      </c>
      <c r="R858" s="583">
        <f t="shared" si="76"/>
        <v>0</v>
      </c>
      <c r="S858" s="583">
        <f t="shared" si="77"/>
        <v>0</v>
      </c>
      <c r="T858" s="583" t="str">
        <f t="shared" si="78"/>
        <v/>
      </c>
      <c r="U858" s="572">
        <f>Table33[[#This Row],[gal/100ft]]*Table33[[#This Row],[QTY]]/100</f>
        <v>0</v>
      </c>
      <c r="V858" s="195"/>
      <c r="W858" s="195"/>
      <c r="X858" s="195"/>
      <c r="Y858" s="195"/>
    </row>
    <row r="859" spans="1:25" ht="12.75" x14ac:dyDescent="0.2">
      <c r="A859" s="572"/>
      <c r="B859" s="572"/>
      <c r="C859" s="572"/>
      <c r="D859" s="573"/>
      <c r="E859" s="548"/>
      <c r="F859" s="574"/>
      <c r="G859" s="575"/>
      <c r="H859" s="576"/>
      <c r="I859" s="577"/>
      <c r="J859" s="578"/>
      <c r="K859" s="287"/>
      <c r="L859" s="579"/>
      <c r="M859" s="580"/>
      <c r="N859" s="581"/>
      <c r="O859" s="578">
        <f t="shared" si="74"/>
        <v>0</v>
      </c>
      <c r="P859" s="555">
        <f>(1+$R$1)*Table33[[#This Row],[Hours]]</f>
        <v>0</v>
      </c>
      <c r="Q859" s="582">
        <f t="shared" si="75"/>
        <v>0</v>
      </c>
      <c r="R859" s="583">
        <f t="shared" si="76"/>
        <v>0</v>
      </c>
      <c r="S859" s="583">
        <f t="shared" si="77"/>
        <v>0</v>
      </c>
      <c r="T859" s="583" t="str">
        <f t="shared" si="78"/>
        <v/>
      </c>
      <c r="U859" s="572">
        <f>Table33[[#This Row],[gal/100ft]]*Table33[[#This Row],[QTY]]/100</f>
        <v>0</v>
      </c>
      <c r="V859" s="195"/>
      <c r="W859" s="195"/>
      <c r="X859" s="195"/>
      <c r="Y859" s="195"/>
    </row>
    <row r="860" spans="1:25" ht="12.75" x14ac:dyDescent="0.2">
      <c r="A860" s="572"/>
      <c r="B860" s="572"/>
      <c r="C860" s="572"/>
      <c r="D860" s="573"/>
      <c r="E860" s="548"/>
      <c r="F860" s="574"/>
      <c r="G860" s="575"/>
      <c r="H860" s="576"/>
      <c r="I860" s="577"/>
      <c r="J860" s="578"/>
      <c r="K860" s="287"/>
      <c r="L860" s="579"/>
      <c r="M860" s="580"/>
      <c r="N860" s="581"/>
      <c r="O860" s="578">
        <f t="shared" si="74"/>
        <v>0</v>
      </c>
      <c r="P860" s="555">
        <f>(1+$R$1)*Table33[[#This Row],[Hours]]</f>
        <v>0</v>
      </c>
      <c r="Q860" s="582">
        <f t="shared" si="75"/>
        <v>0</v>
      </c>
      <c r="R860" s="583">
        <f t="shared" si="76"/>
        <v>0</v>
      </c>
      <c r="S860" s="583">
        <f t="shared" si="77"/>
        <v>0</v>
      </c>
      <c r="T860" s="583" t="str">
        <f t="shared" si="78"/>
        <v/>
      </c>
      <c r="U860" s="572">
        <f>Table33[[#This Row],[gal/100ft]]*Table33[[#This Row],[QTY]]/100</f>
        <v>0</v>
      </c>
      <c r="V860" s="195"/>
      <c r="W860" s="195"/>
      <c r="X860" s="195"/>
      <c r="Y860" s="195"/>
    </row>
    <row r="861" spans="1:25" ht="12.75" x14ac:dyDescent="0.2">
      <c r="A861" s="572"/>
      <c r="B861" s="572"/>
      <c r="C861" s="572"/>
      <c r="D861" s="573"/>
      <c r="E861" s="548"/>
      <c r="F861" s="574"/>
      <c r="G861" s="575"/>
      <c r="H861" s="576"/>
      <c r="I861" s="577"/>
      <c r="J861" s="578"/>
      <c r="K861" s="287"/>
      <c r="L861" s="579"/>
      <c r="M861" s="580"/>
      <c r="N861" s="581"/>
      <c r="O861" s="578">
        <f t="shared" si="74"/>
        <v>0</v>
      </c>
      <c r="P861" s="555">
        <f>(1+$R$1)*Table33[[#This Row],[Hours]]</f>
        <v>0</v>
      </c>
      <c r="Q861" s="582">
        <f t="shared" si="75"/>
        <v>0</v>
      </c>
      <c r="R861" s="583">
        <f t="shared" si="76"/>
        <v>0</v>
      </c>
      <c r="S861" s="583">
        <f t="shared" si="77"/>
        <v>0</v>
      </c>
      <c r="T861" s="583" t="str">
        <f t="shared" si="78"/>
        <v/>
      </c>
      <c r="U861" s="572">
        <f>Table33[[#This Row],[gal/100ft]]*Table33[[#This Row],[QTY]]/100</f>
        <v>0</v>
      </c>
      <c r="V861" s="195"/>
      <c r="W861" s="195"/>
      <c r="X861" s="195"/>
      <c r="Y861" s="195"/>
    </row>
    <row r="862" spans="1:25" ht="12.75" x14ac:dyDescent="0.2">
      <c r="A862" s="572"/>
      <c r="B862" s="572"/>
      <c r="C862" s="572"/>
      <c r="D862" s="573"/>
      <c r="E862" s="548"/>
      <c r="F862" s="574"/>
      <c r="G862" s="575"/>
      <c r="H862" s="576"/>
      <c r="I862" s="577"/>
      <c r="J862" s="578"/>
      <c r="K862" s="287"/>
      <c r="L862" s="579"/>
      <c r="M862" s="580"/>
      <c r="N862" s="581"/>
      <c r="O862" s="578">
        <f t="shared" si="74"/>
        <v>0</v>
      </c>
      <c r="P862" s="555">
        <f>(1+$R$1)*Table33[[#This Row],[Hours]]</f>
        <v>0</v>
      </c>
      <c r="Q862" s="582">
        <f t="shared" si="75"/>
        <v>0</v>
      </c>
      <c r="R862" s="583">
        <f t="shared" si="76"/>
        <v>0</v>
      </c>
      <c r="S862" s="583">
        <f t="shared" si="77"/>
        <v>0</v>
      </c>
      <c r="T862" s="583" t="str">
        <f t="shared" si="78"/>
        <v/>
      </c>
      <c r="U862" s="572">
        <f>Table33[[#This Row],[gal/100ft]]*Table33[[#This Row],[QTY]]/100</f>
        <v>0</v>
      </c>
      <c r="V862" s="195"/>
      <c r="W862" s="195"/>
      <c r="X862" s="195"/>
      <c r="Y862" s="195"/>
    </row>
    <row r="863" spans="1:25" ht="12.75" x14ac:dyDescent="0.2">
      <c r="A863" s="572"/>
      <c r="B863" s="572"/>
      <c r="C863" s="572"/>
      <c r="D863" s="573"/>
      <c r="E863" s="548"/>
      <c r="F863" s="574"/>
      <c r="G863" s="575"/>
      <c r="H863" s="576"/>
      <c r="I863" s="577"/>
      <c r="J863" s="578"/>
      <c r="K863" s="287"/>
      <c r="L863" s="579"/>
      <c r="M863" s="580"/>
      <c r="N863" s="581"/>
      <c r="O863" s="578">
        <f t="shared" si="74"/>
        <v>0</v>
      </c>
      <c r="P863" s="555">
        <f>(1+$R$1)*Table33[[#This Row],[Hours]]</f>
        <v>0</v>
      </c>
      <c r="Q863" s="582">
        <f t="shared" si="75"/>
        <v>0</v>
      </c>
      <c r="R863" s="583">
        <f t="shared" si="76"/>
        <v>0</v>
      </c>
      <c r="S863" s="583">
        <f t="shared" si="77"/>
        <v>0</v>
      </c>
      <c r="T863" s="583" t="str">
        <f t="shared" si="78"/>
        <v/>
      </c>
      <c r="U863" s="572">
        <f>Table33[[#This Row],[gal/100ft]]*Table33[[#This Row],[QTY]]/100</f>
        <v>0</v>
      </c>
      <c r="V863" s="195"/>
      <c r="W863" s="195"/>
      <c r="X863" s="195"/>
      <c r="Y863" s="195"/>
    </row>
    <row r="864" spans="1:25" ht="12.75" x14ac:dyDescent="0.2">
      <c r="A864" s="572"/>
      <c r="B864" s="572"/>
      <c r="C864" s="572"/>
      <c r="D864" s="573"/>
      <c r="E864" s="548"/>
      <c r="F864" s="574"/>
      <c r="G864" s="575"/>
      <c r="H864" s="576"/>
      <c r="I864" s="577"/>
      <c r="J864" s="578"/>
      <c r="K864" s="287"/>
      <c r="L864" s="579"/>
      <c r="M864" s="580"/>
      <c r="N864" s="581"/>
      <c r="O864" s="578">
        <f t="shared" si="74"/>
        <v>0</v>
      </c>
      <c r="P864" s="555">
        <f>(1+$R$1)*Table33[[#This Row],[Hours]]</f>
        <v>0</v>
      </c>
      <c r="Q864" s="582">
        <f t="shared" si="75"/>
        <v>0</v>
      </c>
      <c r="R864" s="583">
        <f t="shared" si="76"/>
        <v>0</v>
      </c>
      <c r="S864" s="583">
        <f t="shared" si="77"/>
        <v>0</v>
      </c>
      <c r="T864" s="583" t="str">
        <f t="shared" si="78"/>
        <v/>
      </c>
      <c r="U864" s="572">
        <f>Table33[[#This Row],[gal/100ft]]*Table33[[#This Row],[QTY]]/100</f>
        <v>0</v>
      </c>
      <c r="V864" s="195"/>
      <c r="W864" s="195"/>
      <c r="X864" s="195"/>
      <c r="Y864" s="195"/>
    </row>
    <row r="865" spans="1:25" ht="12.75" x14ac:dyDescent="0.2">
      <c r="A865" s="572"/>
      <c r="B865" s="572"/>
      <c r="C865" s="572"/>
      <c r="D865" s="573"/>
      <c r="E865" s="548"/>
      <c r="F865" s="574"/>
      <c r="G865" s="575"/>
      <c r="H865" s="576"/>
      <c r="I865" s="577"/>
      <c r="J865" s="578"/>
      <c r="K865" s="287"/>
      <c r="L865" s="579"/>
      <c r="M865" s="580"/>
      <c r="N865" s="581"/>
      <c r="O865" s="578">
        <f t="shared" si="74"/>
        <v>0</v>
      </c>
      <c r="P865" s="555">
        <f>(1+$R$1)*Table33[[#This Row],[Hours]]</f>
        <v>0</v>
      </c>
      <c r="Q865" s="582">
        <f t="shared" si="75"/>
        <v>0</v>
      </c>
      <c r="R865" s="583">
        <f t="shared" si="76"/>
        <v>0</v>
      </c>
      <c r="S865" s="583">
        <f t="shared" si="77"/>
        <v>0</v>
      </c>
      <c r="T865" s="583" t="str">
        <f t="shared" si="78"/>
        <v/>
      </c>
      <c r="U865" s="572">
        <f>Table33[[#This Row],[gal/100ft]]*Table33[[#This Row],[QTY]]/100</f>
        <v>0</v>
      </c>
      <c r="V865" s="195"/>
      <c r="W865" s="195"/>
      <c r="X865" s="195"/>
      <c r="Y865" s="195"/>
    </row>
    <row r="866" spans="1:25" ht="12.75" x14ac:dyDescent="0.2">
      <c r="A866" s="572"/>
      <c r="B866" s="572"/>
      <c r="C866" s="572"/>
      <c r="D866" s="573"/>
      <c r="E866" s="548"/>
      <c r="F866" s="574"/>
      <c r="G866" s="575"/>
      <c r="H866" s="576"/>
      <c r="I866" s="577"/>
      <c r="J866" s="578"/>
      <c r="K866" s="287"/>
      <c r="L866" s="579"/>
      <c r="M866" s="580"/>
      <c r="N866" s="581"/>
      <c r="O866" s="578">
        <f t="shared" si="74"/>
        <v>0</v>
      </c>
      <c r="P866" s="555">
        <f>(1+$R$1)*Table33[[#This Row],[Hours]]</f>
        <v>0</v>
      </c>
      <c r="Q866" s="582">
        <f t="shared" si="75"/>
        <v>0</v>
      </c>
      <c r="R866" s="583">
        <f t="shared" si="76"/>
        <v>0</v>
      </c>
      <c r="S866" s="583">
        <f t="shared" si="77"/>
        <v>0</v>
      </c>
      <c r="T866" s="583" t="str">
        <f t="shared" si="78"/>
        <v/>
      </c>
      <c r="U866" s="572">
        <f>Table33[[#This Row],[gal/100ft]]*Table33[[#This Row],[QTY]]/100</f>
        <v>0</v>
      </c>
      <c r="V866" s="195"/>
      <c r="W866" s="195"/>
      <c r="X866" s="195"/>
      <c r="Y866" s="195"/>
    </row>
    <row r="867" spans="1:25" ht="12.75" x14ac:dyDescent="0.2">
      <c r="C867" s="195"/>
      <c r="E867" s="288"/>
      <c r="F867" s="204"/>
      <c r="G867" s="204"/>
      <c r="H867" s="197"/>
      <c r="I867" s="198"/>
      <c r="J867" s="205"/>
      <c r="K867" s="287"/>
      <c r="L867" s="206"/>
      <c r="M867" s="286"/>
      <c r="N867" s="552"/>
      <c r="O867" s="205">
        <f t="shared" si="69"/>
        <v>0</v>
      </c>
      <c r="P867" s="555">
        <f>(1+$R$1)*Table33[[#This Row],[Hours]]</f>
        <v>0</v>
      </c>
      <c r="Q867" s="207">
        <f t="shared" si="70"/>
        <v>0</v>
      </c>
      <c r="R867" s="208">
        <f t="shared" si="71"/>
        <v>0</v>
      </c>
      <c r="S867" s="208">
        <f t="shared" si="72"/>
        <v>0</v>
      </c>
      <c r="T867" s="208" t="str">
        <f t="shared" si="73"/>
        <v/>
      </c>
      <c r="U867" s="195">
        <f>Table33[[#This Row],[gal/100ft]]*Table33[[#This Row],[QTY]]/100</f>
        <v>0</v>
      </c>
      <c r="V867" s="195"/>
      <c r="X867" s="195"/>
      <c r="Y867" s="195"/>
    </row>
    <row r="868" spans="1:25" ht="11.25" customHeight="1" x14ac:dyDescent="0.2">
      <c r="A868" s="275"/>
      <c r="B868" s="275"/>
      <c r="C868" s="275"/>
      <c r="D868" s="275"/>
      <c r="E868" s="288"/>
      <c r="F868" s="277"/>
      <c r="G868" s="277"/>
      <c r="H868" s="278"/>
      <c r="I868" s="279"/>
      <c r="J868" s="205"/>
      <c r="K868" s="287"/>
      <c r="L868" s="206"/>
      <c r="M868" s="286"/>
      <c r="N868" s="552"/>
      <c r="O868" s="205">
        <f t="shared" si="69"/>
        <v>0</v>
      </c>
      <c r="P868" s="555">
        <f>(1+$R$1)*Table33[[#This Row],[Hours]]</f>
        <v>0</v>
      </c>
      <c r="Q868" s="207">
        <f t="shared" si="70"/>
        <v>0</v>
      </c>
      <c r="R868" s="208">
        <f t="shared" si="71"/>
        <v>0</v>
      </c>
      <c r="S868" s="208">
        <f t="shared" si="72"/>
        <v>0</v>
      </c>
      <c r="T868" s="208" t="str">
        <f t="shared" si="73"/>
        <v/>
      </c>
      <c r="U868" s="195">
        <f>Table33[[#This Row],[gal/100ft]]*Table33[[#This Row],[QTY]]/100</f>
        <v>0</v>
      </c>
      <c r="V868" s="195"/>
      <c r="X868" s="195"/>
      <c r="Y868" s="195"/>
    </row>
    <row r="869" spans="1:25" ht="11.25" customHeight="1" x14ac:dyDescent="0.2">
      <c r="A869" s="275"/>
      <c r="B869" s="275"/>
      <c r="C869" s="275"/>
      <c r="D869" s="275"/>
      <c r="E869" s="288"/>
      <c r="F869" s="277"/>
      <c r="G869" s="277"/>
      <c r="H869" s="278"/>
      <c r="I869" s="279"/>
      <c r="J869" s="205"/>
      <c r="K869" s="287"/>
      <c r="L869" s="206"/>
      <c r="M869" s="286"/>
      <c r="N869" s="552"/>
      <c r="O869" s="205">
        <f t="shared" si="69"/>
        <v>0</v>
      </c>
      <c r="P869" s="555">
        <f>(1+$R$1)*Table33[[#This Row],[Hours]]</f>
        <v>0</v>
      </c>
      <c r="Q869" s="207">
        <f t="shared" si="70"/>
        <v>0</v>
      </c>
      <c r="R869" s="208">
        <f t="shared" si="71"/>
        <v>0</v>
      </c>
      <c r="S869" s="208">
        <f t="shared" si="72"/>
        <v>0</v>
      </c>
      <c r="T869" s="208" t="str">
        <f t="shared" si="73"/>
        <v/>
      </c>
      <c r="U869" s="195">
        <f>Table33[[#This Row],[gal/100ft]]*Table33[[#This Row],[QTY]]/100</f>
        <v>0</v>
      </c>
      <c r="V869" s="195"/>
      <c r="X869" s="195"/>
      <c r="Y869" s="195"/>
    </row>
    <row r="870" spans="1:25" ht="11.25" customHeight="1" x14ac:dyDescent="0.2">
      <c r="A870" s="275"/>
      <c r="B870" s="275"/>
      <c r="C870" s="275"/>
      <c r="D870" s="276"/>
      <c r="E870" s="290"/>
      <c r="F870" s="542"/>
      <c r="G870" s="277"/>
      <c r="H870" s="278"/>
      <c r="I870" s="279"/>
      <c r="J870" s="205"/>
      <c r="K870" s="287"/>
      <c r="L870" s="206"/>
      <c r="M870" s="286"/>
      <c r="N870" s="552"/>
      <c r="O870" s="205">
        <f t="shared" si="69"/>
        <v>0</v>
      </c>
      <c r="P870" s="555">
        <f>(1+$R$1)*Table33[[#This Row],[Hours]]</f>
        <v>0</v>
      </c>
      <c r="Q870" s="207">
        <f t="shared" si="70"/>
        <v>0</v>
      </c>
      <c r="R870" s="208">
        <f t="shared" si="71"/>
        <v>0</v>
      </c>
      <c r="S870" s="208">
        <f t="shared" si="72"/>
        <v>0</v>
      </c>
      <c r="T870" s="208" t="str">
        <f t="shared" si="73"/>
        <v/>
      </c>
      <c r="U870" s="195">
        <f>Table33[[#This Row],[gal/100ft]]*Table33[[#This Row],[QTY]]/100</f>
        <v>0</v>
      </c>
      <c r="V870" s="195"/>
      <c r="X870" s="195"/>
      <c r="Y870" s="195"/>
    </row>
    <row r="871" spans="1:25" ht="11.25" customHeight="1" x14ac:dyDescent="0.2">
      <c r="A871" s="275"/>
      <c r="B871" s="275"/>
      <c r="C871" s="275"/>
      <c r="D871" s="276"/>
      <c r="E871" s="290"/>
      <c r="F871" s="542"/>
      <c r="G871" s="277"/>
      <c r="H871" s="278"/>
      <c r="I871" s="279"/>
      <c r="J871" s="205"/>
      <c r="K871" s="287"/>
      <c r="L871" s="206"/>
      <c r="M871" s="286"/>
      <c r="N871" s="552"/>
      <c r="O871" s="205">
        <f t="shared" si="69"/>
        <v>0</v>
      </c>
      <c r="P871" s="555">
        <f>(1+$R$1)*Table33[[#This Row],[Hours]]</f>
        <v>0</v>
      </c>
      <c r="Q871" s="207">
        <f t="shared" si="70"/>
        <v>0</v>
      </c>
      <c r="R871" s="208">
        <f t="shared" si="71"/>
        <v>0</v>
      </c>
      <c r="S871" s="208">
        <f t="shared" si="72"/>
        <v>0</v>
      </c>
      <c r="T871" s="208" t="str">
        <f t="shared" si="73"/>
        <v/>
      </c>
      <c r="U871" s="195">
        <f>Table33[[#This Row],[gal/100ft]]*Table33[[#This Row],[QTY]]/100</f>
        <v>0</v>
      </c>
      <c r="V871" s="195"/>
      <c r="X871" s="195"/>
      <c r="Y871" s="195"/>
    </row>
    <row r="872" spans="1:25" ht="11.25" customHeight="1" x14ac:dyDescent="0.2">
      <c r="A872" s="584"/>
      <c r="B872" s="584"/>
      <c r="C872" s="584"/>
      <c r="D872" s="584"/>
      <c r="E872" s="584"/>
      <c r="F872" s="585"/>
      <c r="G872" s="586"/>
      <c r="H872" s="586"/>
      <c r="I872" s="587"/>
      <c r="J872" s="587"/>
      <c r="K872" s="584"/>
      <c r="L872" s="584"/>
      <c r="M872" s="588"/>
      <c r="N872" s="589"/>
      <c r="O872" s="587">
        <f>SUBTOTAL(109,O6:O871)</f>
        <v>0</v>
      </c>
      <c r="P872" s="590">
        <f>SUBTOTAL(109,P6:P871)</f>
        <v>0</v>
      </c>
      <c r="Q872" s="591">
        <f>SUBTOTAL(109,Q6:Q871)</f>
        <v>0</v>
      </c>
      <c r="R872" s="592">
        <f>SUBTOTAL(109,R6:R871)</f>
        <v>0</v>
      </c>
      <c r="S872" s="591">
        <f>SUBTOTAL(109,S6:S871)</f>
        <v>0</v>
      </c>
      <c r="T872" s="591"/>
      <c r="U872" s="584">
        <f>SUBTOTAL(109,Table33[Total Vol. ])</f>
        <v>0</v>
      </c>
      <c r="V872" s="537"/>
      <c r="X872" s="195"/>
      <c r="Y872" s="195"/>
    </row>
  </sheetData>
  <sheetProtection formatCells="0" formatColumns="0" formatRows="0" sort="0" autoFilter="0"/>
  <mergeCells count="2">
    <mergeCell ref="C1:D1"/>
    <mergeCell ref="L3:M3"/>
  </mergeCells>
  <conditionalFormatting sqref="K6:K88 M6:M871 K92:K833 K841:K871">
    <cfRule type="expression" dxfId="80" priority="3">
      <formula>K6&lt;&gt;J6</formula>
    </cfRule>
  </conditionalFormatting>
  <conditionalFormatting sqref="K700:K833 K841:K871">
    <cfRule type="expression" dxfId="79" priority="2">
      <formula>K700&lt;&gt;J700</formula>
    </cfRule>
  </conditionalFormatting>
  <conditionalFormatting sqref="K708:K833 K841:K871">
    <cfRule type="expression" dxfId="78" priority="1">
      <formula>K708&lt;&gt;J708</formula>
    </cfRule>
  </conditionalFormatting>
  <printOptions horizontalCentered="1"/>
  <pageMargins left="0.25" right="0.25" top="0.75" bottom="0.75" header="0.3" footer="0.3"/>
  <pageSetup scale="10" orientation="landscape" verticalDpi="0" r:id="rId1"/>
  <headerFooter>
    <oddHeader xml:space="preserve">&amp;C&amp;"Arial Narrow,Bold"System Takeoff&amp;"-,Regular"
</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sheetPr>
  <dimension ref="A1:L682"/>
  <sheetViews>
    <sheetView zoomScale="115" zoomScaleNormal="115" workbookViewId="0">
      <selection activeCell="F40" sqref="F40"/>
    </sheetView>
  </sheetViews>
  <sheetFormatPr defaultColWidth="8.85546875" defaultRowHeight="8.25" x14ac:dyDescent="0.15"/>
  <cols>
    <col min="1" max="3" width="8.85546875" style="170"/>
    <col min="4" max="4" width="10.28515625" style="170" customWidth="1"/>
    <col min="5" max="8" width="8.85546875" style="170"/>
    <col min="9" max="9" width="13.85546875" style="282" customWidth="1"/>
    <col min="10" max="10" width="8.85546875" style="282"/>
    <col min="11" max="11" width="8.85546875" style="170"/>
    <col min="12" max="12" width="11.42578125" style="170" bestFit="1" customWidth="1"/>
    <col min="13" max="16384" width="8.85546875" style="170"/>
  </cols>
  <sheetData>
    <row r="1" spans="1:12" ht="9" thickBot="1" x14ac:dyDescent="0.2">
      <c r="A1" s="280"/>
      <c r="B1" s="280" t="s">
        <v>799</v>
      </c>
      <c r="C1" s="280"/>
      <c r="D1" s="280"/>
      <c r="E1" s="280"/>
      <c r="F1" s="280"/>
      <c r="G1" s="280"/>
      <c r="H1" s="280"/>
      <c r="I1" s="283"/>
      <c r="J1" s="283"/>
      <c r="K1" s="280"/>
      <c r="L1" s="280"/>
    </row>
    <row r="2" spans="1:12" ht="9" thickTop="1" x14ac:dyDescent="0.15">
      <c r="A2" s="170">
        <v>1</v>
      </c>
      <c r="C2" s="170">
        <v>10</v>
      </c>
      <c r="F2" s="170" t="s">
        <v>2</v>
      </c>
      <c r="G2" s="170">
        <v>1</v>
      </c>
      <c r="H2" s="170" t="s">
        <v>18</v>
      </c>
      <c r="J2" s="282">
        <f>'Base Bid'!R211</f>
        <v>100983.74400000001</v>
      </c>
    </row>
    <row r="3" spans="1:12" x14ac:dyDescent="0.15">
      <c r="A3" s="170">
        <v>1</v>
      </c>
      <c r="C3" s="170">
        <v>20</v>
      </c>
      <c r="F3" s="170" t="s">
        <v>525</v>
      </c>
      <c r="G3" s="170">
        <v>1</v>
      </c>
      <c r="H3" s="170" t="s">
        <v>18</v>
      </c>
      <c r="J3" s="282">
        <f>'Base Bid'!X211</f>
        <v>65556.837743616008</v>
      </c>
    </row>
    <row r="4" spans="1:12" ht="9" thickBot="1" x14ac:dyDescent="0.2">
      <c r="A4" s="280">
        <v>1</v>
      </c>
      <c r="B4" s="280"/>
      <c r="C4" s="280">
        <v>30</v>
      </c>
      <c r="D4" s="280"/>
      <c r="E4" s="280"/>
      <c r="F4" s="280" t="s">
        <v>136</v>
      </c>
      <c r="G4" s="280">
        <v>1</v>
      </c>
      <c r="H4" s="280" t="s">
        <v>18</v>
      </c>
      <c r="I4" s="283"/>
      <c r="J4" s="283">
        <f>'Base Bid'!AB211</f>
        <v>32400</v>
      </c>
      <c r="K4" s="280"/>
      <c r="L4" s="280"/>
    </row>
    <row r="5" spans="1:12" ht="9" thickTop="1" x14ac:dyDescent="0.15"/>
    <row r="6" spans="1:12" ht="9" thickBot="1" x14ac:dyDescent="0.2">
      <c r="A6" s="280"/>
      <c r="B6" s="280" t="s">
        <v>525</v>
      </c>
      <c r="C6" s="280"/>
      <c r="D6" s="280"/>
      <c r="E6" s="280"/>
      <c r="F6" s="280"/>
      <c r="G6" s="280"/>
      <c r="H6" s="280"/>
      <c r="I6" s="283"/>
      <c r="J6" s="283"/>
      <c r="K6" s="280"/>
      <c r="L6" s="280"/>
    </row>
    <row r="7" spans="1:12" ht="9" thickTop="1" x14ac:dyDescent="0.15">
      <c r="A7" s="170">
        <f>IF(D7="","",VLOOKUP(D7,'Phase Codes'!$A$3:$N$187,7))</f>
        <v>3</v>
      </c>
      <c r="C7" s="170">
        <f>IF(D7="","",VLOOKUP(D7,'Phase Codes'!$A$3:$N$187,8))</f>
        <v>20</v>
      </c>
      <c r="D7" s="170" t="str">
        <f>IF(I7="","",'Phase Codes'!A3)</f>
        <v xml:space="preserve"> 12-810-   -</v>
      </c>
      <c r="E7" s="170">
        <f>IF(D7="","",VLOOKUP(D7,'Phase Codes'!$A$3:$C$187,3))</f>
        <v>2</v>
      </c>
      <c r="F7" s="170">
        <f>IF(D7="","",VLOOKUP(D7,'Phase Codes'!$A$3:$G$187,5))</f>
        <v>100</v>
      </c>
      <c r="G7" s="170" t="str">
        <f>IF(D7="","",VLOOKUP(D7,'Phase Codes'!$A$3:$G$187,6))</f>
        <v>PCT</v>
      </c>
      <c r="I7" s="282">
        <f>SUM('Base Bid'!T72:T121)*(1+'Base Bid'!X4)</f>
        <v>32580.000000000004</v>
      </c>
    </row>
    <row r="8" spans="1:12" x14ac:dyDescent="0.15">
      <c r="A8" s="170">
        <f>IF(D8="","",VLOOKUP(D8,'Phase Codes'!$A$3:$N$187,7))</f>
        <v>3</v>
      </c>
      <c r="C8" s="170">
        <f>IF(D8="","",VLOOKUP(D8,'Phase Codes'!$A$3:$N$187,8))</f>
        <v>20</v>
      </c>
      <c r="D8" s="170" t="str">
        <f>IF(I8="","",'Phase Codes'!A9)</f>
        <v xml:space="preserve"> 12-820-   -</v>
      </c>
      <c r="E8" s="170">
        <f>IF(D8="","",VLOOKUP(D8,'Phase Codes'!$A$3:$C$187,3))</f>
        <v>2</v>
      </c>
      <c r="F8" s="170">
        <f>IF(D8="","",VLOOKUP(D8,'Phase Codes'!$A$3:$G$187,5))</f>
        <v>100</v>
      </c>
      <c r="G8" s="170" t="str">
        <f>IF(D8="","",VLOOKUP(D8,'Phase Codes'!$A$3:$G$187,6))</f>
        <v>PCT</v>
      </c>
      <c r="I8" s="282">
        <f>SUM('Base Bid'!$T$20:$T$69)*(1+'Base Bid'!$X$4)</f>
        <v>16615.800000000003</v>
      </c>
    </row>
    <row r="9" spans="1:12" x14ac:dyDescent="0.15">
      <c r="A9" s="170">
        <f>IF(D9="","",VLOOKUP(D9,'Phase Codes'!$A$3:$N$187,7))</f>
        <v>3</v>
      </c>
      <c r="C9" s="170">
        <f>IF(D9="","",VLOOKUP(D9,'Phase Codes'!$A$3:$N$187,8))</f>
        <v>20</v>
      </c>
      <c r="D9" s="170" t="str">
        <f>IF(I9="","",'Phase Codes'!A32)</f>
        <v xml:space="preserve"> 15-830-   -</v>
      </c>
      <c r="E9" s="170">
        <f>IF(D9="","",VLOOKUP(D9,'Phase Codes'!$A$3:$C$187,3))</f>
        <v>5</v>
      </c>
      <c r="F9" s="170">
        <f>IF(D9="","",VLOOKUP(D9,'Phase Codes'!$A$3:$G$187,5))</f>
        <v>100</v>
      </c>
      <c r="G9" s="170" t="str">
        <f>IF(D9="","",VLOOKUP(D9,'Phase Codes'!$A$3:$G$187,6))</f>
        <v>LS</v>
      </c>
      <c r="I9" s="282">
        <f>SUM('Base Bid'!U72:U121)*(1+'Base Bid'!X4)</f>
        <v>0</v>
      </c>
    </row>
    <row r="10" spans="1:12" x14ac:dyDescent="0.15">
      <c r="A10" s="170">
        <f>IF(D10="","",VLOOKUP(D10,'Phase Codes'!$A$3:$N$187,7))</f>
        <v>3</v>
      </c>
      <c r="C10" s="170">
        <f>IF(D10="","",VLOOKUP(D10,'Phase Codes'!$A$3:$N$187,8))</f>
        <v>20</v>
      </c>
      <c r="D10" s="170" t="str">
        <f>IF(I10="0","",'Phase Codes'!A36)</f>
        <v xml:space="preserve"> 15-850-   -</v>
      </c>
      <c r="E10" s="170">
        <f>IF(D10="","",VLOOKUP(D10,'Phase Codes'!$A$3:$C$187,3))</f>
        <v>5</v>
      </c>
      <c r="F10" s="170">
        <f>IF(D10="","",VLOOKUP(D10,'Phase Codes'!$A$3:$G$187,5))</f>
        <v>100</v>
      </c>
      <c r="G10" s="170" t="str">
        <f>IF(D10="","",VLOOKUP(D10,'Phase Codes'!$A$3:$G$187,6))</f>
        <v>LS</v>
      </c>
      <c r="I10" s="282">
        <f>SUM('Base Bid'!$U$20:$U$69)*(1+'Base Bid'!$X$4)</f>
        <v>0</v>
      </c>
    </row>
    <row r="11" spans="1:12" x14ac:dyDescent="0.15">
      <c r="A11" s="170">
        <f>IF(D11="","",VLOOKUP(D11,'Phase Codes'!$A$3:$N$187,7))</f>
        <v>3</v>
      </c>
      <c r="C11" s="170">
        <f>IF(D11="","",VLOOKUP(D11,'Phase Codes'!$A$3:$N$187,8))</f>
        <v>20</v>
      </c>
      <c r="D11" s="170" t="str">
        <f>IF(I11="","",'Phase Codes'!A7)</f>
        <v xml:space="preserve"> 12-815-   -</v>
      </c>
      <c r="E11" s="170">
        <f>IF(D11="","",VLOOKUP(D11,'Phase Codes'!$A$3:$C$187,3))</f>
        <v>2</v>
      </c>
      <c r="F11" s="170">
        <f>IF(D11="","",VLOOKUP(D11,'Phase Codes'!$A$3:$G$187,5))</f>
        <v>100</v>
      </c>
      <c r="G11" s="170" t="str">
        <f>IF(D11="","",VLOOKUP(D11,'Phase Codes'!$A$3:$G$187,6))</f>
        <v>PCT</v>
      </c>
      <c r="I11" s="282">
        <f>SUM('Base Bid'!T124:T173)*(1+'Base Bid'!X4)</f>
        <v>0</v>
      </c>
    </row>
    <row r="12" spans="1:12" ht="9" thickBot="1" x14ac:dyDescent="0.2">
      <c r="A12" s="280">
        <f>IF(D12="","",VLOOKUP(D12,'Phase Codes'!$A$3:$N$187,7))</f>
        <v>3</v>
      </c>
      <c r="B12" s="280"/>
      <c r="C12" s="280">
        <f>IF(D12="","",VLOOKUP(D12,'Phase Codes'!$A$3:$N$187,8))</f>
        <v>20</v>
      </c>
      <c r="D12" s="280" t="str">
        <f>IF(I12="","",'Phase Codes'!A33)</f>
        <v xml:space="preserve"> 15-840-   -</v>
      </c>
      <c r="E12" s="280">
        <f>IF(D12="","",VLOOKUP(D12,'Phase Codes'!$A$3:$C$187,3))</f>
        <v>5</v>
      </c>
      <c r="F12" s="280">
        <f>IF(D12="","",VLOOKUP(D12,'Phase Codes'!$A$3:$G$187,5))</f>
        <v>100</v>
      </c>
      <c r="G12" s="280" t="str">
        <f>IF(D12="","",VLOOKUP(D12,'Phase Codes'!$A$3:$G$187,6))</f>
        <v>LS</v>
      </c>
      <c r="H12" s="280"/>
      <c r="I12" s="283">
        <f>SUM('Base Bid'!U124:U173)*(1+'Base Bid'!X4)</f>
        <v>0</v>
      </c>
      <c r="J12" s="283"/>
      <c r="K12" s="280"/>
      <c r="L12" s="280"/>
    </row>
    <row r="13" spans="1:12" ht="9" thickTop="1" x14ac:dyDescent="0.15"/>
    <row r="14" spans="1:12" ht="9" thickBot="1" x14ac:dyDescent="0.2">
      <c r="A14" s="280"/>
      <c r="B14" s="280" t="s">
        <v>800</v>
      </c>
      <c r="C14" s="280"/>
      <c r="D14" s="280"/>
      <c r="E14" s="280"/>
      <c r="F14" s="280"/>
      <c r="G14" s="280"/>
      <c r="H14" s="280"/>
      <c r="I14" s="283"/>
      <c r="J14" s="283"/>
      <c r="K14" s="280"/>
      <c r="L14" s="280"/>
    </row>
    <row r="15" spans="1:12" ht="9" thickTop="1" x14ac:dyDescent="0.15">
      <c r="A15" s="170">
        <f>IF(D15="","",VLOOKUP(D15,'Phase Codes'!$A$3:$N$187,7))</f>
        <v>3</v>
      </c>
      <c r="C15" s="170">
        <f>IF(D15="","",VLOOKUP(D15,'Phase Codes'!$A$3:$N$187,8))</f>
        <v>10</v>
      </c>
      <c r="D15" s="170" t="str">
        <f>'Base Bid'!G8</f>
        <v xml:space="preserve"> 70-105-   -</v>
      </c>
      <c r="E15" s="170">
        <f>IF(D15="","",VLOOKUP(D15,'Phase Codes'!$A$9:$C$187,3))</f>
        <v>1</v>
      </c>
      <c r="F15" s="170">
        <f>IF(D15="","",VLOOKUP(D15,'Phase Codes'!$A$9:$G$187,5))</f>
        <v>100</v>
      </c>
      <c r="G15" s="170" t="str">
        <f>IF(D15="","",VLOOKUP(D15,'Phase Codes'!$A$9:$G$187,6))</f>
        <v>PCT</v>
      </c>
      <c r="H15" s="170">
        <f>'Base Bid'!O8</f>
        <v>8.7200000000000006</v>
      </c>
      <c r="I15" s="282">
        <f>'Base Bid'!P8</f>
        <v>566.80000000000007</v>
      </c>
    </row>
    <row r="16" spans="1:12" x14ac:dyDescent="0.15">
      <c r="A16" s="170">
        <f>IF(D16="","",VLOOKUP(D16,'Phase Codes'!$A$3:$N$187,7))</f>
        <v>3</v>
      </c>
      <c r="C16" s="170">
        <f>IF(D16="","",VLOOKUP(D16,'Phase Codes'!$A$3:$N$187,8))</f>
        <v>10</v>
      </c>
      <c r="D16" s="170" t="str">
        <f>'Base Bid'!G9</f>
        <v xml:space="preserve"> 70-106-   -</v>
      </c>
      <c r="E16" s="170">
        <f>IF(D16="","",VLOOKUP(D16,'Phase Codes'!$A$9:$C$187,3))</f>
        <v>1</v>
      </c>
      <c r="F16" s="170">
        <f>IF(D16="","",VLOOKUP(D16,'Phase Codes'!$A$9:$G$187,5))</f>
        <v>100</v>
      </c>
      <c r="G16" s="170" t="str">
        <f>IF(D16="","",VLOOKUP(D16,'Phase Codes'!$A$9:$G$187,6))</f>
        <v>PCT</v>
      </c>
      <c r="H16" s="170">
        <f>'Base Bid'!O9</f>
        <v>8.7200000000000006</v>
      </c>
      <c r="I16" s="282">
        <f>'Base Bid'!P9</f>
        <v>566.80000000000007</v>
      </c>
    </row>
    <row r="17" spans="1:12" x14ac:dyDescent="0.15">
      <c r="A17" s="170">
        <f>IF(D17="","",VLOOKUP(D17,'Phase Codes'!$A$3:$N$187,7))</f>
        <v>3</v>
      </c>
      <c r="C17" s="170">
        <f>IF(D17="","",VLOOKUP(D17,'Phase Codes'!$A$3:$N$187,8))</f>
        <v>10</v>
      </c>
      <c r="D17" s="170" t="str">
        <f>'Base Bid'!G10</f>
        <v xml:space="preserve"> 70-115-   -</v>
      </c>
      <c r="E17" s="170">
        <f>IF(D17="","",VLOOKUP(D17,'Phase Codes'!$A$9:$C$187,3))</f>
        <v>1</v>
      </c>
      <c r="F17" s="170">
        <f>IF(D17="","",VLOOKUP(D17,'Phase Codes'!$A$9:$G$187,5))</f>
        <v>100</v>
      </c>
      <c r="G17" s="170" t="str">
        <f>IF(D17="","",VLOOKUP(D17,'Phase Codes'!$A$9:$G$187,6))</f>
        <v>PCT</v>
      </c>
      <c r="H17" s="170">
        <f>'Base Bid'!O10</f>
        <v>8</v>
      </c>
      <c r="I17" s="282">
        <f>'Base Bid'!P10</f>
        <v>800</v>
      </c>
    </row>
    <row r="18" spans="1:12" x14ac:dyDescent="0.15">
      <c r="A18" s="170">
        <f>IF(D18="","",VLOOKUP(D18,'Phase Codes'!$A$3:$N$187,7))</f>
        <v>3</v>
      </c>
      <c r="C18" s="170">
        <f>IF(D18="","",VLOOKUP(D18,'Phase Codes'!$A$3:$N$187,8))</f>
        <v>10</v>
      </c>
      <c r="D18" s="170" t="str">
        <f>'Base Bid'!G11</f>
        <v xml:space="preserve"> 70-124-   -</v>
      </c>
      <c r="E18" s="170">
        <f>IF(D18="","",VLOOKUP(D18,'Phase Codes'!$A$9:$C$187,3))</f>
        <v>1</v>
      </c>
      <c r="F18" s="170">
        <f>IF(D18="","",VLOOKUP(D18,'Phase Codes'!$A$9:$G$187,5))</f>
        <v>100</v>
      </c>
      <c r="G18" s="170" t="str">
        <f>IF(D18="","",VLOOKUP(D18,'Phase Codes'!$A$9:$G$187,6))</f>
        <v>PCT</v>
      </c>
      <c r="H18" s="170">
        <f>'Base Bid'!O11</f>
        <v>0</v>
      </c>
      <c r="I18" s="282">
        <f>'Base Bid'!P11</f>
        <v>0</v>
      </c>
    </row>
    <row r="19" spans="1:12" x14ac:dyDescent="0.15">
      <c r="A19" s="170" t="str">
        <f>IF(D19="","",VLOOKUP(D19,'Phase Codes'!$A$3:$N$187,7))</f>
        <v/>
      </c>
      <c r="C19" s="170" t="str">
        <f>IF(D19="","",VLOOKUP(D19,'Phase Codes'!$A$3:$N$187,8))</f>
        <v/>
      </c>
      <c r="D19" s="170" t="str">
        <f>'Base Bid'!G12</f>
        <v/>
      </c>
      <c r="E19" s="170" t="str">
        <f>IF(D19="","",VLOOKUP(D19,'Phase Codes'!$A$9:$C$187,3))</f>
        <v/>
      </c>
      <c r="F19" s="170" t="str">
        <f>IF(D19="","",VLOOKUP(D19,'Phase Codes'!$A$9:$G$187,5))</f>
        <v/>
      </c>
      <c r="G19" s="170" t="str">
        <f>IF(D19="","",VLOOKUP(D19,'Phase Codes'!$A$9:$G$187,6))</f>
        <v/>
      </c>
      <c r="H19" s="170">
        <f>'Base Bid'!O12</f>
        <v>0</v>
      </c>
      <c r="I19" s="282">
        <f>'Base Bid'!P12</f>
        <v>0</v>
      </c>
    </row>
    <row r="20" spans="1:12" x14ac:dyDescent="0.15">
      <c r="A20" s="170" t="str">
        <f>IF(D20="","",VLOOKUP(D20,'Phase Codes'!$A$3:$N$187,7))</f>
        <v/>
      </c>
      <c r="C20" s="170" t="str">
        <f>IF(D20="","",VLOOKUP(D20,'Phase Codes'!$A$3:$N$187,8))</f>
        <v/>
      </c>
      <c r="D20" s="170" t="str">
        <f>'Base Bid'!G13</f>
        <v/>
      </c>
      <c r="E20" s="170" t="str">
        <f>IF(D20="","",VLOOKUP(D20,'Phase Codes'!$A$9:$C$187,3))</f>
        <v/>
      </c>
      <c r="F20" s="170" t="str">
        <f>IF(D20="","",VLOOKUP(D20,'Phase Codes'!$A$9:$G$187,5))</f>
        <v/>
      </c>
      <c r="G20" s="170" t="str">
        <f>IF(D20="","",VLOOKUP(D20,'Phase Codes'!$A$9:$G$187,6))</f>
        <v/>
      </c>
      <c r="H20" s="170">
        <f>'Base Bid'!O13</f>
        <v>0</v>
      </c>
      <c r="I20" s="282">
        <f>'Base Bid'!P13</f>
        <v>0</v>
      </c>
    </row>
    <row r="21" spans="1:12" x14ac:dyDescent="0.15">
      <c r="A21" s="170">
        <f>IF(D21="","",VLOOKUP(D21,'Phase Codes'!$A$3:$N$187,7))</f>
        <v>3</v>
      </c>
      <c r="C21" s="170">
        <f>IF(D21="","",VLOOKUP(D21,'Phase Codes'!$A$3:$N$187,8))</f>
        <v>10</v>
      </c>
      <c r="D21" s="170" t="str">
        <f>'Base Bid'!G14</f>
        <v xml:space="preserve"> 70-115-   -</v>
      </c>
      <c r="E21" s="170">
        <f>IF(D21="","",VLOOKUP(D21,'Phase Codes'!$A$9:$C$187,3))</f>
        <v>1</v>
      </c>
      <c r="F21" s="170">
        <f>IF(D21="","",VLOOKUP(D21,'Phase Codes'!$A$9:$G$187,5))</f>
        <v>100</v>
      </c>
      <c r="G21" s="170" t="str">
        <f>IF(D21="","",VLOOKUP(D21,'Phase Codes'!$A$9:$G$187,6))</f>
        <v>PCT</v>
      </c>
      <c r="H21" s="170">
        <f>'Base Bid'!O14</f>
        <v>16</v>
      </c>
      <c r="I21" s="282">
        <f>'Base Bid'!P14</f>
        <v>1600</v>
      </c>
    </row>
    <row r="22" spans="1:12" x14ac:dyDescent="0.15">
      <c r="A22" s="170" t="str">
        <f>IF(D22="","",VLOOKUP(D22,'Phase Codes'!$A$3:$N$187,7))</f>
        <v/>
      </c>
      <c r="C22" s="170" t="str">
        <f>IF(D22="","",VLOOKUP(D22,'Phase Codes'!$A$3:$N$187,8))</f>
        <v/>
      </c>
      <c r="D22" s="170" t="str">
        <f>'Base Bid'!G15</f>
        <v/>
      </c>
      <c r="E22" s="170" t="str">
        <f>IF(D22="","",VLOOKUP(D22,'Phase Codes'!$A$9:$C$187,3))</f>
        <v/>
      </c>
      <c r="F22" s="170" t="str">
        <f>IF(D22="","",VLOOKUP(D22,'Phase Codes'!$A$9:$G$187,5))</f>
        <v/>
      </c>
      <c r="G22" s="170" t="str">
        <f>IF(D22="","",VLOOKUP(D22,'Phase Codes'!$A$9:$G$187,6))</f>
        <v/>
      </c>
      <c r="H22" s="170">
        <f>'Base Bid'!O15</f>
        <v>0</v>
      </c>
      <c r="I22" s="282">
        <f>'Base Bid'!P15</f>
        <v>0</v>
      </c>
    </row>
    <row r="23" spans="1:12" x14ac:dyDescent="0.15">
      <c r="A23" s="170" t="str">
        <f>IF(D23="","",VLOOKUP(D23,'Phase Codes'!$A$3:$N$187,7))</f>
        <v/>
      </c>
      <c r="C23" s="170" t="str">
        <f>IF(D23="","",VLOOKUP(D23,'Phase Codes'!$A$3:$N$187,8))</f>
        <v/>
      </c>
      <c r="D23" s="170" t="str">
        <f>'Base Bid'!G16</f>
        <v/>
      </c>
      <c r="E23" s="170" t="str">
        <f>IF(D23="","",VLOOKUP(D23,'Phase Codes'!$A$9:$C$187,3))</f>
        <v/>
      </c>
      <c r="F23" s="170" t="str">
        <f>IF(D23="","",VLOOKUP(D23,'Phase Codes'!$A$9:$G$187,5))</f>
        <v/>
      </c>
      <c r="G23" s="170" t="str">
        <f>IF(D23="","",VLOOKUP(D23,'Phase Codes'!$A$9:$G$187,6))</f>
        <v/>
      </c>
      <c r="H23" s="170">
        <f>'Base Bid'!O16</f>
        <v>0</v>
      </c>
      <c r="I23" s="282">
        <f>'Base Bid'!P16</f>
        <v>0</v>
      </c>
    </row>
    <row r="24" spans="1:12" ht="9" thickBot="1" x14ac:dyDescent="0.2">
      <c r="A24" s="280" t="str">
        <f>IF(D24="","",VLOOKUP(D24,'Phase Codes'!$A$3:$N$187,7))</f>
        <v/>
      </c>
      <c r="B24" s="280"/>
      <c r="C24" s="280" t="str">
        <f>IF(D24="","",VLOOKUP(D24,'Phase Codes'!$A$3:$N$187,8))</f>
        <v/>
      </c>
      <c r="D24" s="280" t="str">
        <f>'Base Bid'!G17</f>
        <v/>
      </c>
      <c r="E24" s="280" t="str">
        <f>IF(D24="","",VLOOKUP(D24,'Phase Codes'!$A$9:$C$187,3))</f>
        <v/>
      </c>
      <c r="F24" s="280" t="str">
        <f>IF(D24="","",VLOOKUP(D24,'Phase Codes'!$A$9:$G$187,5))</f>
        <v/>
      </c>
      <c r="G24" s="280" t="str">
        <f>IF(D24="","",VLOOKUP(D24,'Phase Codes'!$A$9:$G$187,6))</f>
        <v/>
      </c>
      <c r="H24" s="280">
        <f>'Base Bid'!O17</f>
        <v>0</v>
      </c>
      <c r="I24" s="283">
        <f>'Base Bid'!P17</f>
        <v>0</v>
      </c>
      <c r="J24" s="283"/>
      <c r="K24" s="280"/>
      <c r="L24" s="280"/>
    </row>
    <row r="25" spans="1:12" ht="9" thickTop="1" x14ac:dyDescent="0.15">
      <c r="A25" s="170" t="str">
        <f>IF(D25="","",VLOOKUP(D25,'Phase Codes'!$A$3:$N$187,7))</f>
        <v/>
      </c>
    </row>
    <row r="26" spans="1:12" ht="9" thickBot="1" x14ac:dyDescent="0.2">
      <c r="A26" s="280" t="str">
        <f>IF(D26="","",VLOOKUP(D26,'Phase Codes'!$A$3:$N$187,7))</f>
        <v/>
      </c>
      <c r="B26" s="280" t="s">
        <v>983</v>
      </c>
      <c r="C26" s="280"/>
      <c r="D26" s="280"/>
      <c r="E26" s="280"/>
      <c r="F26" s="280"/>
      <c r="G26" s="280"/>
      <c r="H26" s="280"/>
      <c r="I26" s="283"/>
      <c r="J26" s="283"/>
      <c r="K26" s="280"/>
      <c r="L26" s="280"/>
    </row>
    <row r="27" spans="1:12" ht="9" thickTop="1" x14ac:dyDescent="0.15">
      <c r="A27" s="170">
        <f>IF(D27="","",VLOOKUP(D27,'Phase Codes'!$A$3:$N$187,7))</f>
        <v>3</v>
      </c>
      <c r="C27" s="170">
        <f>IF(D27="","",VLOOKUP(D27,'Phase Codes'!$A$3:$N$187,8))</f>
        <v>10</v>
      </c>
      <c r="D27" s="170" t="str">
        <f>IF('Base Bid'!G20="","",'Base Bid'!G20)</f>
        <v>30-030-101</v>
      </c>
      <c r="E27" s="170">
        <f>IF(D27="","",VLOOKUP(D27,'Phase Codes'!$A$9:$C$187,3))</f>
        <v>1</v>
      </c>
      <c r="F27" s="170">
        <f>IF(D27="","",IF('Base Bid'!J20&gt;0,'Base Bid'!J20,VLOOKUP(D27,'Phase Codes'!$A$9:$G$187,5)))</f>
        <v>100</v>
      </c>
      <c r="G27" s="170" t="str">
        <f>IF(D27="","",IF('Base Bid'!K20&gt;0,'Base Bid'!K20,VLOOKUP(D27,'Phase Codes'!$A$9:$G$187,6)))</f>
        <v>PCT</v>
      </c>
      <c r="H27" s="170">
        <f>'Base Bid'!M20</f>
        <v>240</v>
      </c>
      <c r="I27" s="282">
        <f>'Base Bid'!M20*'Base Bid'!H20</f>
        <v>22454.400000000001</v>
      </c>
    </row>
    <row r="28" spans="1:12" x14ac:dyDescent="0.15">
      <c r="A28" s="170">
        <f>IF(D28="","",VLOOKUP(D28,'Phase Codes'!$A$3:$N$187,7))</f>
        <v>3</v>
      </c>
      <c r="C28" s="170">
        <f>IF(D28="","",VLOOKUP(D28,'Phase Codes'!$A$3:$N$187,8))</f>
        <v>10</v>
      </c>
      <c r="D28" s="170" t="str">
        <f>IF('Base Bid'!G21="","",'Base Bid'!G21)</f>
        <v>30-030-102</v>
      </c>
      <c r="E28" s="170">
        <f>IF(D28="","",VLOOKUP(D28,'Phase Codes'!$A$9:$C$187,3))</f>
        <v>1</v>
      </c>
      <c r="F28" s="170">
        <f>IF(D28="","",IF('Base Bid'!J21&gt;0,'Base Bid'!J21,VLOOKUP(D28,'Phase Codes'!$A$9:$G$187,5)))</f>
        <v>100</v>
      </c>
      <c r="G28" s="170" t="str">
        <f>IF(D28="","",IF('Base Bid'!K21&gt;0,'Base Bid'!K21,VLOOKUP(D28,'Phase Codes'!$A$9:$G$187,6)))</f>
        <v>PCT</v>
      </c>
      <c r="H28" s="170">
        <f>'Base Bid'!M21</f>
        <v>240</v>
      </c>
      <c r="I28" s="282">
        <f>'Base Bid'!M21*'Base Bid'!H21</f>
        <v>20978.399999999998</v>
      </c>
    </row>
    <row r="29" spans="1:12" x14ac:dyDescent="0.15">
      <c r="A29" s="170">
        <f>IF(D29="","",VLOOKUP(D29,'Phase Codes'!$A$3:$N$187,7))</f>
        <v>3</v>
      </c>
      <c r="C29" s="170">
        <f>IF(D29="","",VLOOKUP(D29,'Phase Codes'!$A$3:$N$187,8))</f>
        <v>10</v>
      </c>
      <c r="D29" s="170" t="str">
        <f>IF('Base Bid'!G22="","",'Base Bid'!G22)</f>
        <v>30-030-103</v>
      </c>
      <c r="E29" s="170">
        <f>IF(D29="","",VLOOKUP(D29,'Phase Codes'!$A$9:$C$187,3))</f>
        <v>1</v>
      </c>
      <c r="F29" s="170">
        <f>IF(D29="","",IF('Base Bid'!J22&gt;0,'Base Bid'!J22,VLOOKUP(D29,'Phase Codes'!$A$9:$G$187,5)))</f>
        <v>100</v>
      </c>
      <c r="G29" s="170" t="str">
        <f>IF(D29="","",IF('Base Bid'!K22&gt;0,'Base Bid'!K22,VLOOKUP(D29,'Phase Codes'!$A$9:$G$187,6)))</f>
        <v>PCT</v>
      </c>
      <c r="H29" s="170">
        <f>'Base Bid'!M22</f>
        <v>32</v>
      </c>
      <c r="I29" s="282">
        <f>'Base Bid'!M22*'Base Bid'!H22</f>
        <v>2993.92</v>
      </c>
    </row>
    <row r="30" spans="1:12" x14ac:dyDescent="0.15">
      <c r="A30" s="170" t="str">
        <f>IF(D30="","",VLOOKUP(D30,'Phase Codes'!$A$3:$N$187,7))</f>
        <v/>
      </c>
      <c r="C30" s="170" t="str">
        <f>IF(D30="","",VLOOKUP(D30,'Phase Codes'!$A$3:$N$187,8))</f>
        <v/>
      </c>
      <c r="D30" s="170" t="str">
        <f>IF('Base Bid'!G23="","",'Base Bid'!G23)</f>
        <v/>
      </c>
      <c r="E30" s="170" t="str">
        <f>IF(D30="","",VLOOKUP(D30,'Phase Codes'!$A$9:$C$187,3))</f>
        <v/>
      </c>
      <c r="F30" s="170" t="str">
        <f>IF(D30="","",IF('Base Bid'!J23&gt;0,'Base Bid'!J23,VLOOKUP(D30,'Phase Codes'!$A$9:$G$187,5)))</f>
        <v/>
      </c>
      <c r="G30" s="170" t="str">
        <f>IF(D30="","",IF('Base Bid'!K23&gt;0,'Base Bid'!K23,VLOOKUP(D30,'Phase Codes'!$A$9:$G$187,6)))</f>
        <v/>
      </c>
      <c r="H30" s="170">
        <f>'Base Bid'!M23</f>
        <v>0</v>
      </c>
      <c r="I30" s="282">
        <f>'Base Bid'!M23*'Base Bid'!H23</f>
        <v>0</v>
      </c>
    </row>
    <row r="31" spans="1:12" x14ac:dyDescent="0.15">
      <c r="A31" s="170" t="str">
        <f>IF(D31="","",VLOOKUP(D31,'Phase Codes'!$A$3:$N$187,7))</f>
        <v/>
      </c>
      <c r="C31" s="170" t="str">
        <f>IF(D31="","",VLOOKUP(D31,'Phase Codes'!$A$3:$N$187,8))</f>
        <v/>
      </c>
      <c r="D31" s="170" t="str">
        <f>IF('Base Bid'!G24="","",'Base Bid'!G24)</f>
        <v/>
      </c>
      <c r="E31" s="170" t="str">
        <f>IF(D31="","",VLOOKUP(D31,'Phase Codes'!$A$9:$C$187,3))</f>
        <v/>
      </c>
      <c r="F31" s="170" t="str">
        <f>IF(D31="","",IF('Base Bid'!J24&gt;0,'Base Bid'!J24,VLOOKUP(D31,'Phase Codes'!$A$9:$G$187,5)))</f>
        <v/>
      </c>
      <c r="G31" s="170" t="str">
        <f>IF(D31="","",IF('Base Bid'!K24&gt;0,'Base Bid'!K24,VLOOKUP(D31,'Phase Codes'!$A$9:$G$187,6)))</f>
        <v/>
      </c>
      <c r="H31" s="170">
        <f>'Base Bid'!M24</f>
        <v>0</v>
      </c>
      <c r="I31" s="282">
        <f>'Base Bid'!M24*'Base Bid'!H24</f>
        <v>0</v>
      </c>
    </row>
    <row r="32" spans="1:12" x14ac:dyDescent="0.15">
      <c r="A32" s="170" t="str">
        <f>IF(D32="","",VLOOKUP(D32,'Phase Codes'!$A$3:$N$187,7))</f>
        <v/>
      </c>
      <c r="C32" s="170" t="str">
        <f>IF(D32="","",VLOOKUP(D32,'Phase Codes'!$A$3:$N$187,8))</f>
        <v/>
      </c>
      <c r="D32" s="170" t="str">
        <f>IF('Base Bid'!G25="","",'Base Bid'!G25)</f>
        <v/>
      </c>
      <c r="E32" s="170" t="str">
        <f>IF(D32="","",VLOOKUP(D32,'Phase Codes'!$A$9:$C$187,3))</f>
        <v/>
      </c>
      <c r="F32" s="170" t="str">
        <f>IF(D32="","",IF('Base Bid'!J25&gt;0,'Base Bid'!J25,VLOOKUP(D32,'Phase Codes'!$A$9:$G$187,5)))</f>
        <v/>
      </c>
      <c r="G32" s="170" t="str">
        <f>IF(D32="","",IF('Base Bid'!K25&gt;0,'Base Bid'!K25,VLOOKUP(D32,'Phase Codes'!$A$9:$G$187,6)))</f>
        <v/>
      </c>
      <c r="H32" s="170">
        <f>'Base Bid'!M25</f>
        <v>0</v>
      </c>
      <c r="I32" s="282">
        <f>'Base Bid'!M25*'Base Bid'!H25</f>
        <v>0</v>
      </c>
    </row>
    <row r="33" spans="1:9" x14ac:dyDescent="0.15">
      <c r="A33" s="170" t="str">
        <f>IF(D33="","",VLOOKUP(D33,'Phase Codes'!$A$3:$N$187,7))</f>
        <v/>
      </c>
      <c r="C33" s="170" t="str">
        <f>IF(D33="","",VLOOKUP(D33,'Phase Codes'!$A$3:$N$187,8))</f>
        <v/>
      </c>
      <c r="D33" s="170" t="str">
        <f>IF('Base Bid'!G26="","",'Base Bid'!G26)</f>
        <v/>
      </c>
      <c r="E33" s="170" t="str">
        <f>IF(D33="","",VLOOKUP(D33,'Phase Codes'!$A$9:$C$187,3))</f>
        <v/>
      </c>
      <c r="F33" s="170" t="str">
        <f>IF(D33="","",IF('Base Bid'!J26&gt;0,'Base Bid'!J26,VLOOKUP(D33,'Phase Codes'!$A$9:$G$187,5)))</f>
        <v/>
      </c>
      <c r="G33" s="170" t="str">
        <f>IF(D33="","",IF('Base Bid'!K26&gt;0,'Base Bid'!K26,VLOOKUP(D33,'Phase Codes'!$A$9:$G$187,6)))</f>
        <v/>
      </c>
      <c r="H33" s="170">
        <f>'Base Bid'!M26</f>
        <v>0</v>
      </c>
      <c r="I33" s="282">
        <f>'Base Bid'!M26*'Base Bid'!H26</f>
        <v>0</v>
      </c>
    </row>
    <row r="34" spans="1:9" x14ac:dyDescent="0.15">
      <c r="A34" s="170" t="str">
        <f>IF(D34="","",VLOOKUP(D34,'Phase Codes'!$A$3:$N$187,7))</f>
        <v/>
      </c>
      <c r="C34" s="170" t="str">
        <f>IF(D34="","",VLOOKUP(D34,'Phase Codes'!$A$3:$N$187,8))</f>
        <v/>
      </c>
      <c r="D34" s="170" t="str">
        <f>IF('Base Bid'!G27="","",'Base Bid'!G27)</f>
        <v/>
      </c>
      <c r="E34" s="170" t="str">
        <f>IF(D34="","",VLOOKUP(D34,'Phase Codes'!$A$9:$C$187,3))</f>
        <v/>
      </c>
      <c r="F34" s="170" t="str">
        <f>IF(D34="","",IF('Base Bid'!J27&gt;0,'Base Bid'!J27,VLOOKUP(D34,'Phase Codes'!$A$9:$G$187,5)))</f>
        <v/>
      </c>
      <c r="G34" s="170" t="str">
        <f>IF(D34="","",IF('Base Bid'!K27&gt;0,'Base Bid'!K27,VLOOKUP(D34,'Phase Codes'!$A$9:$G$187,6)))</f>
        <v/>
      </c>
      <c r="H34" s="170">
        <f>'Base Bid'!M27</f>
        <v>0</v>
      </c>
      <c r="I34" s="282">
        <f>'Base Bid'!M27*'Base Bid'!H27</f>
        <v>0</v>
      </c>
    </row>
    <row r="35" spans="1:9" x14ac:dyDescent="0.15">
      <c r="A35" s="170" t="str">
        <f>IF(D35="","",VLOOKUP(D35,'Phase Codes'!$A$3:$N$187,7))</f>
        <v/>
      </c>
      <c r="C35" s="170" t="str">
        <f>IF(D35="","",VLOOKUP(D35,'Phase Codes'!$A$3:$N$187,8))</f>
        <v/>
      </c>
      <c r="D35" s="170" t="str">
        <f>IF('Base Bid'!G28="","",'Base Bid'!G28)</f>
        <v/>
      </c>
      <c r="E35" s="170" t="str">
        <f>IF(D35="","",VLOOKUP(D35,'Phase Codes'!$A$9:$C$187,3))</f>
        <v/>
      </c>
      <c r="F35" s="170" t="str">
        <f>IF(D35="","",IF('Base Bid'!J28&gt;0,'Base Bid'!J28,VLOOKUP(D35,'Phase Codes'!$A$9:$G$187,5)))</f>
        <v/>
      </c>
      <c r="G35" s="170" t="str">
        <f>IF(D35="","",IF('Base Bid'!K28&gt;0,'Base Bid'!K28,VLOOKUP(D35,'Phase Codes'!$A$9:$G$187,6)))</f>
        <v/>
      </c>
      <c r="H35" s="170">
        <f>'Base Bid'!M28</f>
        <v>0</v>
      </c>
      <c r="I35" s="282">
        <f>'Base Bid'!M28*'Base Bid'!H28</f>
        <v>0</v>
      </c>
    </row>
    <row r="36" spans="1:9" x14ac:dyDescent="0.15">
      <c r="A36" s="170" t="str">
        <f>IF(D36="","",VLOOKUP(D36,'Phase Codes'!$A$3:$N$187,7))</f>
        <v/>
      </c>
      <c r="C36" s="170" t="str">
        <f>IF(D36="","",VLOOKUP(D36,'Phase Codes'!$A$3:$N$187,8))</f>
        <v/>
      </c>
      <c r="D36" s="170" t="str">
        <f>IF('Base Bid'!G29="","",'Base Bid'!G29)</f>
        <v/>
      </c>
      <c r="E36" s="170" t="str">
        <f>IF(D36="","",VLOOKUP(D36,'Phase Codes'!$A$9:$C$187,3))</f>
        <v/>
      </c>
      <c r="F36" s="170" t="str">
        <f>IF(D36="","",IF('Base Bid'!J29&gt;0,'Base Bid'!J29,VLOOKUP(D36,'Phase Codes'!$A$9:$G$187,5)))</f>
        <v/>
      </c>
      <c r="G36" s="170" t="str">
        <f>IF(D36="","",IF('Base Bid'!K29&gt;0,'Base Bid'!K29,VLOOKUP(D36,'Phase Codes'!$A$9:$G$187,6)))</f>
        <v/>
      </c>
      <c r="H36" s="170">
        <f>'Base Bid'!M29</f>
        <v>0</v>
      </c>
      <c r="I36" s="282">
        <f>'Base Bid'!M29*'Base Bid'!H29</f>
        <v>0</v>
      </c>
    </row>
    <row r="37" spans="1:9" x14ac:dyDescent="0.15">
      <c r="A37" s="170" t="str">
        <f>IF(D37="","",VLOOKUP(D37,'Phase Codes'!$A$3:$N$187,7))</f>
        <v/>
      </c>
      <c r="C37" s="170" t="str">
        <f>IF(D37="","",VLOOKUP(D37,'Phase Codes'!$A$3:$N$187,8))</f>
        <v/>
      </c>
      <c r="D37" s="170" t="str">
        <f>IF('Base Bid'!G30="","",'Base Bid'!G30)</f>
        <v/>
      </c>
      <c r="E37" s="170" t="str">
        <f>IF(D37="","",VLOOKUP(D37,'Phase Codes'!$A$9:$C$187,3))</f>
        <v/>
      </c>
      <c r="F37" s="170" t="str">
        <f>IF(D37="","",IF('Base Bid'!J30&gt;0,'Base Bid'!J30,VLOOKUP(D37,'Phase Codes'!$A$9:$G$187,5)))</f>
        <v/>
      </c>
      <c r="G37" s="170" t="str">
        <f>IF(D37="","",IF('Base Bid'!K30&gt;0,'Base Bid'!K30,VLOOKUP(D37,'Phase Codes'!$A$9:$G$187,6)))</f>
        <v/>
      </c>
      <c r="H37" s="170">
        <f>'Base Bid'!M30</f>
        <v>0</v>
      </c>
      <c r="I37" s="282">
        <f>'Base Bid'!M30*'Base Bid'!H30</f>
        <v>0</v>
      </c>
    </row>
    <row r="38" spans="1:9" x14ac:dyDescent="0.15">
      <c r="A38" s="170" t="str">
        <f>IF(D38="","",VLOOKUP(D38,'Phase Codes'!$A$3:$N$187,7))</f>
        <v/>
      </c>
      <c r="C38" s="170" t="str">
        <f>IF(D38="","",VLOOKUP(D38,'Phase Codes'!$A$3:$N$187,8))</f>
        <v/>
      </c>
      <c r="D38" s="170" t="str">
        <f>IF('Base Bid'!G31="","",'Base Bid'!G31)</f>
        <v/>
      </c>
      <c r="E38" s="170" t="str">
        <f>IF(D38="","",VLOOKUP(D38,'Phase Codes'!$A$9:$C$187,3))</f>
        <v/>
      </c>
      <c r="F38" s="170" t="str">
        <f>IF(D38="","",IF('Base Bid'!J31&gt;0,'Base Bid'!J31,VLOOKUP(D38,'Phase Codes'!$A$9:$G$187,5)))</f>
        <v/>
      </c>
      <c r="G38" s="170" t="str">
        <f>IF(D38="","",IF('Base Bid'!K31&gt;0,'Base Bid'!K31,VLOOKUP(D38,'Phase Codes'!$A$9:$G$187,6)))</f>
        <v/>
      </c>
      <c r="H38" s="170">
        <f>'Base Bid'!M31</f>
        <v>0</v>
      </c>
      <c r="I38" s="282">
        <f>'Base Bid'!M31*'Base Bid'!H31</f>
        <v>0</v>
      </c>
    </row>
    <row r="39" spans="1:9" x14ac:dyDescent="0.15">
      <c r="A39" s="170" t="str">
        <f>IF(D39="","",VLOOKUP(D39,'Phase Codes'!$A$3:$N$187,7))</f>
        <v/>
      </c>
      <c r="C39" s="170" t="str">
        <f>IF(D39="","",VLOOKUP(D39,'Phase Codes'!$A$3:$N$187,8))</f>
        <v/>
      </c>
      <c r="D39" s="170" t="str">
        <f>IF('Base Bid'!G32="","",'Base Bid'!G32)</f>
        <v/>
      </c>
      <c r="E39" s="170" t="str">
        <f>IF(D39="","",VLOOKUP(D39,'Phase Codes'!$A$9:$C$187,3))</f>
        <v/>
      </c>
      <c r="F39" s="170" t="str">
        <f>IF(D39="","",IF('Base Bid'!J32&gt;0,'Base Bid'!J32,VLOOKUP(D39,'Phase Codes'!$A$9:$G$187,5)))</f>
        <v/>
      </c>
      <c r="G39" s="170" t="str">
        <f>IF(D39="","",IF('Base Bid'!K32&gt;0,'Base Bid'!K32,VLOOKUP(D39,'Phase Codes'!$A$9:$G$187,6)))</f>
        <v/>
      </c>
      <c r="H39" s="170">
        <f>'Base Bid'!M32</f>
        <v>0</v>
      </c>
      <c r="I39" s="282">
        <f>'Base Bid'!M32*'Base Bid'!H32</f>
        <v>0</v>
      </c>
    </row>
    <row r="40" spans="1:9" x14ac:dyDescent="0.15">
      <c r="A40" s="170" t="str">
        <f>IF(D40="","",VLOOKUP(D40,'Phase Codes'!$A$3:$N$187,7))</f>
        <v/>
      </c>
      <c r="C40" s="170" t="str">
        <f>IF(D40="","",VLOOKUP(D40,'Phase Codes'!$A$3:$N$187,8))</f>
        <v/>
      </c>
      <c r="D40" s="170" t="str">
        <f>IF('Base Bid'!G33="","",'Base Bid'!G33)</f>
        <v/>
      </c>
      <c r="E40" s="170" t="str">
        <f>IF(D40="","",VLOOKUP(D40,'Phase Codes'!$A$9:$C$187,3))</f>
        <v/>
      </c>
      <c r="F40" s="170" t="str">
        <f>IF(D40="","",IF('Base Bid'!J33&gt;0,'Base Bid'!J33,VLOOKUP(D40,'Phase Codes'!$A$9:$G$187,5)))</f>
        <v/>
      </c>
      <c r="G40" s="170" t="str">
        <f>IF(D40="","",IF('Base Bid'!K33&gt;0,'Base Bid'!K33,VLOOKUP(D40,'Phase Codes'!$A$9:$G$187,6)))</f>
        <v/>
      </c>
      <c r="H40" s="170">
        <f>'Base Bid'!M33</f>
        <v>0</v>
      </c>
      <c r="I40" s="282">
        <f>'Base Bid'!M33*'Base Bid'!H33</f>
        <v>0</v>
      </c>
    </row>
    <row r="41" spans="1:9" x14ac:dyDescent="0.15">
      <c r="A41" s="170" t="str">
        <f>IF(D41="","",VLOOKUP(D41,'Phase Codes'!$A$3:$N$187,7))</f>
        <v/>
      </c>
      <c r="C41" s="170" t="str">
        <f>IF(D41="","",VLOOKUP(D41,'Phase Codes'!$A$3:$N$187,8))</f>
        <v/>
      </c>
      <c r="D41" s="170" t="str">
        <f>IF('Base Bid'!G34="","",'Base Bid'!G34)</f>
        <v/>
      </c>
      <c r="E41" s="170" t="str">
        <f>IF(D41="","",VLOOKUP(D41,'Phase Codes'!$A$9:$C$187,3))</f>
        <v/>
      </c>
      <c r="F41" s="170" t="str">
        <f>IF(D41="","",IF('Base Bid'!J34&gt;0,'Base Bid'!J34,VLOOKUP(D41,'Phase Codes'!$A$9:$G$187,5)))</f>
        <v/>
      </c>
      <c r="G41" s="170" t="str">
        <f>IF(D41="","",IF('Base Bid'!K34&gt;0,'Base Bid'!K34,VLOOKUP(D41,'Phase Codes'!$A$9:$G$187,6)))</f>
        <v/>
      </c>
      <c r="H41" s="170">
        <f>'Base Bid'!M34</f>
        <v>0</v>
      </c>
      <c r="I41" s="282">
        <f>'Base Bid'!M34*'Base Bid'!H34</f>
        <v>0</v>
      </c>
    </row>
    <row r="42" spans="1:9" x14ac:dyDescent="0.15">
      <c r="A42" s="170" t="str">
        <f>IF(D42="","",VLOOKUP(D42,'Phase Codes'!$A$3:$N$187,7))</f>
        <v/>
      </c>
      <c r="C42" s="170" t="str">
        <f>IF(D42="","",VLOOKUP(D42,'Phase Codes'!$A$3:$N$187,8))</f>
        <v/>
      </c>
      <c r="D42" s="170" t="str">
        <f>IF('Base Bid'!G35="","",'Base Bid'!G35)</f>
        <v/>
      </c>
      <c r="E42" s="170" t="str">
        <f>IF(D42="","",VLOOKUP(D42,'Phase Codes'!$A$9:$C$187,3))</f>
        <v/>
      </c>
      <c r="F42" s="170" t="str">
        <f>IF(D42="","",IF('Base Bid'!J35&gt;0,'Base Bid'!J35,VLOOKUP(D42,'Phase Codes'!$A$9:$G$187,5)))</f>
        <v/>
      </c>
      <c r="G42" s="170" t="str">
        <f>IF(D42="","",IF('Base Bid'!K35&gt;0,'Base Bid'!K35,VLOOKUP(D42,'Phase Codes'!$A$9:$G$187,6)))</f>
        <v/>
      </c>
      <c r="H42" s="170">
        <f>'Base Bid'!M35</f>
        <v>0</v>
      </c>
      <c r="I42" s="282">
        <f>'Base Bid'!M35*'Base Bid'!H35</f>
        <v>0</v>
      </c>
    </row>
    <row r="43" spans="1:9" x14ac:dyDescent="0.15">
      <c r="A43" s="170" t="str">
        <f>IF(D43="","",VLOOKUP(D43,'Phase Codes'!$A$3:$N$187,7))</f>
        <v/>
      </c>
      <c r="C43" s="170" t="str">
        <f>IF(D43="","",VLOOKUP(D43,'Phase Codes'!$A$3:$N$187,8))</f>
        <v/>
      </c>
      <c r="D43" s="170" t="str">
        <f>IF('Base Bid'!G36="","",'Base Bid'!G36)</f>
        <v/>
      </c>
      <c r="E43" s="170" t="str">
        <f>IF(D43="","",VLOOKUP(D43,'Phase Codes'!$A$9:$C$187,3))</f>
        <v/>
      </c>
      <c r="F43" s="170" t="str">
        <f>IF(D43="","",IF('Base Bid'!J36&gt;0,'Base Bid'!J36,VLOOKUP(D43,'Phase Codes'!$A$9:$G$187,5)))</f>
        <v/>
      </c>
      <c r="G43" s="170" t="str">
        <f>IF(D43="","",IF('Base Bid'!K36&gt;0,'Base Bid'!K36,VLOOKUP(D43,'Phase Codes'!$A$9:$G$187,6)))</f>
        <v/>
      </c>
      <c r="H43" s="170">
        <f>'Base Bid'!M36</f>
        <v>0</v>
      </c>
      <c r="I43" s="282">
        <f>'Base Bid'!M36*'Base Bid'!H36</f>
        <v>0</v>
      </c>
    </row>
    <row r="44" spans="1:9" x14ac:dyDescent="0.15">
      <c r="A44" s="170" t="str">
        <f>IF(D44="","",VLOOKUP(D44,'Phase Codes'!$A$3:$N$187,7))</f>
        <v/>
      </c>
      <c r="C44" s="170" t="str">
        <f>IF(D44="","",VLOOKUP(D44,'Phase Codes'!$A$3:$N$187,8))</f>
        <v/>
      </c>
      <c r="D44" s="170" t="str">
        <f>IF('Base Bid'!G37="","",'Base Bid'!G37)</f>
        <v/>
      </c>
      <c r="E44" s="170" t="str">
        <f>IF(D44="","",VLOOKUP(D44,'Phase Codes'!$A$9:$C$187,3))</f>
        <v/>
      </c>
      <c r="F44" s="170" t="str">
        <f>IF(D44="","",IF('Base Bid'!J37&gt;0,'Base Bid'!J37,VLOOKUP(D44,'Phase Codes'!$A$9:$G$187,5)))</f>
        <v/>
      </c>
      <c r="G44" s="170" t="str">
        <f>IF(D44="","",IF('Base Bid'!K37&gt;0,'Base Bid'!K37,VLOOKUP(D44,'Phase Codes'!$A$9:$G$187,6)))</f>
        <v/>
      </c>
      <c r="H44" s="170">
        <f>'Base Bid'!M37</f>
        <v>0</v>
      </c>
      <c r="I44" s="282">
        <f>'Base Bid'!M37*'Base Bid'!H37</f>
        <v>0</v>
      </c>
    </row>
    <row r="45" spans="1:9" x14ac:dyDescent="0.15">
      <c r="A45" s="170" t="str">
        <f>IF(D45="","",VLOOKUP(D45,'Phase Codes'!$A$3:$N$187,7))</f>
        <v/>
      </c>
      <c r="C45" s="170" t="str">
        <f>IF(D45="","",VLOOKUP(D45,'Phase Codes'!$A$3:$N$187,8))</f>
        <v/>
      </c>
      <c r="D45" s="170" t="str">
        <f>IF('Base Bid'!G38="","",'Base Bid'!G38)</f>
        <v/>
      </c>
      <c r="E45" s="170" t="str">
        <f>IF(D45="","",VLOOKUP(D45,'Phase Codes'!$A$9:$C$187,3))</f>
        <v/>
      </c>
      <c r="F45" s="170" t="str">
        <f>IF(D45="","",IF('Base Bid'!J38&gt;0,'Base Bid'!J38,VLOOKUP(D45,'Phase Codes'!$A$9:$G$187,5)))</f>
        <v/>
      </c>
      <c r="G45" s="170" t="str">
        <f>IF(D45="","",IF('Base Bid'!K38&gt;0,'Base Bid'!K38,VLOOKUP(D45,'Phase Codes'!$A$9:$G$187,6)))</f>
        <v/>
      </c>
      <c r="H45" s="170">
        <f>'Base Bid'!M38</f>
        <v>0</v>
      </c>
      <c r="I45" s="282">
        <f>'Base Bid'!M38*'Base Bid'!H38</f>
        <v>0</v>
      </c>
    </row>
    <row r="46" spans="1:9" x14ac:dyDescent="0.15">
      <c r="A46" s="170" t="str">
        <f>IF(D46="","",VLOOKUP(D46,'Phase Codes'!$A$3:$N$187,7))</f>
        <v/>
      </c>
      <c r="C46" s="170" t="str">
        <f>IF(D46="","",VLOOKUP(D46,'Phase Codes'!$A$3:$N$187,8))</f>
        <v/>
      </c>
      <c r="D46" s="170" t="str">
        <f>IF('Base Bid'!G39="","",'Base Bid'!G39)</f>
        <v/>
      </c>
      <c r="E46" s="170" t="str">
        <f>IF(D46="","",VLOOKUP(D46,'Phase Codes'!$A$9:$C$187,3))</f>
        <v/>
      </c>
      <c r="F46" s="170" t="str">
        <f>IF(D46="","",IF('Base Bid'!J39&gt;0,'Base Bid'!J39,VLOOKUP(D46,'Phase Codes'!$A$9:$G$187,5)))</f>
        <v/>
      </c>
      <c r="G46" s="170" t="str">
        <f>IF(D46="","",IF('Base Bid'!K39&gt;0,'Base Bid'!K39,VLOOKUP(D46,'Phase Codes'!$A$9:$G$187,6)))</f>
        <v/>
      </c>
      <c r="H46" s="170">
        <f>'Base Bid'!M39</f>
        <v>0</v>
      </c>
      <c r="I46" s="282">
        <f>'Base Bid'!M39*'Base Bid'!H39</f>
        <v>0</v>
      </c>
    </row>
    <row r="47" spans="1:9" x14ac:dyDescent="0.15">
      <c r="A47" s="170" t="str">
        <f>IF(D47="","",VLOOKUP(D47,'Phase Codes'!$A$3:$N$187,7))</f>
        <v/>
      </c>
      <c r="C47" s="170" t="str">
        <f>IF(D47="","",VLOOKUP(D47,'Phase Codes'!$A$3:$N$187,8))</f>
        <v/>
      </c>
      <c r="D47" s="170" t="str">
        <f>IF('Base Bid'!G40="","",'Base Bid'!G40)</f>
        <v/>
      </c>
      <c r="E47" s="170" t="str">
        <f>IF(D47="","",VLOOKUP(D47,'Phase Codes'!$A$9:$C$187,3))</f>
        <v/>
      </c>
      <c r="F47" s="170" t="str">
        <f>IF(D47="","",IF('Base Bid'!J40&gt;0,'Base Bid'!J40,VLOOKUP(D47,'Phase Codes'!$A$9:$G$187,5)))</f>
        <v/>
      </c>
      <c r="G47" s="170" t="str">
        <f>IF(D47="","",IF('Base Bid'!K40&gt;0,'Base Bid'!K40,VLOOKUP(D47,'Phase Codes'!$A$9:$G$187,6)))</f>
        <v/>
      </c>
      <c r="H47" s="170">
        <f>'Base Bid'!M40</f>
        <v>0</v>
      </c>
      <c r="I47" s="282">
        <f>'Base Bid'!M40*'Base Bid'!H40</f>
        <v>0</v>
      </c>
    </row>
    <row r="48" spans="1:9" x14ac:dyDescent="0.15">
      <c r="A48" s="170" t="str">
        <f>IF(D48="","",VLOOKUP(D48,'Phase Codes'!$A$3:$N$187,7))</f>
        <v/>
      </c>
      <c r="C48" s="170" t="str">
        <f>IF(D48="","",VLOOKUP(D48,'Phase Codes'!$A$3:$N$187,8))</f>
        <v/>
      </c>
      <c r="D48" s="170" t="str">
        <f>IF('Base Bid'!G41="","",'Base Bid'!G41)</f>
        <v/>
      </c>
      <c r="E48" s="170" t="str">
        <f>IF(D48="","",VLOOKUP(D48,'Phase Codes'!$A$9:$C$187,3))</f>
        <v/>
      </c>
      <c r="F48" s="170" t="str">
        <f>IF(D48="","",IF('Base Bid'!J41&gt;0,'Base Bid'!J41,VLOOKUP(D48,'Phase Codes'!$A$9:$G$187,5)))</f>
        <v/>
      </c>
      <c r="G48" s="170" t="str">
        <f>IF(D48="","",IF('Base Bid'!K41&gt;0,'Base Bid'!K41,VLOOKUP(D48,'Phase Codes'!$A$9:$G$187,6)))</f>
        <v/>
      </c>
      <c r="H48" s="170">
        <f>'Base Bid'!M41</f>
        <v>0</v>
      </c>
      <c r="I48" s="282">
        <f>'Base Bid'!M41*'Base Bid'!H41</f>
        <v>0</v>
      </c>
    </row>
    <row r="49" spans="1:9" x14ac:dyDescent="0.15">
      <c r="A49" s="170" t="str">
        <f>IF(D49="","",VLOOKUP(D49,'Phase Codes'!$A$3:$N$187,7))</f>
        <v/>
      </c>
      <c r="C49" s="170" t="str">
        <f>IF(D49="","",VLOOKUP(D49,'Phase Codes'!$A$3:$N$187,8))</f>
        <v/>
      </c>
      <c r="D49" s="170" t="str">
        <f>IF('Base Bid'!G42="","",'Base Bid'!G42)</f>
        <v/>
      </c>
      <c r="E49" s="170" t="str">
        <f>IF(D49="","",VLOOKUP(D49,'Phase Codes'!$A$9:$C$187,3))</f>
        <v/>
      </c>
      <c r="F49" s="170" t="str">
        <f>IF(D49="","",IF('Base Bid'!J42&gt;0,'Base Bid'!J42,VLOOKUP(D49,'Phase Codes'!$A$9:$G$187,5)))</f>
        <v/>
      </c>
      <c r="G49" s="170" t="str">
        <f>IF(D49="","",IF('Base Bid'!K42&gt;0,'Base Bid'!K42,VLOOKUP(D49,'Phase Codes'!$A$9:$G$187,6)))</f>
        <v/>
      </c>
      <c r="H49" s="170">
        <f>'Base Bid'!M42</f>
        <v>0</v>
      </c>
      <c r="I49" s="282">
        <f>'Base Bid'!M42*'Base Bid'!H42</f>
        <v>0</v>
      </c>
    </row>
    <row r="50" spans="1:9" x14ac:dyDescent="0.15">
      <c r="A50" s="170" t="str">
        <f>IF(D50="","",VLOOKUP(D50,'Phase Codes'!$A$3:$N$187,7))</f>
        <v/>
      </c>
      <c r="C50" s="170" t="str">
        <f>IF(D50="","",VLOOKUP(D50,'Phase Codes'!$A$3:$N$187,8))</f>
        <v/>
      </c>
      <c r="D50" s="170" t="str">
        <f>IF('Base Bid'!G43="","",'Base Bid'!G43)</f>
        <v/>
      </c>
      <c r="E50" s="170" t="str">
        <f>IF(D50="","",VLOOKUP(D50,'Phase Codes'!$A$9:$C$187,3))</f>
        <v/>
      </c>
      <c r="F50" s="170" t="str">
        <f>IF(D50="","",IF('Base Bid'!J43&gt;0,'Base Bid'!J43,VLOOKUP(D50,'Phase Codes'!$A$9:$G$187,5)))</f>
        <v/>
      </c>
      <c r="G50" s="170" t="str">
        <f>IF(D50="","",IF('Base Bid'!K43&gt;0,'Base Bid'!K43,VLOOKUP(D50,'Phase Codes'!$A$9:$G$187,6)))</f>
        <v/>
      </c>
      <c r="H50" s="170">
        <f>'Base Bid'!M43</f>
        <v>0</v>
      </c>
      <c r="I50" s="282">
        <f>'Base Bid'!M43*'Base Bid'!H43</f>
        <v>0</v>
      </c>
    </row>
    <row r="51" spans="1:9" x14ac:dyDescent="0.15">
      <c r="A51" s="170" t="str">
        <f>IF(D51="","",VLOOKUP(D51,'Phase Codes'!$A$3:$N$187,7))</f>
        <v/>
      </c>
      <c r="C51" s="170" t="str">
        <f>IF(D51="","",VLOOKUP(D51,'Phase Codes'!$A$3:$N$187,8))</f>
        <v/>
      </c>
      <c r="D51" s="170" t="str">
        <f>IF('Base Bid'!G44="","",'Base Bid'!G44)</f>
        <v/>
      </c>
      <c r="E51" s="170" t="str">
        <f>IF(D51="","",VLOOKUP(D51,'Phase Codes'!$A$9:$C$187,3))</f>
        <v/>
      </c>
      <c r="F51" s="170" t="str">
        <f>IF(D51="","",IF('Base Bid'!J44&gt;0,'Base Bid'!J44,VLOOKUP(D51,'Phase Codes'!$A$9:$G$187,5)))</f>
        <v/>
      </c>
      <c r="G51" s="170" t="str">
        <f>IF(D51="","",IF('Base Bid'!K44&gt;0,'Base Bid'!K44,VLOOKUP(D51,'Phase Codes'!$A$9:$G$187,6)))</f>
        <v/>
      </c>
      <c r="H51" s="170">
        <f>'Base Bid'!M44</f>
        <v>0</v>
      </c>
      <c r="I51" s="282">
        <f>'Base Bid'!M44*'Base Bid'!H44</f>
        <v>0</v>
      </c>
    </row>
    <row r="52" spans="1:9" x14ac:dyDescent="0.15">
      <c r="A52" s="170" t="str">
        <f>IF(D52="","",VLOOKUP(D52,'Phase Codes'!$A$3:$N$187,7))</f>
        <v/>
      </c>
      <c r="C52" s="170" t="str">
        <f>IF(D52="","",VLOOKUP(D52,'Phase Codes'!$A$3:$N$187,8))</f>
        <v/>
      </c>
      <c r="D52" s="170" t="str">
        <f>IF('Base Bid'!G45="","",'Base Bid'!G45)</f>
        <v/>
      </c>
      <c r="E52" s="170" t="str">
        <f>IF(D52="","",VLOOKUP(D52,'Phase Codes'!$A$9:$C$187,3))</f>
        <v/>
      </c>
      <c r="F52" s="170" t="str">
        <f>IF(D52="","",IF('Base Bid'!J45&gt;0,'Base Bid'!J45,VLOOKUP(D52,'Phase Codes'!$A$9:$G$187,5)))</f>
        <v/>
      </c>
      <c r="G52" s="170" t="str">
        <f>IF(D52="","",IF('Base Bid'!K45&gt;0,'Base Bid'!K45,VLOOKUP(D52,'Phase Codes'!$A$9:$G$187,6)))</f>
        <v/>
      </c>
      <c r="H52" s="170">
        <f>'Base Bid'!M45</f>
        <v>0</v>
      </c>
      <c r="I52" s="282">
        <f>'Base Bid'!M45*'Base Bid'!H45</f>
        <v>0</v>
      </c>
    </row>
    <row r="53" spans="1:9" x14ac:dyDescent="0.15">
      <c r="A53" s="170" t="str">
        <f>IF(D53="","",VLOOKUP(D53,'Phase Codes'!$A$3:$N$187,7))</f>
        <v/>
      </c>
      <c r="C53" s="170" t="str">
        <f>IF(D53="","",VLOOKUP(D53,'Phase Codes'!$A$3:$N$187,8))</f>
        <v/>
      </c>
      <c r="D53" s="170" t="str">
        <f>IF('Base Bid'!G46="","",'Base Bid'!G46)</f>
        <v/>
      </c>
      <c r="E53" s="170" t="str">
        <f>IF(D53="","",VLOOKUP(D53,'Phase Codes'!$A$9:$C$187,3))</f>
        <v/>
      </c>
      <c r="F53" s="170" t="str">
        <f>IF(D53="","",IF('Base Bid'!J46&gt;0,'Base Bid'!J46,VLOOKUP(D53,'Phase Codes'!$A$9:$G$187,5)))</f>
        <v/>
      </c>
      <c r="G53" s="170" t="str">
        <f>IF(D53="","",IF('Base Bid'!K46&gt;0,'Base Bid'!K46,VLOOKUP(D53,'Phase Codes'!$A$9:$G$187,6)))</f>
        <v/>
      </c>
      <c r="H53" s="170">
        <f>'Base Bid'!M46</f>
        <v>0</v>
      </c>
      <c r="I53" s="282">
        <f>'Base Bid'!M46*'Base Bid'!H46</f>
        <v>0</v>
      </c>
    </row>
    <row r="54" spans="1:9" x14ac:dyDescent="0.15">
      <c r="A54" s="170" t="str">
        <f>IF(D54="","",VLOOKUP(D54,'Phase Codes'!$A$3:$N$187,7))</f>
        <v/>
      </c>
      <c r="C54" s="170" t="str">
        <f>IF(D54="","",VLOOKUP(D54,'Phase Codes'!$A$3:$N$187,8))</f>
        <v/>
      </c>
      <c r="D54" s="170" t="str">
        <f>IF('Base Bid'!G47="","",'Base Bid'!G47)</f>
        <v/>
      </c>
      <c r="E54" s="170" t="str">
        <f>IF(D54="","",VLOOKUP(D54,'Phase Codes'!$A$9:$C$187,3))</f>
        <v/>
      </c>
      <c r="F54" s="170" t="str">
        <f>IF(D54="","",IF('Base Bid'!J47&gt;0,'Base Bid'!J47,VLOOKUP(D54,'Phase Codes'!$A$9:$G$187,5)))</f>
        <v/>
      </c>
      <c r="G54" s="170" t="str">
        <f>IF(D54="","",IF('Base Bid'!K47&gt;0,'Base Bid'!K47,VLOOKUP(D54,'Phase Codes'!$A$9:$G$187,6)))</f>
        <v/>
      </c>
      <c r="H54" s="170">
        <f>'Base Bid'!M47</f>
        <v>0</v>
      </c>
      <c r="I54" s="282">
        <f>'Base Bid'!M47*'Base Bid'!H47</f>
        <v>0</v>
      </c>
    </row>
    <row r="55" spans="1:9" x14ac:dyDescent="0.15">
      <c r="A55" s="170" t="str">
        <f>IF(D55="","",VLOOKUP(D55,'Phase Codes'!$A$3:$N$187,7))</f>
        <v/>
      </c>
      <c r="C55" s="170" t="str">
        <f>IF(D55="","",VLOOKUP(D55,'Phase Codes'!$A$3:$N$187,8))</f>
        <v/>
      </c>
      <c r="D55" s="170" t="str">
        <f>IF('Base Bid'!G48="","",'Base Bid'!G48)</f>
        <v/>
      </c>
      <c r="E55" s="170" t="str">
        <f>IF(D55="","",VLOOKUP(D55,'Phase Codes'!$A$9:$C$187,3))</f>
        <v/>
      </c>
      <c r="F55" s="170" t="str">
        <f>IF(D55="","",IF('Base Bid'!J48&gt;0,'Base Bid'!J48,VLOOKUP(D55,'Phase Codes'!$A$9:$G$187,5)))</f>
        <v/>
      </c>
      <c r="G55" s="170" t="str">
        <f>IF(D55="","",IF('Base Bid'!K48&gt;0,'Base Bid'!K48,VLOOKUP(D55,'Phase Codes'!$A$9:$G$187,6)))</f>
        <v/>
      </c>
      <c r="H55" s="170">
        <f>'Base Bid'!M48</f>
        <v>0</v>
      </c>
      <c r="I55" s="282">
        <f>'Base Bid'!M48*'Base Bid'!H48</f>
        <v>0</v>
      </c>
    </row>
    <row r="56" spans="1:9" x14ac:dyDescent="0.15">
      <c r="A56" s="170" t="str">
        <f>IF(D56="","",VLOOKUP(D56,'Phase Codes'!$A$3:$N$187,7))</f>
        <v/>
      </c>
      <c r="C56" s="170" t="str">
        <f>IF(D56="","",VLOOKUP(D56,'Phase Codes'!$A$3:$N$187,8))</f>
        <v/>
      </c>
      <c r="D56" s="170" t="str">
        <f>IF('Base Bid'!G49="","",'Base Bid'!G49)</f>
        <v/>
      </c>
      <c r="E56" s="170" t="str">
        <f>IF(D56="","",VLOOKUP(D56,'Phase Codes'!$A$9:$C$187,3))</f>
        <v/>
      </c>
      <c r="F56" s="170" t="str">
        <f>IF(D56="","",IF('Base Bid'!J49&gt;0,'Base Bid'!J49,VLOOKUP(D56,'Phase Codes'!$A$9:$G$187,5)))</f>
        <v/>
      </c>
      <c r="G56" s="170" t="str">
        <f>IF(D56="","",IF('Base Bid'!K49&gt;0,'Base Bid'!K49,VLOOKUP(D56,'Phase Codes'!$A$9:$G$187,6)))</f>
        <v/>
      </c>
      <c r="H56" s="170">
        <f>'Base Bid'!M49</f>
        <v>0</v>
      </c>
      <c r="I56" s="282">
        <f>'Base Bid'!M49*'Base Bid'!H49</f>
        <v>0</v>
      </c>
    </row>
    <row r="57" spans="1:9" x14ac:dyDescent="0.15">
      <c r="A57" s="170" t="str">
        <f>IF(D57="","",VLOOKUP(D57,'Phase Codes'!$A$3:$N$187,7))</f>
        <v/>
      </c>
      <c r="C57" s="170" t="str">
        <f>IF(D57="","",VLOOKUP(D57,'Phase Codes'!$A$3:$N$187,8))</f>
        <v/>
      </c>
      <c r="D57" s="170" t="str">
        <f>IF('Base Bid'!G50="","",'Base Bid'!G50)</f>
        <v/>
      </c>
      <c r="E57" s="170" t="str">
        <f>IF(D57="","",VLOOKUP(D57,'Phase Codes'!$A$9:$C$187,3))</f>
        <v/>
      </c>
      <c r="F57" s="170" t="str">
        <f>IF(D57="","",IF('Base Bid'!J50&gt;0,'Base Bid'!J50,VLOOKUP(D57,'Phase Codes'!$A$9:$G$187,5)))</f>
        <v/>
      </c>
      <c r="G57" s="170" t="str">
        <f>IF(D57="","",IF('Base Bid'!K50&gt;0,'Base Bid'!K50,VLOOKUP(D57,'Phase Codes'!$A$9:$G$187,6)))</f>
        <v/>
      </c>
      <c r="H57" s="170">
        <f>'Base Bid'!M50</f>
        <v>0</v>
      </c>
      <c r="I57" s="282">
        <f>'Base Bid'!M50*'Base Bid'!H50</f>
        <v>0</v>
      </c>
    </row>
    <row r="58" spans="1:9" x14ac:dyDescent="0.15">
      <c r="A58" s="170" t="str">
        <f>IF(D58="","",VLOOKUP(D58,'Phase Codes'!$A$3:$N$187,7))</f>
        <v/>
      </c>
      <c r="C58" s="170" t="str">
        <f>IF(D58="","",VLOOKUP(D58,'Phase Codes'!$A$3:$N$187,8))</f>
        <v/>
      </c>
      <c r="D58" s="170" t="str">
        <f>IF('Base Bid'!G51="","",'Base Bid'!G51)</f>
        <v/>
      </c>
      <c r="E58" s="170" t="str">
        <f>IF(D58="","",VLOOKUP(D58,'Phase Codes'!$A$9:$C$187,3))</f>
        <v/>
      </c>
      <c r="F58" s="170" t="str">
        <f>IF(D58="","",IF('Base Bid'!J51&gt;0,'Base Bid'!J51,VLOOKUP(D58,'Phase Codes'!$A$9:$G$187,5)))</f>
        <v/>
      </c>
      <c r="G58" s="170" t="str">
        <f>IF(D58="","",IF('Base Bid'!K51&gt;0,'Base Bid'!K51,VLOOKUP(D58,'Phase Codes'!$A$9:$G$187,6)))</f>
        <v/>
      </c>
      <c r="H58" s="170">
        <f>'Base Bid'!M51</f>
        <v>0</v>
      </c>
      <c r="I58" s="282">
        <f>'Base Bid'!M51*'Base Bid'!H51</f>
        <v>0</v>
      </c>
    </row>
    <row r="59" spans="1:9" x14ac:dyDescent="0.15">
      <c r="A59" s="170" t="str">
        <f>IF(D59="","",VLOOKUP(D59,'Phase Codes'!$A$3:$N$187,7))</f>
        <v/>
      </c>
      <c r="C59" s="170" t="str">
        <f>IF(D59="","",VLOOKUP(D59,'Phase Codes'!$A$3:$N$187,8))</f>
        <v/>
      </c>
      <c r="D59" s="170" t="str">
        <f>IF('Base Bid'!G52="","",'Base Bid'!G52)</f>
        <v/>
      </c>
      <c r="E59" s="170" t="str">
        <f>IF(D59="","",VLOOKUP(D59,'Phase Codes'!$A$9:$C$187,3))</f>
        <v/>
      </c>
      <c r="F59" s="170" t="str">
        <f>IF(D59="","",IF('Base Bid'!J52&gt;0,'Base Bid'!J52,VLOOKUP(D59,'Phase Codes'!$A$9:$G$187,5)))</f>
        <v/>
      </c>
      <c r="G59" s="170" t="str">
        <f>IF(D59="","",IF('Base Bid'!K52&gt;0,'Base Bid'!K52,VLOOKUP(D59,'Phase Codes'!$A$9:$G$187,6)))</f>
        <v/>
      </c>
      <c r="H59" s="170">
        <f>'Base Bid'!M52</f>
        <v>0</v>
      </c>
      <c r="I59" s="282">
        <f>'Base Bid'!M52*'Base Bid'!H52</f>
        <v>0</v>
      </c>
    </row>
    <row r="60" spans="1:9" x14ac:dyDescent="0.15">
      <c r="A60" s="170" t="str">
        <f>IF(D60="","",VLOOKUP(D60,'Phase Codes'!$A$3:$N$187,7))</f>
        <v/>
      </c>
      <c r="C60" s="170" t="str">
        <f>IF(D60="","",VLOOKUP(D60,'Phase Codes'!$A$3:$N$187,8))</f>
        <v/>
      </c>
      <c r="D60" s="170" t="str">
        <f>IF('Base Bid'!G53="","",'Base Bid'!G53)</f>
        <v/>
      </c>
      <c r="E60" s="170" t="str">
        <f>IF(D60="","",VLOOKUP(D60,'Phase Codes'!$A$9:$C$187,3))</f>
        <v/>
      </c>
      <c r="F60" s="170" t="str">
        <f>IF(D60="","",IF('Base Bid'!J53&gt;0,'Base Bid'!J53,VLOOKUP(D60,'Phase Codes'!$A$9:$G$187,5)))</f>
        <v/>
      </c>
      <c r="G60" s="170" t="str">
        <f>IF(D60="","",IF('Base Bid'!K53&gt;0,'Base Bid'!K53,VLOOKUP(D60,'Phase Codes'!$A$9:$G$187,6)))</f>
        <v/>
      </c>
      <c r="H60" s="170">
        <f>'Base Bid'!M53</f>
        <v>0</v>
      </c>
      <c r="I60" s="282">
        <f>'Base Bid'!M53*'Base Bid'!H53</f>
        <v>0</v>
      </c>
    </row>
    <row r="61" spans="1:9" x14ac:dyDescent="0.15">
      <c r="A61" s="170" t="str">
        <f>IF(D61="","",VLOOKUP(D61,'Phase Codes'!$A$3:$N$187,7))</f>
        <v/>
      </c>
      <c r="C61" s="170" t="str">
        <f>IF(D61="","",VLOOKUP(D61,'Phase Codes'!$A$3:$N$187,8))</f>
        <v/>
      </c>
      <c r="D61" s="170" t="str">
        <f>IF('Base Bid'!G54="","",'Base Bid'!G54)</f>
        <v/>
      </c>
      <c r="E61" s="170" t="str">
        <f>IF(D61="","",VLOOKUP(D61,'Phase Codes'!$A$9:$C$187,3))</f>
        <v/>
      </c>
      <c r="F61" s="170" t="str">
        <f>IF(D61="","",IF('Base Bid'!J54&gt;0,'Base Bid'!J54,VLOOKUP(D61,'Phase Codes'!$A$9:$G$187,5)))</f>
        <v/>
      </c>
      <c r="G61" s="170" t="str">
        <f>IF(D61="","",IF('Base Bid'!K54&gt;0,'Base Bid'!K54,VLOOKUP(D61,'Phase Codes'!$A$9:$G$187,6)))</f>
        <v/>
      </c>
      <c r="H61" s="170">
        <f>'Base Bid'!M54</f>
        <v>0</v>
      </c>
      <c r="I61" s="282">
        <f>'Base Bid'!M54*'Base Bid'!H54</f>
        <v>0</v>
      </c>
    </row>
    <row r="62" spans="1:9" x14ac:dyDescent="0.15">
      <c r="A62" s="170" t="str">
        <f>IF(D62="","",VLOOKUP(D62,'Phase Codes'!$A$3:$N$187,7))</f>
        <v/>
      </c>
      <c r="C62" s="170" t="str">
        <f>IF(D62="","",VLOOKUP(D62,'Phase Codes'!$A$3:$N$187,8))</f>
        <v/>
      </c>
      <c r="D62" s="170" t="str">
        <f>IF('Base Bid'!G55="","",'Base Bid'!G55)</f>
        <v/>
      </c>
      <c r="E62" s="170" t="str">
        <f>IF(D62="","",VLOOKUP(D62,'Phase Codes'!$A$9:$C$187,3))</f>
        <v/>
      </c>
      <c r="F62" s="170" t="str">
        <f>IF(D62="","",IF('Base Bid'!J55&gt;0,'Base Bid'!J55,VLOOKUP(D62,'Phase Codes'!$A$9:$G$187,5)))</f>
        <v/>
      </c>
      <c r="G62" s="170" t="str">
        <f>IF(D62="","",IF('Base Bid'!K55&gt;0,'Base Bid'!K55,VLOOKUP(D62,'Phase Codes'!$A$9:$G$187,6)))</f>
        <v/>
      </c>
      <c r="H62" s="170">
        <f>'Base Bid'!M55</f>
        <v>0</v>
      </c>
      <c r="I62" s="282">
        <f>'Base Bid'!M55*'Base Bid'!H55</f>
        <v>0</v>
      </c>
    </row>
    <row r="63" spans="1:9" x14ac:dyDescent="0.15">
      <c r="A63" s="170" t="str">
        <f>IF(D63="","",VLOOKUP(D63,'Phase Codes'!$A$3:$N$187,7))</f>
        <v/>
      </c>
      <c r="C63" s="170" t="str">
        <f>IF(D63="","",VLOOKUP(D63,'Phase Codes'!$A$3:$N$187,8))</f>
        <v/>
      </c>
      <c r="D63" s="170" t="str">
        <f>IF('Base Bid'!G56="","",'Base Bid'!G56)</f>
        <v/>
      </c>
      <c r="E63" s="170" t="str">
        <f>IF(D63="","",VLOOKUP(D63,'Phase Codes'!$A$9:$C$187,3))</f>
        <v/>
      </c>
      <c r="F63" s="170" t="str">
        <f>IF(D63="","",IF('Base Bid'!J56&gt;0,'Base Bid'!J56,VLOOKUP(D63,'Phase Codes'!$A$9:$G$187,5)))</f>
        <v/>
      </c>
      <c r="G63" s="170" t="str">
        <f>IF(D63="","",IF('Base Bid'!K56&gt;0,'Base Bid'!K56,VLOOKUP(D63,'Phase Codes'!$A$9:$G$187,6)))</f>
        <v/>
      </c>
      <c r="H63" s="170">
        <f>'Base Bid'!M56</f>
        <v>0</v>
      </c>
      <c r="I63" s="282">
        <f>'Base Bid'!M56*'Base Bid'!H56</f>
        <v>0</v>
      </c>
    </row>
    <row r="64" spans="1:9" x14ac:dyDescent="0.15">
      <c r="A64" s="170" t="str">
        <f>IF(D64="","",VLOOKUP(D64,'Phase Codes'!$A$3:$N$187,7))</f>
        <v/>
      </c>
      <c r="C64" s="170" t="str">
        <f>IF(D64="","",VLOOKUP(D64,'Phase Codes'!$A$3:$N$187,8))</f>
        <v/>
      </c>
      <c r="D64" s="170" t="str">
        <f>IF('Base Bid'!G57="","",'Base Bid'!G57)</f>
        <v/>
      </c>
      <c r="E64" s="170" t="str">
        <f>IF(D64="","",VLOOKUP(D64,'Phase Codes'!$A$9:$C$187,3))</f>
        <v/>
      </c>
      <c r="F64" s="170" t="str">
        <f>IF(D64="","",IF('Base Bid'!J57&gt;0,'Base Bid'!J57,VLOOKUP(D64,'Phase Codes'!$A$9:$G$187,5)))</f>
        <v/>
      </c>
      <c r="G64" s="170" t="str">
        <f>IF(D64="","",IF('Base Bid'!K57&gt;0,'Base Bid'!K57,VLOOKUP(D64,'Phase Codes'!$A$9:$G$187,6)))</f>
        <v/>
      </c>
      <c r="H64" s="170">
        <f>'Base Bid'!M57</f>
        <v>0</v>
      </c>
      <c r="I64" s="282">
        <f>'Base Bid'!M57*'Base Bid'!H57</f>
        <v>0</v>
      </c>
    </row>
    <row r="65" spans="1:12" x14ac:dyDescent="0.15">
      <c r="A65" s="170" t="str">
        <f>IF(D65="","",VLOOKUP(D65,'Phase Codes'!$A$3:$N$187,7))</f>
        <v/>
      </c>
      <c r="C65" s="170" t="str">
        <f>IF(D65="","",VLOOKUP(D65,'Phase Codes'!$A$3:$N$187,8))</f>
        <v/>
      </c>
      <c r="D65" s="170" t="str">
        <f>IF('Base Bid'!G58="","",'Base Bid'!G58)</f>
        <v/>
      </c>
      <c r="E65" s="170" t="str">
        <f>IF(D65="","",VLOOKUP(D65,'Phase Codes'!$A$9:$C$187,3))</f>
        <v/>
      </c>
      <c r="F65" s="170" t="str">
        <f>IF(D65="","",IF('Base Bid'!J58&gt;0,'Base Bid'!J58,VLOOKUP(D65,'Phase Codes'!$A$9:$G$187,5)))</f>
        <v/>
      </c>
      <c r="G65" s="170" t="str">
        <f>IF(D65="","",IF('Base Bid'!K58&gt;0,'Base Bid'!K58,VLOOKUP(D65,'Phase Codes'!$A$9:$G$187,6)))</f>
        <v/>
      </c>
      <c r="H65" s="170">
        <f>'Base Bid'!M58</f>
        <v>0</v>
      </c>
      <c r="I65" s="282">
        <f>'Base Bid'!M58*'Base Bid'!H58</f>
        <v>0</v>
      </c>
    </row>
    <row r="66" spans="1:12" x14ac:dyDescent="0.15">
      <c r="A66" s="170" t="str">
        <f>IF(D66="","",VLOOKUP(D66,'Phase Codes'!$A$3:$N$187,7))</f>
        <v/>
      </c>
      <c r="C66" s="170" t="str">
        <f>IF(D66="","",VLOOKUP(D66,'Phase Codes'!$A$3:$N$187,8))</f>
        <v/>
      </c>
      <c r="D66" s="170" t="str">
        <f>IF('Base Bid'!G59="","",'Base Bid'!G59)</f>
        <v/>
      </c>
      <c r="E66" s="170" t="str">
        <f>IF(D66="","",VLOOKUP(D66,'Phase Codes'!$A$9:$C$187,3))</f>
        <v/>
      </c>
      <c r="F66" s="170" t="str">
        <f>IF(D66="","",IF('Base Bid'!J59&gt;0,'Base Bid'!J59,VLOOKUP(D66,'Phase Codes'!$A$9:$G$187,5)))</f>
        <v/>
      </c>
      <c r="G66" s="170" t="str">
        <f>IF(D66="","",IF('Base Bid'!K59&gt;0,'Base Bid'!K59,VLOOKUP(D66,'Phase Codes'!$A$9:$G$187,6)))</f>
        <v/>
      </c>
      <c r="H66" s="170">
        <f>'Base Bid'!M59</f>
        <v>0</v>
      </c>
      <c r="I66" s="282">
        <f>'Base Bid'!M59*'Base Bid'!H59</f>
        <v>0</v>
      </c>
    </row>
    <row r="67" spans="1:12" x14ac:dyDescent="0.15">
      <c r="A67" s="170" t="str">
        <f>IF(D67="","",VLOOKUP(D67,'Phase Codes'!$A$3:$N$187,7))</f>
        <v/>
      </c>
      <c r="C67" s="170" t="str">
        <f>IF(D67="","",VLOOKUP(D67,'Phase Codes'!$A$3:$N$187,8))</f>
        <v/>
      </c>
      <c r="D67" s="170" t="str">
        <f>IF('Base Bid'!G60="","",'Base Bid'!G60)</f>
        <v/>
      </c>
      <c r="E67" s="170" t="str">
        <f>IF(D67="","",VLOOKUP(D67,'Phase Codes'!$A$9:$C$187,3))</f>
        <v/>
      </c>
      <c r="F67" s="170" t="str">
        <f>IF(D67="","",IF('Base Bid'!J60&gt;0,'Base Bid'!J60,VLOOKUP(D67,'Phase Codes'!$A$9:$G$187,5)))</f>
        <v/>
      </c>
      <c r="G67" s="170" t="str">
        <f>IF(D67="","",IF('Base Bid'!K60&gt;0,'Base Bid'!K60,VLOOKUP(D67,'Phase Codes'!$A$9:$G$187,6)))</f>
        <v/>
      </c>
      <c r="H67" s="170">
        <f>'Base Bid'!M60</f>
        <v>0</v>
      </c>
      <c r="I67" s="282">
        <f>'Base Bid'!M60*'Base Bid'!H60</f>
        <v>0</v>
      </c>
    </row>
    <row r="68" spans="1:12" x14ac:dyDescent="0.15">
      <c r="A68" s="170" t="str">
        <f>IF(D68="","",VLOOKUP(D68,'Phase Codes'!$A$3:$N$187,7))</f>
        <v/>
      </c>
      <c r="C68" s="170" t="str">
        <f>IF(D68="","",VLOOKUP(D68,'Phase Codes'!$A$3:$N$187,8))</f>
        <v/>
      </c>
      <c r="D68" s="170" t="str">
        <f>IF('Base Bid'!G61="","",'Base Bid'!G61)</f>
        <v/>
      </c>
      <c r="E68" s="170" t="str">
        <f>IF(D68="","",VLOOKUP(D68,'Phase Codes'!$A$9:$C$187,3))</f>
        <v/>
      </c>
      <c r="F68" s="170" t="str">
        <f>IF(D68="","",IF('Base Bid'!J61&gt;0,'Base Bid'!J61,VLOOKUP(D68,'Phase Codes'!$A$9:$G$187,5)))</f>
        <v/>
      </c>
      <c r="G68" s="170" t="str">
        <f>IF(D68="","",IF('Base Bid'!K61&gt;0,'Base Bid'!K61,VLOOKUP(D68,'Phase Codes'!$A$9:$G$187,6)))</f>
        <v/>
      </c>
      <c r="H68" s="170">
        <f>'Base Bid'!M61</f>
        <v>0</v>
      </c>
      <c r="I68" s="282">
        <f>'Base Bid'!M61*'Base Bid'!H61</f>
        <v>0</v>
      </c>
    </row>
    <row r="69" spans="1:12" x14ac:dyDescent="0.15">
      <c r="A69" s="170" t="str">
        <f>IF(D69="","",VLOOKUP(D69,'Phase Codes'!$A$3:$N$187,7))</f>
        <v/>
      </c>
      <c r="C69" s="170" t="str">
        <f>IF(D69="","",VLOOKUP(D69,'Phase Codes'!$A$3:$N$187,8))</f>
        <v/>
      </c>
      <c r="D69" s="170" t="str">
        <f>IF('Base Bid'!G62="","",'Base Bid'!G62)</f>
        <v/>
      </c>
      <c r="E69" s="170" t="str">
        <f>IF(D69="","",VLOOKUP(D69,'Phase Codes'!$A$9:$C$187,3))</f>
        <v/>
      </c>
      <c r="F69" s="170" t="str">
        <f>IF(D69="","",IF('Base Bid'!J62&gt;0,'Base Bid'!J62,VLOOKUP(D69,'Phase Codes'!$A$9:$G$187,5)))</f>
        <v/>
      </c>
      <c r="G69" s="170" t="str">
        <f>IF(D69="","",IF('Base Bid'!K62&gt;0,'Base Bid'!K62,VLOOKUP(D69,'Phase Codes'!$A$9:$G$187,6)))</f>
        <v/>
      </c>
      <c r="H69" s="170">
        <f>'Base Bid'!M62</f>
        <v>0</v>
      </c>
      <c r="I69" s="282">
        <f>'Base Bid'!M62*'Base Bid'!H62</f>
        <v>0</v>
      </c>
    </row>
    <row r="70" spans="1:12" x14ac:dyDescent="0.15">
      <c r="A70" s="170" t="str">
        <f>IF(D70="","",VLOOKUP(D70,'Phase Codes'!$A$3:$N$187,7))</f>
        <v/>
      </c>
      <c r="C70" s="170" t="str">
        <f>IF(D70="","",VLOOKUP(D70,'Phase Codes'!$A$3:$N$187,8))</f>
        <v/>
      </c>
      <c r="D70" s="170" t="str">
        <f>IF('Base Bid'!G63="","",'Base Bid'!G63)</f>
        <v/>
      </c>
      <c r="E70" s="170" t="str">
        <f>IF(D70="","",VLOOKUP(D70,'Phase Codes'!$A$9:$C$187,3))</f>
        <v/>
      </c>
      <c r="F70" s="170" t="str">
        <f>IF(D70="","",IF('Base Bid'!J63&gt;0,'Base Bid'!J63,VLOOKUP(D70,'Phase Codes'!$A$9:$G$187,5)))</f>
        <v/>
      </c>
      <c r="G70" s="170" t="str">
        <f>IF(D70="","",IF('Base Bid'!K63&gt;0,'Base Bid'!K63,VLOOKUP(D70,'Phase Codes'!$A$9:$G$187,6)))</f>
        <v/>
      </c>
      <c r="H70" s="170">
        <f>'Base Bid'!M63</f>
        <v>0</v>
      </c>
      <c r="I70" s="282">
        <f>'Base Bid'!M63*'Base Bid'!H63</f>
        <v>0</v>
      </c>
    </row>
    <row r="71" spans="1:12" x14ac:dyDescent="0.15">
      <c r="A71" s="170" t="str">
        <f>IF(D71="","",VLOOKUP(D71,'Phase Codes'!$A$3:$N$187,7))</f>
        <v/>
      </c>
      <c r="C71" s="170" t="str">
        <f>IF(D71="","",VLOOKUP(D71,'Phase Codes'!$A$3:$N$187,8))</f>
        <v/>
      </c>
      <c r="D71" s="170" t="str">
        <f>IF('Base Bid'!G64="","",'Base Bid'!G64)</f>
        <v/>
      </c>
      <c r="E71" s="170" t="str">
        <f>IF(D71="","",VLOOKUP(D71,'Phase Codes'!$A$9:$C$187,3))</f>
        <v/>
      </c>
      <c r="F71" s="170" t="str">
        <f>IF(D71="","",IF('Base Bid'!J64&gt;0,'Base Bid'!J64,VLOOKUP(D71,'Phase Codes'!$A$9:$G$187,5)))</f>
        <v/>
      </c>
      <c r="G71" s="170" t="str">
        <f>IF(D71="","",IF('Base Bid'!K64&gt;0,'Base Bid'!K64,VLOOKUP(D71,'Phase Codes'!$A$9:$G$187,6)))</f>
        <v/>
      </c>
      <c r="H71" s="170">
        <f>'Base Bid'!M64</f>
        <v>0</v>
      </c>
      <c r="I71" s="282">
        <f>'Base Bid'!M64*'Base Bid'!H64</f>
        <v>0</v>
      </c>
    </row>
    <row r="72" spans="1:12" x14ac:dyDescent="0.15">
      <c r="A72" s="170" t="str">
        <f>IF(D72="","",VLOOKUP(D72,'Phase Codes'!$A$3:$N$187,7))</f>
        <v/>
      </c>
      <c r="C72" s="170" t="str">
        <f>IF(D72="","",VLOOKUP(D72,'Phase Codes'!$A$3:$N$187,8))</f>
        <v/>
      </c>
      <c r="D72" s="170" t="str">
        <f>IF('Base Bid'!G65="","",'Base Bid'!G65)</f>
        <v/>
      </c>
      <c r="E72" s="170" t="str">
        <f>IF(D72="","",VLOOKUP(D72,'Phase Codes'!$A$9:$C$187,3))</f>
        <v/>
      </c>
      <c r="F72" s="170" t="str">
        <f>IF(D72="","",IF('Base Bid'!J65&gt;0,'Base Bid'!J65,VLOOKUP(D72,'Phase Codes'!$A$9:$G$187,5)))</f>
        <v/>
      </c>
      <c r="G72" s="170" t="str">
        <f>IF(D72="","",IF('Base Bid'!K65&gt;0,'Base Bid'!K65,VLOOKUP(D72,'Phase Codes'!$A$9:$G$187,6)))</f>
        <v/>
      </c>
      <c r="H72" s="170">
        <f>'Base Bid'!M65</f>
        <v>0</v>
      </c>
      <c r="I72" s="282">
        <f>'Base Bid'!M65*'Base Bid'!H65</f>
        <v>0</v>
      </c>
    </row>
    <row r="73" spans="1:12" x14ac:dyDescent="0.15">
      <c r="A73" s="170" t="str">
        <f>IF(D73="","",VLOOKUP(D73,'Phase Codes'!$A$3:$N$187,7))</f>
        <v/>
      </c>
      <c r="C73" s="170" t="str">
        <f>IF(D73="","",VLOOKUP(D73,'Phase Codes'!$A$3:$N$187,8))</f>
        <v/>
      </c>
      <c r="D73" s="170" t="str">
        <f>IF('Base Bid'!G66="","",'Base Bid'!G66)</f>
        <v/>
      </c>
      <c r="E73" s="170" t="str">
        <f>IF(D73="","",VLOOKUP(D73,'Phase Codes'!$A$9:$C$187,3))</f>
        <v/>
      </c>
      <c r="F73" s="170" t="str">
        <f>IF(D73="","",IF('Base Bid'!J66&gt;0,'Base Bid'!J66,VLOOKUP(D73,'Phase Codes'!$A$9:$G$187,5)))</f>
        <v/>
      </c>
      <c r="G73" s="170" t="str">
        <f>IF(D73="","",IF('Base Bid'!K66&gt;0,'Base Bid'!K66,VLOOKUP(D73,'Phase Codes'!$A$9:$G$187,6)))</f>
        <v/>
      </c>
      <c r="H73" s="170">
        <f>'Base Bid'!M66</f>
        <v>0</v>
      </c>
      <c r="I73" s="282">
        <f>'Base Bid'!M66*'Base Bid'!H66</f>
        <v>0</v>
      </c>
    </row>
    <row r="74" spans="1:12" x14ac:dyDescent="0.15">
      <c r="A74" s="170" t="str">
        <f>IF(D74="","",VLOOKUP(D74,'Phase Codes'!$A$3:$N$187,7))</f>
        <v/>
      </c>
      <c r="C74" s="170" t="str">
        <f>IF(D74="","",VLOOKUP(D74,'Phase Codes'!$A$3:$N$187,8))</f>
        <v/>
      </c>
      <c r="D74" s="170" t="str">
        <f>IF('Base Bid'!G67="","",'Base Bid'!G67)</f>
        <v/>
      </c>
      <c r="E74" s="170" t="str">
        <f>IF(D74="","",VLOOKUP(D74,'Phase Codes'!$A$9:$C$187,3))</f>
        <v/>
      </c>
      <c r="F74" s="170" t="str">
        <f>IF(D74="","",IF('Base Bid'!J67&gt;0,'Base Bid'!J67,VLOOKUP(D74,'Phase Codes'!$A$9:$G$187,5)))</f>
        <v/>
      </c>
      <c r="G74" s="170" t="str">
        <f>IF(D74="","",IF('Base Bid'!K67&gt;0,'Base Bid'!K67,VLOOKUP(D74,'Phase Codes'!$A$9:$G$187,6)))</f>
        <v/>
      </c>
      <c r="H74" s="170">
        <f>'Base Bid'!M67</f>
        <v>0</v>
      </c>
      <c r="I74" s="282">
        <f>'Base Bid'!M67*'Base Bid'!H67</f>
        <v>0</v>
      </c>
    </row>
    <row r="75" spans="1:12" x14ac:dyDescent="0.15">
      <c r="A75" s="170" t="str">
        <f>IF(D75="","",VLOOKUP(D75,'Phase Codes'!$A$3:$N$187,7))</f>
        <v/>
      </c>
      <c r="C75" s="170" t="str">
        <f>IF(D75="","",VLOOKUP(D75,'Phase Codes'!$A$3:$N$187,8))</f>
        <v/>
      </c>
      <c r="D75" s="170" t="str">
        <f>IF('Base Bid'!G68="","",'Base Bid'!G68)</f>
        <v/>
      </c>
      <c r="E75" s="170" t="str">
        <f>IF(D75="","",VLOOKUP(D75,'Phase Codes'!$A$9:$C$187,3))</f>
        <v/>
      </c>
      <c r="F75" s="170" t="str">
        <f>IF(D75="","",IF('Base Bid'!J68&gt;0,'Base Bid'!J68,VLOOKUP(D75,'Phase Codes'!$A$9:$G$187,5)))</f>
        <v/>
      </c>
      <c r="G75" s="170" t="str">
        <f>IF(D75="","",IF('Base Bid'!K68&gt;0,'Base Bid'!K68,VLOOKUP(D75,'Phase Codes'!$A$9:$G$187,6)))</f>
        <v/>
      </c>
      <c r="H75" s="170">
        <f>'Base Bid'!M68</f>
        <v>0</v>
      </c>
      <c r="I75" s="282">
        <f>'Base Bid'!M68*'Base Bid'!H68</f>
        <v>0</v>
      </c>
    </row>
    <row r="76" spans="1:12" ht="9" thickBot="1" x14ac:dyDescent="0.2">
      <c r="A76" s="280" t="str">
        <f>IF(D76="","",VLOOKUP(D76,'Phase Codes'!$A$3:$N$187,7))</f>
        <v/>
      </c>
      <c r="B76" s="280"/>
      <c r="C76" s="280" t="str">
        <f>IF(D76="","",VLOOKUP(D76,'Phase Codes'!$A$3:$N$187,8))</f>
        <v/>
      </c>
      <c r="D76" s="280" t="str">
        <f>IF('Base Bid'!G69="","",'Base Bid'!G69)</f>
        <v/>
      </c>
      <c r="E76" s="280" t="str">
        <f>IF(D76="","",VLOOKUP(D76,'Phase Codes'!$A$9:$C$187,3))</f>
        <v/>
      </c>
      <c r="F76" s="280" t="str">
        <f>IF(D76="","",IF('Base Bid'!J69&gt;0,'Base Bid'!J69,VLOOKUP(D76,'Phase Codes'!$A$9:$G$187,5)))</f>
        <v/>
      </c>
      <c r="G76" s="280" t="str">
        <f>IF(D76="","",IF('Base Bid'!K69&gt;0,'Base Bid'!K69,VLOOKUP(D76,'Phase Codes'!$A$9:$G$187,6)))</f>
        <v/>
      </c>
      <c r="H76" s="280">
        <f>'Base Bid'!M69</f>
        <v>0</v>
      </c>
      <c r="I76" s="283">
        <f>'Base Bid'!M69*'Base Bid'!H69</f>
        <v>0</v>
      </c>
      <c r="J76" s="283"/>
      <c r="K76" s="280"/>
      <c r="L76" s="280"/>
    </row>
    <row r="77" spans="1:12" ht="9" thickTop="1" x14ac:dyDescent="0.15">
      <c r="A77" s="170" t="str">
        <f>IF(D77="","",VLOOKUP(D77,'Phase Codes'!$A$3:$N$187,7))</f>
        <v/>
      </c>
    </row>
    <row r="78" spans="1:12" ht="9" thickBot="1" x14ac:dyDescent="0.2">
      <c r="A78" s="280" t="str">
        <f>IF(D78="","",VLOOKUP(D78,'Phase Codes'!$A$3:$N$187,7))</f>
        <v/>
      </c>
      <c r="B78" s="280" t="s">
        <v>984</v>
      </c>
      <c r="C78" s="280"/>
      <c r="D78" s="280"/>
      <c r="E78" s="280"/>
      <c r="F78" s="280"/>
      <c r="G78" s="280"/>
      <c r="H78" s="280"/>
      <c r="I78" s="283"/>
      <c r="J78" s="283"/>
      <c r="K78" s="280"/>
      <c r="L78" s="280"/>
    </row>
    <row r="79" spans="1:12" ht="9" thickTop="1" x14ac:dyDescent="0.15">
      <c r="A79" s="170">
        <f>IF(D79="","",VLOOKUP(D79,'Phase Codes'!$A$3:$N$187,7))</f>
        <v>3</v>
      </c>
      <c r="C79" s="170">
        <f>IF(D79="","",VLOOKUP(D79,'Phase Codes'!$A$3:$N$187,8))</f>
        <v>10</v>
      </c>
      <c r="D79" s="170" t="str">
        <f>IF('Base Bid'!G20="","","35-030-101")</f>
        <v>35-030-101</v>
      </c>
      <c r="E79" s="170">
        <f>IF(D79="","",VLOOKUP(D79,'Phase Codes'!$A$9:$C$187,3))</f>
        <v>1</v>
      </c>
      <c r="F79" s="170">
        <f>IF(D79="","",IF('Base Bid'!J20&gt;0,'Base Bid'!J20,VLOOKUP(D79,'Phase Codes'!$A$9:$G$187,5)))</f>
        <v>100</v>
      </c>
      <c r="G79" s="170" t="str">
        <f>IF(D79="","",IF('Base Bid'!K20&gt;0,'Base Bid'!K20,VLOOKUP(D79,'Phase Codes'!$A$9:$G$187,6)))</f>
        <v>PCT</v>
      </c>
      <c r="H79" s="170">
        <f>'Base Bid'!N20</f>
        <v>0</v>
      </c>
      <c r="I79" s="282">
        <f>'Base Bid'!N20*'Base Bid'!I20</f>
        <v>0</v>
      </c>
    </row>
    <row r="80" spans="1:12" x14ac:dyDescent="0.15">
      <c r="A80" s="170">
        <f>IF(D80="","",VLOOKUP(D80,'Phase Codes'!$A$3:$N$187,7))</f>
        <v>3</v>
      </c>
      <c r="C80" s="170">
        <f>IF(D80="","",VLOOKUP(D80,'Phase Codes'!$A$3:$N$187,8))</f>
        <v>10</v>
      </c>
      <c r="D80" s="170" t="str">
        <f>IF('Base Bid'!G21="","","35-030-102")</f>
        <v>35-030-102</v>
      </c>
      <c r="E80" s="170">
        <f>IF(D80="","",VLOOKUP(D80,'Phase Codes'!$A$9:$C$187,3))</f>
        <v>1</v>
      </c>
      <c r="F80" s="170">
        <f>IF(D80="","",IF('Base Bid'!J21&gt;0,'Base Bid'!J21,VLOOKUP(D80,'Phase Codes'!$A$9:$G$187,5)))</f>
        <v>100</v>
      </c>
      <c r="G80" s="170" t="str">
        <f>IF(D80="","",IF('Base Bid'!K21&gt;0,'Base Bid'!K21,VLOOKUP(D80,'Phase Codes'!$A$9:$G$187,6)))</f>
        <v>PCT</v>
      </c>
      <c r="H80" s="170">
        <f>'Base Bid'!N21</f>
        <v>0</v>
      </c>
      <c r="I80" s="282">
        <f>'Base Bid'!N21*'Base Bid'!I21</f>
        <v>0</v>
      </c>
    </row>
    <row r="81" spans="1:9" x14ac:dyDescent="0.15">
      <c r="A81" s="170">
        <f>IF(D81="","",VLOOKUP(D81,'Phase Codes'!$A$3:$N$187,7))</f>
        <v>3</v>
      </c>
      <c r="C81" s="170">
        <f>IF(D81="","",VLOOKUP(D81,'Phase Codes'!$A$3:$N$187,8))</f>
        <v>10</v>
      </c>
      <c r="D81" s="170" t="str">
        <f>IF('Base Bid'!G22="","","35-030-103")</f>
        <v>35-030-103</v>
      </c>
      <c r="E81" s="170">
        <f>IF(D81="","",VLOOKUP(D81,'Phase Codes'!$A$9:$C$187,3))</f>
        <v>1</v>
      </c>
      <c r="F81" s="170">
        <f>IF(D81="","",IF('Base Bid'!J22&gt;0,'Base Bid'!J22,VLOOKUP(D81,'Phase Codes'!$A$9:$G$187,5)))</f>
        <v>100</v>
      </c>
      <c r="G81" s="170" t="str">
        <f>IF(D81="","",IF('Base Bid'!K22&gt;0,'Base Bid'!K22,VLOOKUP(D81,'Phase Codes'!$A$9:$G$187,6)))</f>
        <v>PCT</v>
      </c>
      <c r="H81" s="170">
        <f>'Base Bid'!N22</f>
        <v>0</v>
      </c>
      <c r="I81" s="282">
        <f>'Base Bid'!N22*'Base Bid'!I22</f>
        <v>0</v>
      </c>
    </row>
    <row r="82" spans="1:9" x14ac:dyDescent="0.15">
      <c r="A82" s="170" t="str">
        <f>IF(D82="","",VLOOKUP(D82,'Phase Codes'!$A$3:$N$187,7))</f>
        <v/>
      </c>
      <c r="C82" s="170" t="str">
        <f>IF(D82="","",VLOOKUP(D82,'Phase Codes'!$A$3:$N$187,8))</f>
        <v/>
      </c>
      <c r="D82" s="170" t="str">
        <f>IF('Base Bid'!G23="","","35-030-104")</f>
        <v/>
      </c>
      <c r="E82" s="170" t="str">
        <f>IF(D82="","",VLOOKUP(D82,'Phase Codes'!$A$9:$C$187,3))</f>
        <v/>
      </c>
      <c r="F82" s="170" t="str">
        <f>IF(D82="","",IF('Base Bid'!J23&gt;0,'Base Bid'!J23,VLOOKUP(D82,'Phase Codes'!$A$9:$G$187,5)))</f>
        <v/>
      </c>
      <c r="G82" s="170" t="str">
        <f>IF(D82="","",IF('Base Bid'!K23&gt;0,'Base Bid'!K23,VLOOKUP(D82,'Phase Codes'!$A$9:$G$187,6)))</f>
        <v/>
      </c>
      <c r="H82" s="170">
        <f>'Base Bid'!N23</f>
        <v>0</v>
      </c>
      <c r="I82" s="282">
        <f>'Base Bid'!N23*'Base Bid'!I23</f>
        <v>0</v>
      </c>
    </row>
    <row r="83" spans="1:9" x14ac:dyDescent="0.15">
      <c r="A83" s="170" t="str">
        <f>IF(D83="","",VLOOKUP(D83,'Phase Codes'!$A$3:$N$187,7))</f>
        <v/>
      </c>
      <c r="C83" s="170" t="str">
        <f>IF(D83="","",VLOOKUP(D83,'Phase Codes'!$A$3:$N$187,8))</f>
        <v/>
      </c>
      <c r="D83" s="170" t="str">
        <f>IF('Base Bid'!G24="","","35-030-105")</f>
        <v/>
      </c>
      <c r="E83" s="170" t="str">
        <f>IF(D83="","",VLOOKUP(D83,'Phase Codes'!$A$9:$C$187,3))</f>
        <v/>
      </c>
      <c r="F83" s="170" t="str">
        <f>IF(D83="","",IF('Base Bid'!J24&gt;0,'Base Bid'!J24,VLOOKUP(D83,'Phase Codes'!$A$9:$G$187,5)))</f>
        <v/>
      </c>
      <c r="G83" s="170" t="str">
        <f>IF(D83="","",IF('Base Bid'!K24&gt;0,'Base Bid'!K24,VLOOKUP(D83,'Phase Codes'!$A$9:$G$187,6)))</f>
        <v/>
      </c>
      <c r="H83" s="170">
        <f>'Base Bid'!N24</f>
        <v>0</v>
      </c>
      <c r="I83" s="282">
        <f>'Base Bid'!N24*'Base Bid'!I24</f>
        <v>0</v>
      </c>
    </row>
    <row r="84" spans="1:9" x14ac:dyDescent="0.15">
      <c r="A84" s="170" t="str">
        <f>IF(D84="","",VLOOKUP(D84,'Phase Codes'!$A$3:$N$187,7))</f>
        <v/>
      </c>
      <c r="C84" s="170" t="str">
        <f>IF(D84="","",VLOOKUP(D84,'Phase Codes'!$A$3:$N$187,8))</f>
        <v/>
      </c>
      <c r="D84" s="170" t="str">
        <f>IF('Base Bid'!G25="","","35-030-106")</f>
        <v/>
      </c>
      <c r="E84" s="170" t="str">
        <f>IF(D84="","",VLOOKUP(D84,'Phase Codes'!$A$9:$C$187,3))</f>
        <v/>
      </c>
      <c r="F84" s="170" t="str">
        <f>IF(D84="","",IF('Base Bid'!J25&gt;0,'Base Bid'!J25,VLOOKUP(D84,'Phase Codes'!$A$9:$G$187,5)))</f>
        <v/>
      </c>
      <c r="G84" s="170" t="str">
        <f>IF(D84="","",IF('Base Bid'!K25&gt;0,'Base Bid'!K25,VLOOKUP(D84,'Phase Codes'!$A$9:$G$187,6)))</f>
        <v/>
      </c>
      <c r="H84" s="170">
        <f>'Base Bid'!N25</f>
        <v>0</v>
      </c>
      <c r="I84" s="282">
        <f>'Base Bid'!N25*'Base Bid'!I25</f>
        <v>0</v>
      </c>
    </row>
    <row r="85" spans="1:9" x14ac:dyDescent="0.15">
      <c r="A85" s="170" t="str">
        <f>IF(D85="","",VLOOKUP(D85,'Phase Codes'!$A$3:$N$187,7))</f>
        <v/>
      </c>
      <c r="C85" s="170" t="str">
        <f>IF(D85="","",VLOOKUP(D85,'Phase Codes'!$A$3:$N$187,8))</f>
        <v/>
      </c>
      <c r="D85" s="170" t="str">
        <f>IF('Base Bid'!G26="","","35-030-107")</f>
        <v/>
      </c>
      <c r="E85" s="170" t="str">
        <f>IF(D85="","",VLOOKUP(D85,'Phase Codes'!$A$9:$C$187,3))</f>
        <v/>
      </c>
      <c r="F85" s="170" t="str">
        <f>IF(D85="","",IF('Base Bid'!J26&gt;0,'Base Bid'!J26,VLOOKUP(D85,'Phase Codes'!$A$9:$G$187,5)))</f>
        <v/>
      </c>
      <c r="G85" s="170" t="str">
        <f>IF(D85="","",IF('Base Bid'!K26&gt;0,'Base Bid'!K26,VLOOKUP(D85,'Phase Codes'!$A$9:$G$187,6)))</f>
        <v/>
      </c>
      <c r="H85" s="170">
        <f>'Base Bid'!N26</f>
        <v>0</v>
      </c>
      <c r="I85" s="282">
        <f>'Base Bid'!N26*'Base Bid'!I26</f>
        <v>0</v>
      </c>
    </row>
    <row r="86" spans="1:9" x14ac:dyDescent="0.15">
      <c r="A86" s="170" t="str">
        <f>IF(D86="","",VLOOKUP(D86,'Phase Codes'!$A$3:$N$187,7))</f>
        <v/>
      </c>
      <c r="C86" s="170" t="str">
        <f>IF(D86="","",VLOOKUP(D86,'Phase Codes'!$A$3:$N$187,8))</f>
        <v/>
      </c>
      <c r="D86" s="170" t="str">
        <f>IF('Base Bid'!G27="","","35-030-108")</f>
        <v/>
      </c>
      <c r="E86" s="170" t="str">
        <f>IF(D86="","",VLOOKUP(D86,'Phase Codes'!$A$9:$C$187,3))</f>
        <v/>
      </c>
      <c r="F86" s="170" t="str">
        <f>IF(D86="","",IF('Base Bid'!J27&gt;0,'Base Bid'!J27,VLOOKUP(D86,'Phase Codes'!$A$9:$G$187,5)))</f>
        <v/>
      </c>
      <c r="G86" s="170" t="str">
        <f>IF(D86="","",IF('Base Bid'!K27&gt;0,'Base Bid'!K27,VLOOKUP(D86,'Phase Codes'!$A$9:$G$187,6)))</f>
        <v/>
      </c>
      <c r="H86" s="170">
        <f>'Base Bid'!N27</f>
        <v>0</v>
      </c>
      <c r="I86" s="282">
        <f>'Base Bid'!N27*'Base Bid'!I27</f>
        <v>0</v>
      </c>
    </row>
    <row r="87" spans="1:9" x14ac:dyDescent="0.15">
      <c r="A87" s="170" t="str">
        <f>IF(D87="","",VLOOKUP(D87,'Phase Codes'!$A$3:$N$187,7))</f>
        <v/>
      </c>
      <c r="C87" s="170" t="str">
        <f>IF(D87="","",VLOOKUP(D87,'Phase Codes'!$A$3:$N$187,8))</f>
        <v/>
      </c>
      <c r="D87" s="170" t="str">
        <f>IF('Base Bid'!G28="","","35-030-109")</f>
        <v/>
      </c>
      <c r="E87" s="170" t="str">
        <f>IF(D87="","",VLOOKUP(D87,'Phase Codes'!$A$9:$C$187,3))</f>
        <v/>
      </c>
      <c r="F87" s="170" t="str">
        <f>IF(D87="","",IF('Base Bid'!J28&gt;0,'Base Bid'!J28,VLOOKUP(D87,'Phase Codes'!$A$9:$G$187,5)))</f>
        <v/>
      </c>
      <c r="G87" s="170" t="str">
        <f>IF(D87="","",IF('Base Bid'!K28&gt;0,'Base Bid'!K28,VLOOKUP(D87,'Phase Codes'!$A$9:$G$187,6)))</f>
        <v/>
      </c>
      <c r="H87" s="170">
        <f>'Base Bid'!N28</f>
        <v>0</v>
      </c>
      <c r="I87" s="282">
        <f>'Base Bid'!N28*'Base Bid'!I28</f>
        <v>0</v>
      </c>
    </row>
    <row r="88" spans="1:9" x14ac:dyDescent="0.15">
      <c r="A88" s="170" t="str">
        <f>IF(D88="","",VLOOKUP(D88,'Phase Codes'!$A$3:$N$187,7))</f>
        <v/>
      </c>
      <c r="C88" s="170" t="str">
        <f>IF(D88="","",VLOOKUP(D88,'Phase Codes'!$A$3:$N$187,8))</f>
        <v/>
      </c>
      <c r="D88" s="170" t="str">
        <f>IF('Base Bid'!G29="","","35-030-110")</f>
        <v/>
      </c>
      <c r="E88" s="170" t="str">
        <f>IF(D88="","",VLOOKUP(D88,'Phase Codes'!$A$9:$C$187,3))</f>
        <v/>
      </c>
      <c r="F88" s="170" t="str">
        <f>IF(D88="","",IF('Base Bid'!J29&gt;0,'Base Bid'!J29,VLOOKUP(D88,'Phase Codes'!$A$9:$G$187,5)))</f>
        <v/>
      </c>
      <c r="G88" s="170" t="str">
        <f>IF(D88="","",IF('Base Bid'!K29&gt;0,'Base Bid'!K29,VLOOKUP(D88,'Phase Codes'!$A$9:$G$187,6)))</f>
        <v/>
      </c>
      <c r="H88" s="170">
        <f>'Base Bid'!N29</f>
        <v>0</v>
      </c>
      <c r="I88" s="282">
        <f>'Base Bid'!N29*'Base Bid'!I29</f>
        <v>0</v>
      </c>
    </row>
    <row r="89" spans="1:9" x14ac:dyDescent="0.15">
      <c r="A89" s="170" t="str">
        <f>IF(D89="","",VLOOKUP(D89,'Phase Codes'!$A$3:$N$187,7))</f>
        <v/>
      </c>
      <c r="C89" s="170" t="str">
        <f>IF(D89="","",VLOOKUP(D89,'Phase Codes'!$A$3:$N$187,8))</f>
        <v/>
      </c>
      <c r="D89" s="170" t="str">
        <f>IF('Base Bid'!G30="","","35-030-111")</f>
        <v/>
      </c>
      <c r="E89" s="170" t="str">
        <f>IF(D89="","",VLOOKUP(D89,'Phase Codes'!$A$9:$C$187,3))</f>
        <v/>
      </c>
      <c r="F89" s="170" t="str">
        <f>IF(D89="","",IF('Base Bid'!J30&gt;0,'Base Bid'!J30,VLOOKUP(D89,'Phase Codes'!$A$9:$G$187,5)))</f>
        <v/>
      </c>
      <c r="G89" s="170" t="str">
        <f>IF(D89="","",IF('Base Bid'!K30&gt;0,'Base Bid'!K30,VLOOKUP(D89,'Phase Codes'!$A$9:$G$187,6)))</f>
        <v/>
      </c>
      <c r="H89" s="170">
        <f>'Base Bid'!N30</f>
        <v>0</v>
      </c>
      <c r="I89" s="282">
        <f>'Base Bid'!N30*'Base Bid'!I30</f>
        <v>0</v>
      </c>
    </row>
    <row r="90" spans="1:9" x14ac:dyDescent="0.15">
      <c r="A90" s="170" t="str">
        <f>IF(D90="","",VLOOKUP(D90,'Phase Codes'!$A$3:$N$187,7))</f>
        <v/>
      </c>
      <c r="C90" s="170" t="str">
        <f>IF(D90="","",VLOOKUP(D90,'Phase Codes'!$A$3:$N$187,8))</f>
        <v/>
      </c>
      <c r="D90" s="170" t="str">
        <f>IF('Base Bid'!G31="","","35-030-112")</f>
        <v/>
      </c>
      <c r="E90" s="170" t="str">
        <f>IF(D90="","",VLOOKUP(D90,'Phase Codes'!$A$9:$C$187,3))</f>
        <v/>
      </c>
      <c r="F90" s="170" t="str">
        <f>IF(D90="","",IF('Base Bid'!J31&gt;0,'Base Bid'!J31,VLOOKUP(D90,'Phase Codes'!$A$9:$G$187,5)))</f>
        <v/>
      </c>
      <c r="G90" s="170" t="str">
        <f>IF(D90="","",IF('Base Bid'!K31&gt;0,'Base Bid'!K31,VLOOKUP(D90,'Phase Codes'!$A$9:$G$187,6)))</f>
        <v/>
      </c>
      <c r="H90" s="170">
        <f>'Base Bid'!N31</f>
        <v>0</v>
      </c>
      <c r="I90" s="282">
        <f>'Base Bid'!N31*'Base Bid'!I31</f>
        <v>0</v>
      </c>
    </row>
    <row r="91" spans="1:9" x14ac:dyDescent="0.15">
      <c r="A91" s="170" t="str">
        <f>IF(D91="","",VLOOKUP(D91,'Phase Codes'!$A$3:$N$187,7))</f>
        <v/>
      </c>
      <c r="C91" s="170" t="str">
        <f>IF(D91="","",VLOOKUP(D91,'Phase Codes'!$A$3:$N$187,8))</f>
        <v/>
      </c>
      <c r="D91" s="170" t="str">
        <f>IF('Base Bid'!G32="","","35-030-113")</f>
        <v/>
      </c>
      <c r="E91" s="170" t="str">
        <f>IF(D91="","",VLOOKUP(D91,'Phase Codes'!$A$9:$C$187,3))</f>
        <v/>
      </c>
      <c r="F91" s="170" t="str">
        <f>IF(D91="","",IF('Base Bid'!J32&gt;0,'Base Bid'!J32,VLOOKUP(D91,'Phase Codes'!$A$9:$G$187,5)))</f>
        <v/>
      </c>
      <c r="G91" s="170" t="str">
        <f>IF(D91="","",IF('Base Bid'!K32&gt;0,'Base Bid'!K32,VLOOKUP(D91,'Phase Codes'!$A$9:$G$187,6)))</f>
        <v/>
      </c>
      <c r="H91" s="170">
        <f>'Base Bid'!N32</f>
        <v>0</v>
      </c>
      <c r="I91" s="282">
        <f>'Base Bid'!N32*'Base Bid'!I32</f>
        <v>0</v>
      </c>
    </row>
    <row r="92" spans="1:9" x14ac:dyDescent="0.15">
      <c r="A92" s="170" t="str">
        <f>IF(D92="","",VLOOKUP(D92,'Phase Codes'!$A$3:$N$187,7))</f>
        <v/>
      </c>
      <c r="C92" s="170" t="str">
        <f>IF(D92="","",VLOOKUP(D92,'Phase Codes'!$A$3:$N$187,8))</f>
        <v/>
      </c>
      <c r="D92" s="170" t="str">
        <f>IF('Base Bid'!G33="","","35-030-114")</f>
        <v/>
      </c>
      <c r="E92" s="170" t="str">
        <f>IF(D92="","",VLOOKUP(D92,'Phase Codes'!$A$9:$C$187,3))</f>
        <v/>
      </c>
      <c r="F92" s="170" t="str">
        <f>IF(D92="","",IF('Base Bid'!J33&gt;0,'Base Bid'!J33,VLOOKUP(D92,'Phase Codes'!$A$9:$G$187,5)))</f>
        <v/>
      </c>
      <c r="G92" s="170" t="str">
        <f>IF(D92="","",IF('Base Bid'!K33&gt;0,'Base Bid'!K33,VLOOKUP(D92,'Phase Codes'!$A$9:$G$187,6)))</f>
        <v/>
      </c>
      <c r="H92" s="170">
        <f>'Base Bid'!N33</f>
        <v>0</v>
      </c>
      <c r="I92" s="282">
        <f>'Base Bid'!N33*'Base Bid'!I33</f>
        <v>0</v>
      </c>
    </row>
    <row r="93" spans="1:9" x14ac:dyDescent="0.15">
      <c r="A93" s="170" t="str">
        <f>IF(D93="","",VLOOKUP(D93,'Phase Codes'!$A$3:$N$187,7))</f>
        <v/>
      </c>
      <c r="C93" s="170" t="str">
        <f>IF(D93="","",VLOOKUP(D93,'Phase Codes'!$A$3:$N$187,8))</f>
        <v/>
      </c>
      <c r="D93" s="170" t="str">
        <f>IF('Base Bid'!G34="","","35-030-115")</f>
        <v/>
      </c>
      <c r="E93" s="170" t="str">
        <f>IF(D93="","",VLOOKUP(D93,'Phase Codes'!$A$9:$C$187,3))</f>
        <v/>
      </c>
      <c r="F93" s="170" t="str">
        <f>IF(D93="","",IF('Base Bid'!J34&gt;0,'Base Bid'!J34,VLOOKUP(D93,'Phase Codes'!$A$9:$G$187,5)))</f>
        <v/>
      </c>
      <c r="G93" s="170" t="str">
        <f>IF(D93="","",IF('Base Bid'!K34&gt;0,'Base Bid'!K34,VLOOKUP(D93,'Phase Codes'!$A$9:$G$187,6)))</f>
        <v/>
      </c>
      <c r="H93" s="170">
        <f>'Base Bid'!N34</f>
        <v>0</v>
      </c>
      <c r="I93" s="282">
        <f>'Base Bid'!N34*'Base Bid'!I34</f>
        <v>0</v>
      </c>
    </row>
    <row r="94" spans="1:9" x14ac:dyDescent="0.15">
      <c r="A94" s="170" t="str">
        <f>IF(D94="","",VLOOKUP(D94,'Phase Codes'!$A$3:$N$187,7))</f>
        <v/>
      </c>
      <c r="C94" s="170" t="str">
        <f>IF(D94="","",VLOOKUP(D94,'Phase Codes'!$A$3:$N$187,8))</f>
        <v/>
      </c>
      <c r="D94" s="170" t="str">
        <f>IF('Base Bid'!G35="","","35-030-116")</f>
        <v/>
      </c>
      <c r="E94" s="170" t="str">
        <f>IF(D94="","",VLOOKUP(D94,'Phase Codes'!$A$9:$C$187,3))</f>
        <v/>
      </c>
      <c r="F94" s="170" t="str">
        <f>IF(D94="","",IF('Base Bid'!J35&gt;0,'Base Bid'!J35,VLOOKUP(D94,'Phase Codes'!$A$9:$G$187,5)))</f>
        <v/>
      </c>
      <c r="G94" s="170" t="str">
        <f>IF(D94="","",IF('Base Bid'!K35&gt;0,'Base Bid'!K35,VLOOKUP(D94,'Phase Codes'!$A$9:$G$187,6)))</f>
        <v/>
      </c>
      <c r="H94" s="170">
        <f>'Base Bid'!N35</f>
        <v>0</v>
      </c>
      <c r="I94" s="282">
        <f>'Base Bid'!N35*'Base Bid'!I35</f>
        <v>0</v>
      </c>
    </row>
    <row r="95" spans="1:9" x14ac:dyDescent="0.15">
      <c r="A95" s="170" t="str">
        <f>IF(D95="","",VLOOKUP(D95,'Phase Codes'!$A$3:$N$187,7))</f>
        <v/>
      </c>
      <c r="C95" s="170" t="str">
        <f>IF(D95="","",VLOOKUP(D95,'Phase Codes'!$A$3:$N$187,8))</f>
        <v/>
      </c>
      <c r="D95" s="170" t="str">
        <f>IF('Base Bid'!G36="","","35-030-117")</f>
        <v/>
      </c>
      <c r="E95" s="170" t="str">
        <f>IF(D95="","",VLOOKUP(D95,'Phase Codes'!$A$9:$C$187,3))</f>
        <v/>
      </c>
      <c r="F95" s="170" t="str">
        <f>IF(D95="","",IF('Base Bid'!J36&gt;0,'Base Bid'!J36,VLOOKUP(D95,'Phase Codes'!$A$9:$G$187,5)))</f>
        <v/>
      </c>
      <c r="G95" s="170" t="str">
        <f>IF(D95="","",IF('Base Bid'!K36&gt;0,'Base Bid'!K36,VLOOKUP(D95,'Phase Codes'!$A$9:$G$187,6)))</f>
        <v/>
      </c>
      <c r="H95" s="170">
        <f>'Base Bid'!N36</f>
        <v>0</v>
      </c>
      <c r="I95" s="282">
        <f>'Base Bid'!N36*'Base Bid'!I36</f>
        <v>0</v>
      </c>
    </row>
    <row r="96" spans="1:9" x14ac:dyDescent="0.15">
      <c r="A96" s="170" t="str">
        <f>IF(D96="","",VLOOKUP(D96,'Phase Codes'!$A$3:$N$187,7))</f>
        <v/>
      </c>
      <c r="C96" s="170" t="str">
        <f>IF(D96="","",VLOOKUP(D96,'Phase Codes'!$A$3:$N$187,8))</f>
        <v/>
      </c>
      <c r="D96" s="170" t="str">
        <f>IF('Base Bid'!G37="","","35-030-118")</f>
        <v/>
      </c>
      <c r="E96" s="170" t="str">
        <f>IF(D96="","",VLOOKUP(D96,'Phase Codes'!$A$9:$C$187,3))</f>
        <v/>
      </c>
      <c r="F96" s="170" t="str">
        <f>IF(D96="","",IF('Base Bid'!J37&gt;0,'Base Bid'!J37,VLOOKUP(D96,'Phase Codes'!$A$9:$G$187,5)))</f>
        <v/>
      </c>
      <c r="G96" s="170" t="str">
        <f>IF(D96="","",IF('Base Bid'!K37&gt;0,'Base Bid'!K37,VLOOKUP(D96,'Phase Codes'!$A$9:$G$187,6)))</f>
        <v/>
      </c>
      <c r="H96" s="170">
        <f>'Base Bid'!N37</f>
        <v>0</v>
      </c>
      <c r="I96" s="282">
        <f>'Base Bid'!N37*'Base Bid'!I37</f>
        <v>0</v>
      </c>
    </row>
    <row r="97" spans="1:9" x14ac:dyDescent="0.15">
      <c r="A97" s="170" t="str">
        <f>IF(D97="","",VLOOKUP(D97,'Phase Codes'!$A$3:$N$187,7))</f>
        <v/>
      </c>
      <c r="C97" s="170" t="str">
        <f>IF(D97="","",VLOOKUP(D97,'Phase Codes'!$A$3:$N$187,8))</f>
        <v/>
      </c>
      <c r="D97" s="170" t="str">
        <f>IF('Base Bid'!G38="","","35-030-119")</f>
        <v/>
      </c>
      <c r="E97" s="170" t="str">
        <f>IF(D97="","",VLOOKUP(D97,'Phase Codes'!$A$9:$C$187,3))</f>
        <v/>
      </c>
      <c r="F97" s="170" t="str">
        <f>IF(D97="","",IF('Base Bid'!J38&gt;0,'Base Bid'!J38,VLOOKUP(D97,'Phase Codes'!$A$9:$G$187,5)))</f>
        <v/>
      </c>
      <c r="G97" s="170" t="str">
        <f>IF(D97="","",IF('Base Bid'!K38&gt;0,'Base Bid'!K38,VLOOKUP(D97,'Phase Codes'!$A$9:$G$187,6)))</f>
        <v/>
      </c>
      <c r="H97" s="170">
        <f>'Base Bid'!N38</f>
        <v>0</v>
      </c>
      <c r="I97" s="282">
        <f>'Base Bid'!N38*'Base Bid'!I38</f>
        <v>0</v>
      </c>
    </row>
    <row r="98" spans="1:9" x14ac:dyDescent="0.15">
      <c r="A98" s="170" t="str">
        <f>IF(D98="","",VLOOKUP(D98,'Phase Codes'!$A$3:$N$187,7))</f>
        <v/>
      </c>
      <c r="C98" s="170" t="str">
        <f>IF(D98="","",VLOOKUP(D98,'Phase Codes'!$A$3:$N$187,8))</f>
        <v/>
      </c>
      <c r="D98" s="170" t="str">
        <f>IF('Base Bid'!G39="","","35-030-120")</f>
        <v/>
      </c>
      <c r="E98" s="170" t="str">
        <f>IF(D98="","",VLOOKUP(D98,'Phase Codes'!$A$9:$C$187,3))</f>
        <v/>
      </c>
      <c r="F98" s="170" t="str">
        <f>IF(D98="","",IF('Base Bid'!J39&gt;0,'Base Bid'!J39,VLOOKUP(D98,'Phase Codes'!$A$9:$G$187,5)))</f>
        <v/>
      </c>
      <c r="G98" s="170" t="str">
        <f>IF(D98="","",IF('Base Bid'!K39&gt;0,'Base Bid'!K39,VLOOKUP(D98,'Phase Codes'!$A$9:$G$187,6)))</f>
        <v/>
      </c>
      <c r="H98" s="170">
        <f>'Base Bid'!N39</f>
        <v>0</v>
      </c>
      <c r="I98" s="282">
        <f>'Base Bid'!N39*'Base Bid'!I39</f>
        <v>0</v>
      </c>
    </row>
    <row r="99" spans="1:9" x14ac:dyDescent="0.15">
      <c r="A99" s="170" t="str">
        <f>IF(D99="","",VLOOKUP(D99,'Phase Codes'!$A$3:$N$187,7))</f>
        <v/>
      </c>
      <c r="C99" s="170" t="str">
        <f>IF(D99="","",VLOOKUP(D99,'Phase Codes'!$A$3:$N$187,8))</f>
        <v/>
      </c>
      <c r="D99" s="170" t="str">
        <f>IF('Base Bid'!G40="","","35-030-121")</f>
        <v/>
      </c>
      <c r="E99" s="170" t="str">
        <f>IF(D99="","",VLOOKUP(D99,'Phase Codes'!$A$9:$C$187,3))</f>
        <v/>
      </c>
      <c r="F99" s="170" t="str">
        <f>IF(D99="","",IF('Base Bid'!J40&gt;0,'Base Bid'!J40,VLOOKUP(D99,'Phase Codes'!$A$9:$G$187,5)))</f>
        <v/>
      </c>
      <c r="G99" s="170" t="str">
        <f>IF(D99="","",IF('Base Bid'!K40&gt;0,'Base Bid'!K40,VLOOKUP(D99,'Phase Codes'!$A$9:$G$187,6)))</f>
        <v/>
      </c>
      <c r="H99" s="170">
        <f>'Base Bid'!N40</f>
        <v>0</v>
      </c>
      <c r="I99" s="282">
        <f>'Base Bid'!N40*'Base Bid'!I40</f>
        <v>0</v>
      </c>
    </row>
    <row r="100" spans="1:9" x14ac:dyDescent="0.15">
      <c r="A100" s="170" t="str">
        <f>IF(D100="","",VLOOKUP(D100,'Phase Codes'!$A$3:$N$187,7))</f>
        <v/>
      </c>
      <c r="C100" s="170" t="str">
        <f>IF(D100="","",VLOOKUP(D100,'Phase Codes'!$A$3:$N$187,8))</f>
        <v/>
      </c>
      <c r="D100" s="170" t="str">
        <f>IF('Base Bid'!G41="","","35-030-122")</f>
        <v/>
      </c>
      <c r="E100" s="170" t="str">
        <f>IF(D100="","",VLOOKUP(D100,'Phase Codes'!$A$9:$C$187,3))</f>
        <v/>
      </c>
      <c r="F100" s="170" t="str">
        <f>IF(D100="","",IF('Base Bid'!J41&gt;0,'Base Bid'!J41,VLOOKUP(D100,'Phase Codes'!$A$9:$G$187,5)))</f>
        <v/>
      </c>
      <c r="G100" s="170" t="str">
        <f>IF(D100="","",IF('Base Bid'!K41&gt;0,'Base Bid'!K41,VLOOKUP(D100,'Phase Codes'!$A$9:$G$187,6)))</f>
        <v/>
      </c>
      <c r="H100" s="170">
        <f>'Base Bid'!N41</f>
        <v>0</v>
      </c>
      <c r="I100" s="282">
        <f>'Base Bid'!N41*'Base Bid'!I41</f>
        <v>0</v>
      </c>
    </row>
    <row r="101" spans="1:9" x14ac:dyDescent="0.15">
      <c r="A101" s="170" t="str">
        <f>IF(D101="","",VLOOKUP(D101,'Phase Codes'!$A$3:$N$187,7))</f>
        <v/>
      </c>
      <c r="C101" s="170" t="str">
        <f>IF(D101="","",VLOOKUP(D101,'Phase Codes'!$A$3:$N$187,8))</f>
        <v/>
      </c>
      <c r="D101" s="170" t="str">
        <f>IF('Base Bid'!G42="","","35-030-123")</f>
        <v/>
      </c>
      <c r="E101" s="170" t="str">
        <f>IF(D101="","",VLOOKUP(D101,'Phase Codes'!$A$9:$C$187,3))</f>
        <v/>
      </c>
      <c r="F101" s="170" t="str">
        <f>IF(D101="","",IF('Base Bid'!J42&gt;0,'Base Bid'!J42,VLOOKUP(D101,'Phase Codes'!$A$9:$G$187,5)))</f>
        <v/>
      </c>
      <c r="G101" s="170" t="str">
        <f>IF(D101="","",IF('Base Bid'!K42&gt;0,'Base Bid'!K42,VLOOKUP(D101,'Phase Codes'!$A$9:$G$187,6)))</f>
        <v/>
      </c>
      <c r="H101" s="170">
        <f>'Base Bid'!N42</f>
        <v>0</v>
      </c>
      <c r="I101" s="282">
        <f>'Base Bid'!N42*'Base Bid'!I42</f>
        <v>0</v>
      </c>
    </row>
    <row r="102" spans="1:9" x14ac:dyDescent="0.15">
      <c r="A102" s="170" t="str">
        <f>IF(D102="","",VLOOKUP(D102,'Phase Codes'!$A$3:$N$187,7))</f>
        <v/>
      </c>
      <c r="C102" s="170" t="str">
        <f>IF(D102="","",VLOOKUP(D102,'Phase Codes'!$A$3:$N$187,8))</f>
        <v/>
      </c>
      <c r="D102" s="170" t="str">
        <f>IF('Base Bid'!G43="","","35-030-124")</f>
        <v/>
      </c>
      <c r="E102" s="170" t="str">
        <f>IF(D102="","",VLOOKUP(D102,'Phase Codes'!$A$9:$C$187,3))</f>
        <v/>
      </c>
      <c r="F102" s="170" t="str">
        <f>IF(D102="","",IF('Base Bid'!J43&gt;0,'Base Bid'!J43,VLOOKUP(D102,'Phase Codes'!$A$9:$G$187,5)))</f>
        <v/>
      </c>
      <c r="G102" s="170" t="str">
        <f>IF(D102="","",IF('Base Bid'!K43&gt;0,'Base Bid'!K43,VLOOKUP(D102,'Phase Codes'!$A$9:$G$187,6)))</f>
        <v/>
      </c>
      <c r="H102" s="170">
        <f>'Base Bid'!N43</f>
        <v>0</v>
      </c>
      <c r="I102" s="282">
        <f>'Base Bid'!N43*'Base Bid'!I43</f>
        <v>0</v>
      </c>
    </row>
    <row r="103" spans="1:9" x14ac:dyDescent="0.15">
      <c r="A103" s="170" t="str">
        <f>IF(D103="","",VLOOKUP(D103,'Phase Codes'!$A$3:$N$187,7))</f>
        <v/>
      </c>
      <c r="C103" s="170" t="str">
        <f>IF(D103="","",VLOOKUP(D103,'Phase Codes'!$A$3:$N$187,8))</f>
        <v/>
      </c>
      <c r="D103" s="170" t="str">
        <f>IF('Base Bid'!G44="","","35-030-125")</f>
        <v/>
      </c>
      <c r="E103" s="170" t="str">
        <f>IF(D103="","",VLOOKUP(D103,'Phase Codes'!$A$9:$C$187,3))</f>
        <v/>
      </c>
      <c r="F103" s="170" t="str">
        <f>IF(D103="","",IF('Base Bid'!J44&gt;0,'Base Bid'!J44,VLOOKUP(D103,'Phase Codes'!$A$9:$G$187,5)))</f>
        <v/>
      </c>
      <c r="G103" s="170" t="str">
        <f>IF(D103="","",IF('Base Bid'!K44&gt;0,'Base Bid'!K44,VLOOKUP(D103,'Phase Codes'!$A$9:$G$187,6)))</f>
        <v/>
      </c>
      <c r="H103" s="170">
        <f>'Base Bid'!N44</f>
        <v>0</v>
      </c>
      <c r="I103" s="282">
        <f>'Base Bid'!N44*'Base Bid'!I44</f>
        <v>0</v>
      </c>
    </row>
    <row r="104" spans="1:9" x14ac:dyDescent="0.15">
      <c r="A104" s="170" t="str">
        <f>IF(D104="","",VLOOKUP(D104,'Phase Codes'!$A$3:$N$187,7))</f>
        <v/>
      </c>
      <c r="C104" s="170" t="str">
        <f>IF(D104="","",VLOOKUP(D104,'Phase Codes'!$A$3:$N$187,8))</f>
        <v/>
      </c>
      <c r="D104" s="170" t="str">
        <f>IF('Base Bid'!G45="","","35-030-126")</f>
        <v/>
      </c>
      <c r="E104" s="170" t="str">
        <f>IF(D104="","",VLOOKUP(D104,'Phase Codes'!$A$9:$C$187,3))</f>
        <v/>
      </c>
      <c r="F104" s="170" t="str">
        <f>IF(D104="","",IF('Base Bid'!J45&gt;0,'Base Bid'!J45,VLOOKUP(D104,'Phase Codes'!$A$9:$G$187,5)))</f>
        <v/>
      </c>
      <c r="G104" s="170" t="str">
        <f>IF(D104="","",IF('Base Bid'!K45&gt;0,'Base Bid'!K45,VLOOKUP(D104,'Phase Codes'!$A$9:$G$187,6)))</f>
        <v/>
      </c>
      <c r="H104" s="170">
        <f>'Base Bid'!N45</f>
        <v>0</v>
      </c>
      <c r="I104" s="282">
        <f>'Base Bid'!N45*'Base Bid'!I45</f>
        <v>0</v>
      </c>
    </row>
    <row r="105" spans="1:9" x14ac:dyDescent="0.15">
      <c r="A105" s="170" t="str">
        <f>IF(D105="","",VLOOKUP(D105,'Phase Codes'!$A$3:$N$187,7))</f>
        <v/>
      </c>
      <c r="C105" s="170" t="str">
        <f>IF(D105="","",VLOOKUP(D105,'Phase Codes'!$A$3:$N$187,8))</f>
        <v/>
      </c>
      <c r="D105" s="170" t="str">
        <f>IF('Base Bid'!G46="","","35-030-127")</f>
        <v/>
      </c>
      <c r="E105" s="170" t="str">
        <f>IF(D105="","",VLOOKUP(D105,'Phase Codes'!$A$9:$C$187,3))</f>
        <v/>
      </c>
      <c r="F105" s="170" t="str">
        <f>IF(D105="","",IF('Base Bid'!J46&gt;0,'Base Bid'!J46,VLOOKUP(D105,'Phase Codes'!$A$9:$G$187,5)))</f>
        <v/>
      </c>
      <c r="G105" s="170" t="str">
        <f>IF(D105="","",IF('Base Bid'!K46&gt;0,'Base Bid'!K46,VLOOKUP(D105,'Phase Codes'!$A$9:$G$187,6)))</f>
        <v/>
      </c>
      <c r="H105" s="170">
        <f>'Base Bid'!N46</f>
        <v>0</v>
      </c>
      <c r="I105" s="282">
        <f>'Base Bid'!N46*'Base Bid'!I46</f>
        <v>0</v>
      </c>
    </row>
    <row r="106" spans="1:9" x14ac:dyDescent="0.15">
      <c r="A106" s="170" t="str">
        <f>IF(D106="","",VLOOKUP(D106,'Phase Codes'!$A$3:$N$187,7))</f>
        <v/>
      </c>
      <c r="C106" s="170" t="str">
        <f>IF(D106="","",VLOOKUP(D106,'Phase Codes'!$A$3:$N$187,8))</f>
        <v/>
      </c>
      <c r="D106" s="170" t="str">
        <f>IF('Base Bid'!G47="","","35-030-128")</f>
        <v/>
      </c>
      <c r="E106" s="170" t="str">
        <f>IF(D106="","",VLOOKUP(D106,'Phase Codes'!$A$9:$C$187,3))</f>
        <v/>
      </c>
      <c r="F106" s="170" t="str">
        <f>IF(D106="","",IF('Base Bid'!J47&gt;0,'Base Bid'!J47,VLOOKUP(D106,'Phase Codes'!$A$9:$G$187,5)))</f>
        <v/>
      </c>
      <c r="G106" s="170" t="str">
        <f>IF(D106="","",IF('Base Bid'!K47&gt;0,'Base Bid'!K47,VLOOKUP(D106,'Phase Codes'!$A$9:$G$187,6)))</f>
        <v/>
      </c>
      <c r="H106" s="170">
        <f>'Base Bid'!N47</f>
        <v>0</v>
      </c>
      <c r="I106" s="282">
        <f>'Base Bid'!N47*'Base Bid'!I47</f>
        <v>0</v>
      </c>
    </row>
    <row r="107" spans="1:9" x14ac:dyDescent="0.15">
      <c r="A107" s="170" t="str">
        <f>IF(D107="","",VLOOKUP(D107,'Phase Codes'!$A$3:$N$187,7))</f>
        <v/>
      </c>
      <c r="C107" s="170" t="str">
        <f>IF(D107="","",VLOOKUP(D107,'Phase Codes'!$A$3:$N$187,8))</f>
        <v/>
      </c>
      <c r="D107" s="170" t="str">
        <f>IF('Base Bid'!G48="","","35-030-129")</f>
        <v/>
      </c>
      <c r="E107" s="170" t="str">
        <f>IF(D107="","",VLOOKUP(D107,'Phase Codes'!$A$9:$C$187,3))</f>
        <v/>
      </c>
      <c r="F107" s="170" t="str">
        <f>IF(D107="","",IF('Base Bid'!J48&gt;0,'Base Bid'!J48,VLOOKUP(D107,'Phase Codes'!$A$9:$G$187,5)))</f>
        <v/>
      </c>
      <c r="G107" s="170" t="str">
        <f>IF(D107="","",IF('Base Bid'!K48&gt;0,'Base Bid'!K48,VLOOKUP(D107,'Phase Codes'!$A$9:$G$187,6)))</f>
        <v/>
      </c>
      <c r="H107" s="170">
        <f>'Base Bid'!N48</f>
        <v>0</v>
      </c>
      <c r="I107" s="282">
        <f>'Base Bid'!N48*'Base Bid'!I48</f>
        <v>0</v>
      </c>
    </row>
    <row r="108" spans="1:9" x14ac:dyDescent="0.15">
      <c r="A108" s="170" t="str">
        <f>IF(D108="","",VLOOKUP(D108,'Phase Codes'!$A$3:$N$187,7))</f>
        <v/>
      </c>
      <c r="C108" s="170" t="str">
        <f>IF(D108="","",VLOOKUP(D108,'Phase Codes'!$A$3:$N$187,8))</f>
        <v/>
      </c>
      <c r="D108" s="170" t="str">
        <f>IF('Base Bid'!G49="","","35-030-130")</f>
        <v/>
      </c>
      <c r="E108" s="170" t="str">
        <f>IF(D108="","",VLOOKUP(D108,'Phase Codes'!$A$9:$C$187,3))</f>
        <v/>
      </c>
      <c r="F108" s="170" t="str">
        <f>IF(D108="","",IF('Base Bid'!J49&gt;0,'Base Bid'!J49,VLOOKUP(D108,'Phase Codes'!$A$9:$G$187,5)))</f>
        <v/>
      </c>
      <c r="G108" s="170" t="str">
        <f>IF(D108="","",IF('Base Bid'!K49&gt;0,'Base Bid'!K49,VLOOKUP(D108,'Phase Codes'!$A$9:$G$187,6)))</f>
        <v/>
      </c>
      <c r="H108" s="170">
        <f>'Base Bid'!N49</f>
        <v>0</v>
      </c>
      <c r="I108" s="282">
        <f>'Base Bid'!N49*'Base Bid'!I49</f>
        <v>0</v>
      </c>
    </row>
    <row r="109" spans="1:9" x14ac:dyDescent="0.15">
      <c r="A109" s="170" t="str">
        <f>IF(D109="","",VLOOKUP(D109,'Phase Codes'!$A$3:$N$187,7))</f>
        <v/>
      </c>
      <c r="C109" s="170" t="str">
        <f>IF(D109="","",VLOOKUP(D109,'Phase Codes'!$A$3:$N$187,8))</f>
        <v/>
      </c>
      <c r="D109" s="170" t="str">
        <f>IF('Base Bid'!G50="","","35-030-131")</f>
        <v/>
      </c>
      <c r="E109" s="170" t="str">
        <f>IF(D109="","",VLOOKUP(D109,'Phase Codes'!$A$9:$C$187,3))</f>
        <v/>
      </c>
      <c r="F109" s="170" t="str">
        <f>IF(D109="","",IF('Base Bid'!J50&gt;0,'Base Bid'!J50,VLOOKUP(D109,'Phase Codes'!$A$9:$G$187,5)))</f>
        <v/>
      </c>
      <c r="G109" s="170" t="str">
        <f>IF(D109="","",IF('Base Bid'!K50&gt;0,'Base Bid'!K50,VLOOKUP(D109,'Phase Codes'!$A$9:$G$187,6)))</f>
        <v/>
      </c>
      <c r="H109" s="170">
        <f>'Base Bid'!N50</f>
        <v>0</v>
      </c>
      <c r="I109" s="282">
        <f>'Base Bid'!N50*'Base Bid'!I50</f>
        <v>0</v>
      </c>
    </row>
    <row r="110" spans="1:9" x14ac:dyDescent="0.15">
      <c r="A110" s="170" t="str">
        <f>IF(D110="","",VLOOKUP(D110,'Phase Codes'!$A$3:$N$187,7))</f>
        <v/>
      </c>
      <c r="C110" s="170" t="str">
        <f>IF(D110="","",VLOOKUP(D110,'Phase Codes'!$A$3:$N$187,8))</f>
        <v/>
      </c>
      <c r="D110" s="170" t="str">
        <f>IF('Base Bid'!G51="","","35-030-132")</f>
        <v/>
      </c>
      <c r="E110" s="170" t="str">
        <f>IF(D110="","",VLOOKUP(D110,'Phase Codes'!$A$9:$C$187,3))</f>
        <v/>
      </c>
      <c r="F110" s="170" t="str">
        <f>IF(D110="","",IF('Base Bid'!J51&gt;0,'Base Bid'!J51,VLOOKUP(D110,'Phase Codes'!$A$9:$G$187,5)))</f>
        <v/>
      </c>
      <c r="G110" s="170" t="str">
        <f>IF(D110="","",IF('Base Bid'!K51&gt;0,'Base Bid'!K51,VLOOKUP(D110,'Phase Codes'!$A$9:$G$187,6)))</f>
        <v/>
      </c>
      <c r="H110" s="170">
        <f>'Base Bid'!N51</f>
        <v>0</v>
      </c>
      <c r="I110" s="282">
        <f>'Base Bid'!N51*'Base Bid'!I51</f>
        <v>0</v>
      </c>
    </row>
    <row r="111" spans="1:9" x14ac:dyDescent="0.15">
      <c r="A111" s="170" t="str">
        <f>IF(D111="","",VLOOKUP(D111,'Phase Codes'!$A$3:$N$187,7))</f>
        <v/>
      </c>
      <c r="C111" s="170" t="str">
        <f>IF(D111="","",VLOOKUP(D111,'Phase Codes'!$A$3:$N$187,8))</f>
        <v/>
      </c>
      <c r="D111" s="170" t="str">
        <f>IF('Base Bid'!G52="","","35-030-133")</f>
        <v/>
      </c>
      <c r="E111" s="170" t="str">
        <f>IF(D111="","",VLOOKUP(D111,'Phase Codes'!$A$9:$C$187,3))</f>
        <v/>
      </c>
      <c r="F111" s="170" t="str">
        <f>IF(D111="","",IF('Base Bid'!J52&gt;0,'Base Bid'!J52,VLOOKUP(D111,'Phase Codes'!$A$9:$G$187,5)))</f>
        <v/>
      </c>
      <c r="G111" s="170" t="str">
        <f>IF(D111="","",IF('Base Bid'!K52&gt;0,'Base Bid'!K52,VLOOKUP(D111,'Phase Codes'!$A$9:$G$187,6)))</f>
        <v/>
      </c>
      <c r="H111" s="170">
        <f>'Base Bid'!N52</f>
        <v>0</v>
      </c>
      <c r="I111" s="282">
        <f>'Base Bid'!N52*'Base Bid'!I52</f>
        <v>0</v>
      </c>
    </row>
    <row r="112" spans="1:9" x14ac:dyDescent="0.15">
      <c r="A112" s="170" t="str">
        <f>IF(D112="","",VLOOKUP(D112,'Phase Codes'!$A$3:$N$187,7))</f>
        <v/>
      </c>
      <c r="C112" s="170" t="str">
        <f>IF(D112="","",VLOOKUP(D112,'Phase Codes'!$A$3:$N$187,8))</f>
        <v/>
      </c>
      <c r="D112" s="170" t="str">
        <f>IF('Base Bid'!G53="","","35-030-134")</f>
        <v/>
      </c>
      <c r="E112" s="170" t="str">
        <f>IF(D112="","",VLOOKUP(D112,'Phase Codes'!$A$9:$C$187,3))</f>
        <v/>
      </c>
      <c r="F112" s="170" t="str">
        <f>IF(D112="","",IF('Base Bid'!J53&gt;0,'Base Bid'!J53,VLOOKUP(D112,'Phase Codes'!$A$9:$G$187,5)))</f>
        <v/>
      </c>
      <c r="G112" s="170" t="str">
        <f>IF(D112="","",IF('Base Bid'!K53&gt;0,'Base Bid'!K53,VLOOKUP(D112,'Phase Codes'!$A$9:$G$187,6)))</f>
        <v/>
      </c>
      <c r="H112" s="170">
        <f>'Base Bid'!N53</f>
        <v>0</v>
      </c>
      <c r="I112" s="282">
        <f>'Base Bid'!N53*'Base Bid'!I53</f>
        <v>0</v>
      </c>
    </row>
    <row r="113" spans="1:12" x14ac:dyDescent="0.15">
      <c r="A113" s="170" t="str">
        <f>IF(D113="","",VLOOKUP(D113,'Phase Codes'!$A$3:$N$187,7))</f>
        <v/>
      </c>
      <c r="C113" s="170" t="str">
        <f>IF(D113="","",VLOOKUP(D113,'Phase Codes'!$A$3:$N$187,8))</f>
        <v/>
      </c>
      <c r="D113" s="170" t="str">
        <f>IF('Base Bid'!G54="","","35-030-135")</f>
        <v/>
      </c>
      <c r="E113" s="170" t="str">
        <f>IF(D113="","",VLOOKUP(D113,'Phase Codes'!$A$9:$C$187,3))</f>
        <v/>
      </c>
      <c r="F113" s="170" t="str">
        <f>IF(D113="","",IF('Base Bid'!J54&gt;0,'Base Bid'!J54,VLOOKUP(D113,'Phase Codes'!$A$9:$G$187,5)))</f>
        <v/>
      </c>
      <c r="G113" s="170" t="str">
        <f>IF(D113="","",IF('Base Bid'!K54&gt;0,'Base Bid'!K54,VLOOKUP(D113,'Phase Codes'!$A$9:$G$187,6)))</f>
        <v/>
      </c>
      <c r="H113" s="170">
        <f>'Base Bid'!N54</f>
        <v>0</v>
      </c>
      <c r="I113" s="282">
        <f>'Base Bid'!N54*'Base Bid'!I54</f>
        <v>0</v>
      </c>
    </row>
    <row r="114" spans="1:12" x14ac:dyDescent="0.15">
      <c r="A114" s="170" t="str">
        <f>IF(D114="","",VLOOKUP(D114,'Phase Codes'!$A$3:$N$187,7))</f>
        <v/>
      </c>
      <c r="C114" s="170" t="str">
        <f>IF(D114="","",VLOOKUP(D114,'Phase Codes'!$A$3:$N$187,8))</f>
        <v/>
      </c>
      <c r="D114" s="170" t="str">
        <f>IF('Base Bid'!G55="","","35-030-136")</f>
        <v/>
      </c>
      <c r="E114" s="170" t="str">
        <f>IF(D114="","",VLOOKUP(D114,'Phase Codes'!$A$9:$C$187,3))</f>
        <v/>
      </c>
      <c r="F114" s="170" t="str">
        <f>IF(D114="","",IF('Base Bid'!J55&gt;0,'Base Bid'!J55,VLOOKUP(D114,'Phase Codes'!$A$9:$G$187,5)))</f>
        <v/>
      </c>
      <c r="G114" s="170" t="str">
        <f>IF(D114="","",IF('Base Bid'!K55&gt;0,'Base Bid'!K55,VLOOKUP(D114,'Phase Codes'!$A$9:$G$187,6)))</f>
        <v/>
      </c>
      <c r="H114" s="170">
        <f>'Base Bid'!N55</f>
        <v>0</v>
      </c>
      <c r="I114" s="282">
        <f>'Base Bid'!N55*'Base Bid'!I55</f>
        <v>0</v>
      </c>
    </row>
    <row r="115" spans="1:12" x14ac:dyDescent="0.15">
      <c r="A115" s="170" t="str">
        <f>IF(D115="","",VLOOKUP(D115,'Phase Codes'!$A$3:$N$187,7))</f>
        <v/>
      </c>
      <c r="C115" s="170" t="str">
        <f>IF(D115="","",VLOOKUP(D115,'Phase Codes'!$A$3:$N$187,8))</f>
        <v/>
      </c>
      <c r="D115" s="170" t="str">
        <f>IF('Base Bid'!G56="","","35-030-137")</f>
        <v/>
      </c>
      <c r="E115" s="170" t="str">
        <f>IF(D115="","",VLOOKUP(D115,'Phase Codes'!$A$9:$C$187,3))</f>
        <v/>
      </c>
      <c r="F115" s="170" t="str">
        <f>IF(D115="","",IF('Base Bid'!J56&gt;0,'Base Bid'!J56,VLOOKUP(D115,'Phase Codes'!$A$9:$G$187,5)))</f>
        <v/>
      </c>
      <c r="G115" s="170" t="str">
        <f>IF(D115="","",IF('Base Bid'!K56&gt;0,'Base Bid'!K56,VLOOKUP(D115,'Phase Codes'!$A$9:$G$187,6)))</f>
        <v/>
      </c>
      <c r="H115" s="170">
        <f>'Base Bid'!N56</f>
        <v>0</v>
      </c>
      <c r="I115" s="282">
        <f>'Base Bid'!N56*'Base Bid'!I56</f>
        <v>0</v>
      </c>
    </row>
    <row r="116" spans="1:12" x14ac:dyDescent="0.15">
      <c r="A116" s="170" t="str">
        <f>IF(D116="","",VLOOKUP(D116,'Phase Codes'!$A$3:$N$187,7))</f>
        <v/>
      </c>
      <c r="C116" s="170" t="str">
        <f>IF(D116="","",VLOOKUP(D116,'Phase Codes'!$A$3:$N$187,8))</f>
        <v/>
      </c>
      <c r="D116" s="170" t="str">
        <f>IF('Base Bid'!G57="","","35-030-138")</f>
        <v/>
      </c>
      <c r="E116" s="170" t="str">
        <f>IF(D116="","",VLOOKUP(D116,'Phase Codes'!$A$9:$C$187,3))</f>
        <v/>
      </c>
      <c r="F116" s="170" t="str">
        <f>IF(D116="","",IF('Base Bid'!J57&gt;0,'Base Bid'!J57,VLOOKUP(D116,'Phase Codes'!$A$9:$G$187,5)))</f>
        <v/>
      </c>
      <c r="G116" s="170" t="str">
        <f>IF(D116="","",IF('Base Bid'!K57&gt;0,'Base Bid'!K57,VLOOKUP(D116,'Phase Codes'!$A$9:$G$187,6)))</f>
        <v/>
      </c>
      <c r="H116" s="170">
        <f>'Base Bid'!N57</f>
        <v>0</v>
      </c>
      <c r="I116" s="282">
        <f>'Base Bid'!N57*'Base Bid'!I57</f>
        <v>0</v>
      </c>
    </row>
    <row r="117" spans="1:12" x14ac:dyDescent="0.15">
      <c r="A117" s="170" t="str">
        <f>IF(D117="","",VLOOKUP(D117,'Phase Codes'!$A$3:$N$187,7))</f>
        <v/>
      </c>
      <c r="C117" s="170" t="str">
        <f>IF(D117="","",VLOOKUP(D117,'Phase Codes'!$A$3:$N$187,8))</f>
        <v/>
      </c>
      <c r="D117" s="170" t="str">
        <f>IF('Base Bid'!G58="","","35-030-139")</f>
        <v/>
      </c>
      <c r="E117" s="170" t="str">
        <f>IF(D117="","",VLOOKUP(D117,'Phase Codes'!$A$9:$C$187,3))</f>
        <v/>
      </c>
      <c r="F117" s="170" t="str">
        <f>IF(D117="","",IF('Base Bid'!J58&gt;0,'Base Bid'!J58,VLOOKUP(D117,'Phase Codes'!$A$9:$G$187,5)))</f>
        <v/>
      </c>
      <c r="G117" s="170" t="str">
        <f>IF(D117="","",IF('Base Bid'!K58&gt;0,'Base Bid'!K58,VLOOKUP(D117,'Phase Codes'!$A$9:$G$187,6)))</f>
        <v/>
      </c>
      <c r="H117" s="170">
        <f>'Base Bid'!N58</f>
        <v>0</v>
      </c>
      <c r="I117" s="282">
        <f>'Base Bid'!N58*'Base Bid'!I58</f>
        <v>0</v>
      </c>
    </row>
    <row r="118" spans="1:12" x14ac:dyDescent="0.15">
      <c r="A118" s="170" t="str">
        <f>IF(D118="","",VLOOKUP(D118,'Phase Codes'!$A$3:$N$187,7))</f>
        <v/>
      </c>
      <c r="C118" s="170" t="str">
        <f>IF(D118="","",VLOOKUP(D118,'Phase Codes'!$A$3:$N$187,8))</f>
        <v/>
      </c>
      <c r="D118" s="170" t="str">
        <f>IF('Base Bid'!G59="","","35-030-140")</f>
        <v/>
      </c>
      <c r="E118" s="170" t="str">
        <f>IF(D118="","",VLOOKUP(D118,'Phase Codes'!$A$9:$C$187,3))</f>
        <v/>
      </c>
      <c r="F118" s="170" t="str">
        <f>IF(D118="","",IF('Base Bid'!J59&gt;0,'Base Bid'!J59,VLOOKUP(D118,'Phase Codes'!$A$9:$G$187,5)))</f>
        <v/>
      </c>
      <c r="G118" s="170" t="str">
        <f>IF(D118="","",IF('Base Bid'!K59&gt;0,'Base Bid'!K59,VLOOKUP(D118,'Phase Codes'!$A$9:$G$187,6)))</f>
        <v/>
      </c>
      <c r="H118" s="170">
        <f>'Base Bid'!N59</f>
        <v>0</v>
      </c>
      <c r="I118" s="282">
        <f>'Base Bid'!N59*'Base Bid'!I59</f>
        <v>0</v>
      </c>
    </row>
    <row r="119" spans="1:12" x14ac:dyDescent="0.15">
      <c r="A119" s="170" t="str">
        <f>IF(D119="","",VLOOKUP(D119,'Phase Codes'!$A$3:$N$187,7))</f>
        <v/>
      </c>
      <c r="C119" s="170" t="str">
        <f>IF(D119="","",VLOOKUP(D119,'Phase Codes'!$A$3:$N$187,8))</f>
        <v/>
      </c>
      <c r="D119" s="170" t="str">
        <f>IF('Base Bid'!G60="","","35-030-141")</f>
        <v/>
      </c>
      <c r="E119" s="170" t="str">
        <f>IF(D119="","",VLOOKUP(D119,'Phase Codes'!$A$9:$C$187,3))</f>
        <v/>
      </c>
      <c r="F119" s="170" t="str">
        <f>IF(D119="","",IF('Base Bid'!J60&gt;0,'Base Bid'!J60,VLOOKUP(D119,'Phase Codes'!$A$9:$G$187,5)))</f>
        <v/>
      </c>
      <c r="G119" s="170" t="str">
        <f>IF(D119="","",IF('Base Bid'!K60&gt;0,'Base Bid'!K60,VLOOKUP(D119,'Phase Codes'!$A$9:$G$187,6)))</f>
        <v/>
      </c>
      <c r="H119" s="170">
        <f>'Base Bid'!N60</f>
        <v>0</v>
      </c>
      <c r="I119" s="282">
        <f>'Base Bid'!N60*'Base Bid'!I60</f>
        <v>0</v>
      </c>
    </row>
    <row r="120" spans="1:12" x14ac:dyDescent="0.15">
      <c r="A120" s="170" t="str">
        <f>IF(D120="","",VLOOKUP(D120,'Phase Codes'!$A$3:$N$187,7))</f>
        <v/>
      </c>
      <c r="C120" s="170" t="str">
        <f>IF(D120="","",VLOOKUP(D120,'Phase Codes'!$A$3:$N$187,8))</f>
        <v/>
      </c>
      <c r="D120" s="170" t="str">
        <f>IF('Base Bid'!G61="","","35-030-142")</f>
        <v/>
      </c>
      <c r="E120" s="170" t="str">
        <f>IF(D120="","",VLOOKUP(D120,'Phase Codes'!$A$9:$C$187,3))</f>
        <v/>
      </c>
      <c r="F120" s="170" t="str">
        <f>IF(D120="","",IF('Base Bid'!J61&gt;0,'Base Bid'!J61,VLOOKUP(D120,'Phase Codes'!$A$9:$G$187,5)))</f>
        <v/>
      </c>
      <c r="G120" s="170" t="str">
        <f>IF(D120="","",IF('Base Bid'!K61&gt;0,'Base Bid'!K61,VLOOKUP(D120,'Phase Codes'!$A$9:$G$187,6)))</f>
        <v/>
      </c>
      <c r="H120" s="170">
        <f>'Base Bid'!N61</f>
        <v>0</v>
      </c>
      <c r="I120" s="282">
        <f>'Base Bid'!N61*'Base Bid'!I61</f>
        <v>0</v>
      </c>
    </row>
    <row r="121" spans="1:12" x14ac:dyDescent="0.15">
      <c r="A121" s="170" t="str">
        <f>IF(D121="","",VLOOKUP(D121,'Phase Codes'!$A$3:$N$187,7))</f>
        <v/>
      </c>
      <c r="C121" s="170" t="str">
        <f>IF(D121="","",VLOOKUP(D121,'Phase Codes'!$A$3:$N$187,8))</f>
        <v/>
      </c>
      <c r="D121" s="170" t="str">
        <f>IF('Base Bid'!G62="","","35-030-143")</f>
        <v/>
      </c>
      <c r="E121" s="170" t="str">
        <f>IF(D121="","",VLOOKUP(D121,'Phase Codes'!$A$9:$C$187,3))</f>
        <v/>
      </c>
      <c r="F121" s="170" t="str">
        <f>IF(D121="","",IF('Base Bid'!J62&gt;0,'Base Bid'!J62,VLOOKUP(D121,'Phase Codes'!$A$9:$G$187,5)))</f>
        <v/>
      </c>
      <c r="G121" s="170" t="str">
        <f>IF(D121="","",IF('Base Bid'!K62&gt;0,'Base Bid'!K62,VLOOKUP(D121,'Phase Codes'!$A$9:$G$187,6)))</f>
        <v/>
      </c>
      <c r="H121" s="170">
        <f>'Base Bid'!N62</f>
        <v>0</v>
      </c>
      <c r="I121" s="282">
        <f>'Base Bid'!N62*'Base Bid'!I62</f>
        <v>0</v>
      </c>
    </row>
    <row r="122" spans="1:12" x14ac:dyDescent="0.15">
      <c r="A122" s="170" t="str">
        <f>IF(D122="","",VLOOKUP(D122,'Phase Codes'!$A$3:$N$187,7))</f>
        <v/>
      </c>
      <c r="C122" s="170" t="str">
        <f>IF(D122="","",VLOOKUP(D122,'Phase Codes'!$A$3:$N$187,8))</f>
        <v/>
      </c>
      <c r="D122" s="170" t="str">
        <f>IF('Base Bid'!G63="","","35-030-144")</f>
        <v/>
      </c>
      <c r="E122" s="170" t="str">
        <f>IF(D122="","",VLOOKUP(D122,'Phase Codes'!$A$9:$C$187,3))</f>
        <v/>
      </c>
      <c r="F122" s="170" t="str">
        <f>IF(D122="","",IF('Base Bid'!J63&gt;0,'Base Bid'!J63,VLOOKUP(D122,'Phase Codes'!$A$9:$G$187,5)))</f>
        <v/>
      </c>
      <c r="G122" s="170" t="str">
        <f>IF(D122="","",IF('Base Bid'!K63&gt;0,'Base Bid'!K63,VLOOKUP(D122,'Phase Codes'!$A$9:$G$187,6)))</f>
        <v/>
      </c>
      <c r="H122" s="170">
        <f>'Base Bid'!N63</f>
        <v>0</v>
      </c>
      <c r="I122" s="282">
        <f>'Base Bid'!N63*'Base Bid'!I63</f>
        <v>0</v>
      </c>
    </row>
    <row r="123" spans="1:12" x14ac:dyDescent="0.15">
      <c r="A123" s="170" t="str">
        <f>IF(D123="","",VLOOKUP(D123,'Phase Codes'!$A$3:$N$187,7))</f>
        <v/>
      </c>
      <c r="C123" s="170" t="str">
        <f>IF(D123="","",VLOOKUP(D123,'Phase Codes'!$A$3:$N$187,8))</f>
        <v/>
      </c>
      <c r="D123" s="170" t="str">
        <f>IF('Base Bid'!G64="","","35-030-145")</f>
        <v/>
      </c>
      <c r="E123" s="170" t="str">
        <f>IF(D123="","",VLOOKUP(D123,'Phase Codes'!$A$9:$C$187,3))</f>
        <v/>
      </c>
      <c r="F123" s="170" t="str">
        <f>IF(D123="","",IF('Base Bid'!J64&gt;0,'Base Bid'!J64,VLOOKUP(D123,'Phase Codes'!$A$9:$G$187,5)))</f>
        <v/>
      </c>
      <c r="G123" s="170" t="str">
        <f>IF(D123="","",IF('Base Bid'!K64&gt;0,'Base Bid'!K64,VLOOKUP(D123,'Phase Codes'!$A$9:$G$187,6)))</f>
        <v/>
      </c>
      <c r="H123" s="170">
        <f>'Base Bid'!N64</f>
        <v>0</v>
      </c>
      <c r="I123" s="282">
        <f>'Base Bid'!N64*'Base Bid'!I64</f>
        <v>0</v>
      </c>
    </row>
    <row r="124" spans="1:12" x14ac:dyDescent="0.15">
      <c r="A124" s="170" t="str">
        <f>IF(D124="","",VLOOKUP(D124,'Phase Codes'!$A$3:$N$187,7))</f>
        <v/>
      </c>
      <c r="C124" s="170" t="str">
        <f>IF(D124="","",VLOOKUP(D124,'Phase Codes'!$A$3:$N$187,8))</f>
        <v/>
      </c>
      <c r="D124" s="170" t="str">
        <f>IF('Base Bid'!G65="","","35-030-146")</f>
        <v/>
      </c>
      <c r="E124" s="170" t="str">
        <f>IF(D124="","",VLOOKUP(D124,'Phase Codes'!$A$9:$C$187,3))</f>
        <v/>
      </c>
      <c r="F124" s="170" t="str">
        <f>IF(D124="","",IF('Base Bid'!J65&gt;0,'Base Bid'!J65,VLOOKUP(D124,'Phase Codes'!$A$9:$G$187,5)))</f>
        <v/>
      </c>
      <c r="G124" s="170" t="str">
        <f>IF(D124="","",IF('Base Bid'!K65&gt;0,'Base Bid'!K65,VLOOKUP(D124,'Phase Codes'!$A$9:$G$187,6)))</f>
        <v/>
      </c>
      <c r="H124" s="170">
        <f>'Base Bid'!N65</f>
        <v>0</v>
      </c>
      <c r="I124" s="282">
        <f>'Base Bid'!N65*'Base Bid'!I65</f>
        <v>0</v>
      </c>
    </row>
    <row r="125" spans="1:12" x14ac:dyDescent="0.15">
      <c r="A125" s="170" t="str">
        <f>IF(D125="","",VLOOKUP(D125,'Phase Codes'!$A$3:$N$187,7))</f>
        <v/>
      </c>
      <c r="C125" s="170" t="str">
        <f>IF(D125="","",VLOOKUP(D125,'Phase Codes'!$A$3:$N$187,8))</f>
        <v/>
      </c>
      <c r="D125" s="170" t="str">
        <f>IF('Base Bid'!G66="","","35-030-147")</f>
        <v/>
      </c>
      <c r="E125" s="170" t="str">
        <f>IF(D125="","",VLOOKUP(D125,'Phase Codes'!$A$9:$C$187,3))</f>
        <v/>
      </c>
      <c r="F125" s="170" t="str">
        <f>IF(D125="","",IF('Base Bid'!J66&gt;0,'Base Bid'!J66,VLOOKUP(D125,'Phase Codes'!$A$9:$G$187,5)))</f>
        <v/>
      </c>
      <c r="G125" s="170" t="str">
        <f>IF(D125="","",IF('Base Bid'!K66&gt;0,'Base Bid'!K66,VLOOKUP(D125,'Phase Codes'!$A$9:$G$187,6)))</f>
        <v/>
      </c>
      <c r="H125" s="170">
        <f>'Base Bid'!N66</f>
        <v>0</v>
      </c>
      <c r="I125" s="282">
        <f>'Base Bid'!N66*'Base Bid'!I66</f>
        <v>0</v>
      </c>
    </row>
    <row r="126" spans="1:12" x14ac:dyDescent="0.15">
      <c r="A126" s="170" t="str">
        <f>IF(D126="","",VLOOKUP(D126,'Phase Codes'!$A$3:$N$187,7))</f>
        <v/>
      </c>
      <c r="C126" s="170" t="str">
        <f>IF(D126="","",VLOOKUP(D126,'Phase Codes'!$A$3:$N$187,8))</f>
        <v/>
      </c>
      <c r="D126" s="170" t="str">
        <f>IF('Base Bid'!G67="","","35-030-148")</f>
        <v/>
      </c>
      <c r="E126" s="170" t="str">
        <f>IF(D126="","",VLOOKUP(D126,'Phase Codes'!$A$9:$C$187,3))</f>
        <v/>
      </c>
      <c r="F126" s="170" t="str">
        <f>IF(D126="","",IF('Base Bid'!J67&gt;0,'Base Bid'!J67,VLOOKUP(D126,'Phase Codes'!$A$9:$G$187,5)))</f>
        <v/>
      </c>
      <c r="G126" s="170" t="str">
        <f>IF(D126="","",IF('Base Bid'!K67&gt;0,'Base Bid'!K67,VLOOKUP(D126,'Phase Codes'!$A$9:$G$187,6)))</f>
        <v/>
      </c>
      <c r="H126" s="170">
        <f>'Base Bid'!N67</f>
        <v>0</v>
      </c>
      <c r="I126" s="282">
        <f>'Base Bid'!N67*'Base Bid'!I67</f>
        <v>0</v>
      </c>
    </row>
    <row r="127" spans="1:12" x14ac:dyDescent="0.15">
      <c r="A127" s="170" t="str">
        <f>IF(D127="","",VLOOKUP(D127,'Phase Codes'!$A$3:$N$187,7))</f>
        <v/>
      </c>
      <c r="C127" s="170" t="str">
        <f>IF(D127="","",VLOOKUP(D127,'Phase Codes'!$A$3:$N$187,8))</f>
        <v/>
      </c>
      <c r="D127" s="170" t="str">
        <f>IF('Base Bid'!G68="","","35-030-149")</f>
        <v/>
      </c>
      <c r="E127" s="170" t="str">
        <f>IF(D127="","",VLOOKUP(D127,'Phase Codes'!$A$9:$C$187,3))</f>
        <v/>
      </c>
      <c r="F127" s="170" t="str">
        <f>IF(D127="","",IF('Base Bid'!J68&gt;0,'Base Bid'!J68,VLOOKUP(D127,'Phase Codes'!$A$9:$G$187,5)))</f>
        <v/>
      </c>
      <c r="G127" s="170" t="str">
        <f>IF(D127="","",IF('Base Bid'!K68&gt;0,'Base Bid'!K68,VLOOKUP(D127,'Phase Codes'!$A$9:$G$187,6)))</f>
        <v/>
      </c>
      <c r="H127" s="170">
        <f>'Base Bid'!N68</f>
        <v>0</v>
      </c>
      <c r="I127" s="282">
        <f>'Base Bid'!N68*'Base Bid'!I68</f>
        <v>0</v>
      </c>
    </row>
    <row r="128" spans="1:12" ht="9" thickBot="1" x14ac:dyDescent="0.2">
      <c r="A128" s="280" t="str">
        <f>IF(D128="","",VLOOKUP(D128,'Phase Codes'!$A$3:$N$187,7))</f>
        <v/>
      </c>
      <c r="B128" s="280"/>
      <c r="C128" s="280" t="str">
        <f>IF(D128="","",VLOOKUP(D128,'Phase Codes'!$A$3:$N$187,8))</f>
        <v/>
      </c>
      <c r="D128" s="280" t="str">
        <f>IF('Base Bid'!G69="","","35-030-150")</f>
        <v/>
      </c>
      <c r="E128" s="280" t="str">
        <f>IF(D128="","",VLOOKUP(D128,'Phase Codes'!$A$9:$C$187,3))</f>
        <v/>
      </c>
      <c r="F128" s="280" t="str">
        <f>IF(D128="","",IF('Base Bid'!J69&gt;0,'Base Bid'!J69,VLOOKUP(D128,'Phase Codes'!$A$9:$G$187,5)))</f>
        <v/>
      </c>
      <c r="G128" s="280" t="str">
        <f>IF(D128="","",IF('Base Bid'!K69&gt;0,'Base Bid'!K69,VLOOKUP(D128,'Phase Codes'!$A$9:$G$187,6)))</f>
        <v/>
      </c>
      <c r="H128" s="280">
        <f>'Base Bid'!N69</f>
        <v>0</v>
      </c>
      <c r="I128" s="283">
        <f>'Base Bid'!N69*'Base Bid'!I69</f>
        <v>0</v>
      </c>
      <c r="J128" s="283"/>
      <c r="K128" s="280"/>
      <c r="L128" s="280"/>
    </row>
    <row r="129" spans="1:12" ht="9" thickTop="1" x14ac:dyDescent="0.15"/>
    <row r="130" spans="1:12" ht="9" thickBot="1" x14ac:dyDescent="0.2">
      <c r="A130" s="280"/>
      <c r="B130" s="280" t="s">
        <v>987</v>
      </c>
      <c r="C130" s="280"/>
      <c r="D130" s="280"/>
      <c r="E130" s="280"/>
      <c r="F130" s="280"/>
      <c r="G130" s="280"/>
      <c r="H130" s="280"/>
      <c r="I130" s="283"/>
      <c r="J130" s="283"/>
      <c r="K130" s="280"/>
      <c r="L130" s="280"/>
    </row>
    <row r="131" spans="1:12" ht="9" thickTop="1" x14ac:dyDescent="0.15">
      <c r="A131" s="170">
        <f>IF(D131="","",VLOOKUP(D131,'Phase Codes'!$A$3:$N$187,7))</f>
        <v>3</v>
      </c>
      <c r="C131" s="170">
        <f>IF(D131="","",VLOOKUP(D131,'Phase Codes'!$A$3:$N$187,8))</f>
        <v>10</v>
      </c>
      <c r="D131" s="170" t="str">
        <f>IF('Base Bid'!G72="","",'Base Bid'!G72)</f>
        <v>40-030-151</v>
      </c>
      <c r="E131" s="170">
        <f>IF(D131="","",VLOOKUP(D131,'Phase Codes'!$A$9:$C$187,3))</f>
        <v>1</v>
      </c>
      <c r="F131" s="170">
        <f>IF(D131="","",IF('Base Bid'!J72&gt;0,'Base Bid'!J72,VLOOKUP(D131,'Phase Codes'!$A$9:$G$187,5)))</f>
        <v>100</v>
      </c>
      <c r="G131" s="170" t="str">
        <f>IF(D131="","",IF('Base Bid'!K72&gt;0,'Base Bid'!K72,VLOOKUP(D131,'Phase Codes'!$A$9:$G$187,6)))</f>
        <v>PCT</v>
      </c>
      <c r="H131" s="170">
        <f>'Base Bid'!M72</f>
        <v>180</v>
      </c>
      <c r="I131" s="282">
        <f>'Base Bid'!M72*'Base Bid'!H72</f>
        <v>17465.400000000001</v>
      </c>
    </row>
    <row r="132" spans="1:12" x14ac:dyDescent="0.15">
      <c r="A132" s="170">
        <f>IF(D132="","",VLOOKUP(D132,'Phase Codes'!$A$3:$N$187,7))</f>
        <v>3</v>
      </c>
      <c r="C132" s="170">
        <f>IF(D132="","",VLOOKUP(D132,'Phase Codes'!$A$3:$N$187,8))</f>
        <v>10</v>
      </c>
      <c r="D132" s="170" t="str">
        <f>IF('Base Bid'!G73="","",'Base Bid'!G73)</f>
        <v>40-030-152</v>
      </c>
      <c r="E132" s="170">
        <f>IF(D132="","",VLOOKUP(D132,'Phase Codes'!$A$9:$C$187,3))</f>
        <v>1</v>
      </c>
      <c r="F132" s="170">
        <f>IF(D132="","",IF('Base Bid'!J73&gt;0,'Base Bid'!J73,VLOOKUP(D132,'Phase Codes'!$A$9:$G$187,5)))</f>
        <v>100</v>
      </c>
      <c r="G132" s="170" t="str">
        <f>IF(D132="","",IF('Base Bid'!K73&gt;0,'Base Bid'!K73,VLOOKUP(D132,'Phase Codes'!$A$9:$G$187,6)))</f>
        <v>PCT</v>
      </c>
      <c r="H132" s="170">
        <f>'Base Bid'!M73</f>
        <v>180</v>
      </c>
      <c r="I132" s="282">
        <f>'Base Bid'!M73*'Base Bid'!H73</f>
        <v>16727.400000000001</v>
      </c>
    </row>
    <row r="133" spans="1:12" x14ac:dyDescent="0.15">
      <c r="A133" s="170" t="str">
        <f>IF(D133="","",VLOOKUP(D133,'Phase Codes'!$A$3:$N$187,7))</f>
        <v/>
      </c>
      <c r="C133" s="170" t="str">
        <f>IF(D133="","",VLOOKUP(D133,'Phase Codes'!$A$3:$N$187,8))</f>
        <v/>
      </c>
      <c r="D133" s="170" t="str">
        <f>IF('Base Bid'!G74="","",'Base Bid'!G74)</f>
        <v/>
      </c>
      <c r="E133" s="170" t="str">
        <f>IF(D133="","",VLOOKUP(D133,'Phase Codes'!$A$9:$C$187,3))</f>
        <v/>
      </c>
      <c r="F133" s="170" t="str">
        <f>IF(D133="","",IF('Base Bid'!J74&gt;0,'Base Bid'!J74,VLOOKUP(D133,'Phase Codes'!$A$9:$G$187,5)))</f>
        <v/>
      </c>
      <c r="G133" s="170" t="str">
        <f>IF(D133="","",IF('Base Bid'!K74&gt;0,'Base Bid'!K74,VLOOKUP(D133,'Phase Codes'!$A$9:$G$187,6)))</f>
        <v/>
      </c>
      <c r="H133" s="170">
        <f>'Base Bid'!M74</f>
        <v>0</v>
      </c>
      <c r="I133" s="282">
        <f>'Base Bid'!M74*'Base Bid'!H74</f>
        <v>0</v>
      </c>
    </row>
    <row r="134" spans="1:12" x14ac:dyDescent="0.15">
      <c r="A134" s="170" t="str">
        <f>IF(D134="","",VLOOKUP(D134,'Phase Codes'!$A$3:$N$187,7))</f>
        <v/>
      </c>
      <c r="C134" s="170" t="str">
        <f>IF(D134="","",VLOOKUP(D134,'Phase Codes'!$A$3:$N$187,8))</f>
        <v/>
      </c>
      <c r="D134" s="170" t="str">
        <f>IF('Base Bid'!G75="","",'Base Bid'!G75)</f>
        <v/>
      </c>
      <c r="E134" s="170" t="str">
        <f>IF(D134="","",VLOOKUP(D134,'Phase Codes'!$A$9:$C$187,3))</f>
        <v/>
      </c>
      <c r="F134" s="170" t="str">
        <f>IF(D134="","",IF('Base Bid'!J75&gt;0,'Base Bid'!J75,VLOOKUP(D134,'Phase Codes'!$A$9:$G$187,5)))</f>
        <v/>
      </c>
      <c r="G134" s="170" t="str">
        <f>IF(D134="","",IF('Base Bid'!K75&gt;0,'Base Bid'!K75,VLOOKUP(D134,'Phase Codes'!$A$9:$G$187,6)))</f>
        <v/>
      </c>
      <c r="H134" s="170">
        <f>'Base Bid'!M75</f>
        <v>0</v>
      </c>
      <c r="I134" s="282">
        <f>'Base Bid'!M75*'Base Bid'!H75</f>
        <v>0</v>
      </c>
    </row>
    <row r="135" spans="1:12" x14ac:dyDescent="0.15">
      <c r="A135" s="170" t="str">
        <f>IF(D135="","",VLOOKUP(D135,'Phase Codes'!$A$3:$N$187,7))</f>
        <v/>
      </c>
      <c r="C135" s="170" t="str">
        <f>IF(D135="","",VLOOKUP(D135,'Phase Codes'!$A$3:$N$187,8))</f>
        <v/>
      </c>
      <c r="D135" s="170" t="str">
        <f>IF('Base Bid'!G76="","",'Base Bid'!G76)</f>
        <v/>
      </c>
      <c r="E135" s="170" t="str">
        <f>IF(D135="","",VLOOKUP(D135,'Phase Codes'!$A$9:$C$187,3))</f>
        <v/>
      </c>
      <c r="F135" s="170" t="str">
        <f>IF(D135="","",IF('Base Bid'!J76&gt;0,'Base Bid'!J76,VLOOKUP(D135,'Phase Codes'!$A$9:$G$187,5)))</f>
        <v/>
      </c>
      <c r="G135" s="170" t="str">
        <f>IF(D135="","",IF('Base Bid'!K76&gt;0,'Base Bid'!K76,VLOOKUP(D135,'Phase Codes'!$A$9:$G$187,6)))</f>
        <v/>
      </c>
      <c r="H135" s="170">
        <f>'Base Bid'!M76</f>
        <v>0</v>
      </c>
      <c r="I135" s="282">
        <f>'Base Bid'!M76*'Base Bid'!H76</f>
        <v>0</v>
      </c>
    </row>
    <row r="136" spans="1:12" x14ac:dyDescent="0.15">
      <c r="A136" s="170" t="str">
        <f>IF(D136="","",VLOOKUP(D136,'Phase Codes'!$A$3:$N$187,7))</f>
        <v/>
      </c>
      <c r="C136" s="170" t="str">
        <f>IF(D136="","",VLOOKUP(D136,'Phase Codes'!$A$3:$N$187,8))</f>
        <v/>
      </c>
      <c r="D136" s="170" t="str">
        <f>IF('Base Bid'!G77="","",'Base Bid'!G77)</f>
        <v/>
      </c>
      <c r="E136" s="170" t="str">
        <f>IF(D136="","",VLOOKUP(D136,'Phase Codes'!$A$9:$C$187,3))</f>
        <v/>
      </c>
      <c r="F136" s="170" t="str">
        <f>IF(D136="","",IF('Base Bid'!J77&gt;0,'Base Bid'!J77,VLOOKUP(D136,'Phase Codes'!$A$9:$G$187,5)))</f>
        <v/>
      </c>
      <c r="G136" s="170" t="str">
        <f>IF(D136="","",IF('Base Bid'!K77&gt;0,'Base Bid'!K77,VLOOKUP(D136,'Phase Codes'!$A$9:$G$187,6)))</f>
        <v/>
      </c>
      <c r="H136" s="170">
        <f>'Base Bid'!M77</f>
        <v>0</v>
      </c>
      <c r="I136" s="282">
        <f>'Base Bid'!M77*'Base Bid'!H77</f>
        <v>0</v>
      </c>
    </row>
    <row r="137" spans="1:12" x14ac:dyDescent="0.15">
      <c r="A137" s="170" t="str">
        <f>IF(D137="","",VLOOKUP(D137,'Phase Codes'!$A$3:$N$187,7))</f>
        <v/>
      </c>
      <c r="C137" s="170" t="str">
        <f>IF(D137="","",VLOOKUP(D137,'Phase Codes'!$A$3:$N$187,8))</f>
        <v/>
      </c>
      <c r="D137" s="170" t="str">
        <f>IF('Base Bid'!G78="","",'Base Bid'!G78)</f>
        <v/>
      </c>
      <c r="E137" s="170" t="str">
        <f>IF(D137="","",VLOOKUP(D137,'Phase Codes'!$A$9:$C$187,3))</f>
        <v/>
      </c>
      <c r="F137" s="170" t="str">
        <f>IF(D137="","",IF('Base Bid'!J78&gt;0,'Base Bid'!J78,VLOOKUP(D137,'Phase Codes'!$A$9:$G$187,5)))</f>
        <v/>
      </c>
      <c r="G137" s="170" t="str">
        <f>IF(D137="","",IF('Base Bid'!K78&gt;0,'Base Bid'!K78,VLOOKUP(D137,'Phase Codes'!$A$9:$G$187,6)))</f>
        <v/>
      </c>
      <c r="H137" s="170">
        <f>'Base Bid'!M78</f>
        <v>0</v>
      </c>
      <c r="I137" s="282">
        <f>'Base Bid'!M78*'Base Bid'!H78</f>
        <v>0</v>
      </c>
    </row>
    <row r="138" spans="1:12" x14ac:dyDescent="0.15">
      <c r="A138" s="170" t="str">
        <f>IF(D138="","",VLOOKUP(D138,'Phase Codes'!$A$3:$N$187,7))</f>
        <v/>
      </c>
      <c r="C138" s="170" t="str">
        <f>IF(D138="","",VLOOKUP(D138,'Phase Codes'!$A$3:$N$187,8))</f>
        <v/>
      </c>
      <c r="D138" s="170" t="str">
        <f>IF('Base Bid'!G79="","",'Base Bid'!G79)</f>
        <v/>
      </c>
      <c r="E138" s="170" t="str">
        <f>IF(D138="","",VLOOKUP(D138,'Phase Codes'!$A$9:$C$187,3))</f>
        <v/>
      </c>
      <c r="F138" s="170" t="str">
        <f>IF(D138="","",IF('Base Bid'!J79&gt;0,'Base Bid'!J79,VLOOKUP(D138,'Phase Codes'!$A$9:$G$187,5)))</f>
        <v/>
      </c>
      <c r="G138" s="170" t="str">
        <f>IF(D138="","",IF('Base Bid'!K79&gt;0,'Base Bid'!K79,VLOOKUP(D138,'Phase Codes'!$A$9:$G$187,6)))</f>
        <v/>
      </c>
      <c r="H138" s="170">
        <f>'Base Bid'!M79</f>
        <v>0</v>
      </c>
      <c r="I138" s="282">
        <f>'Base Bid'!M79*'Base Bid'!H79</f>
        <v>0</v>
      </c>
    </row>
    <row r="139" spans="1:12" x14ac:dyDescent="0.15">
      <c r="A139" s="170" t="str">
        <f>IF(D139="","",VLOOKUP(D139,'Phase Codes'!$A$3:$N$187,7))</f>
        <v/>
      </c>
      <c r="C139" s="170" t="str">
        <f>IF(D139="","",VLOOKUP(D139,'Phase Codes'!$A$3:$N$187,8))</f>
        <v/>
      </c>
      <c r="D139" s="170" t="str">
        <f>IF('Base Bid'!G80="","",'Base Bid'!G80)</f>
        <v/>
      </c>
      <c r="E139" s="170" t="str">
        <f>IF(D139="","",VLOOKUP(D139,'Phase Codes'!$A$9:$C$187,3))</f>
        <v/>
      </c>
      <c r="F139" s="170" t="str">
        <f>IF(D139="","",IF('Base Bid'!J80&gt;0,'Base Bid'!J80,VLOOKUP(D139,'Phase Codes'!$A$9:$G$187,5)))</f>
        <v/>
      </c>
      <c r="G139" s="170" t="str">
        <f>IF(D139="","",IF('Base Bid'!K80&gt;0,'Base Bid'!K80,VLOOKUP(D139,'Phase Codes'!$A$9:$G$187,6)))</f>
        <v/>
      </c>
      <c r="H139" s="170">
        <f>'Base Bid'!M80</f>
        <v>0</v>
      </c>
      <c r="I139" s="282">
        <f>'Base Bid'!M80*'Base Bid'!H80</f>
        <v>0</v>
      </c>
    </row>
    <row r="140" spans="1:12" x14ac:dyDescent="0.15">
      <c r="A140" s="170" t="str">
        <f>IF(D140="","",VLOOKUP(D140,'Phase Codes'!$A$3:$N$187,7))</f>
        <v/>
      </c>
      <c r="C140" s="170" t="str">
        <f>IF(D140="","",VLOOKUP(D140,'Phase Codes'!$A$3:$N$187,8))</f>
        <v/>
      </c>
      <c r="D140" s="170" t="str">
        <f>IF('Base Bid'!G81="","",'Base Bid'!G81)</f>
        <v/>
      </c>
      <c r="E140" s="170" t="str">
        <f>IF(D140="","",VLOOKUP(D140,'Phase Codes'!$A$9:$C$187,3))</f>
        <v/>
      </c>
      <c r="F140" s="170" t="str">
        <f>IF(D140="","",IF('Base Bid'!J81&gt;0,'Base Bid'!J81,VLOOKUP(D140,'Phase Codes'!$A$9:$G$187,5)))</f>
        <v/>
      </c>
      <c r="G140" s="170" t="str">
        <f>IF(D140="","",IF('Base Bid'!K81&gt;0,'Base Bid'!K81,VLOOKUP(D140,'Phase Codes'!$A$9:$G$187,6)))</f>
        <v/>
      </c>
      <c r="H140" s="170">
        <f>'Base Bid'!M81</f>
        <v>0</v>
      </c>
      <c r="I140" s="282">
        <f>'Base Bid'!M81*'Base Bid'!H81</f>
        <v>0</v>
      </c>
    </row>
    <row r="141" spans="1:12" x14ac:dyDescent="0.15">
      <c r="A141" s="170" t="str">
        <f>IF(D141="","",VLOOKUP(D141,'Phase Codes'!$A$3:$N$187,7))</f>
        <v/>
      </c>
      <c r="C141" s="170" t="str">
        <f>IF(D141="","",VLOOKUP(D141,'Phase Codes'!$A$3:$N$187,8))</f>
        <v/>
      </c>
      <c r="D141" s="170" t="str">
        <f>IF('Base Bid'!G82="","",'Base Bid'!G82)</f>
        <v/>
      </c>
      <c r="E141" s="170" t="str">
        <f>IF(D141="","",VLOOKUP(D141,'Phase Codes'!$A$9:$C$187,3))</f>
        <v/>
      </c>
      <c r="F141" s="170" t="str">
        <f>IF(D141="","",IF('Base Bid'!J82&gt;0,'Base Bid'!J82,VLOOKUP(D141,'Phase Codes'!$A$9:$G$187,5)))</f>
        <v/>
      </c>
      <c r="G141" s="170" t="str">
        <f>IF(D141="","",IF('Base Bid'!K82&gt;0,'Base Bid'!K82,VLOOKUP(D141,'Phase Codes'!$A$9:$G$187,6)))</f>
        <v/>
      </c>
      <c r="H141" s="170">
        <f>'Base Bid'!M82</f>
        <v>0</v>
      </c>
      <c r="I141" s="282">
        <f>'Base Bid'!M82*'Base Bid'!H82</f>
        <v>0</v>
      </c>
    </row>
    <row r="142" spans="1:12" x14ac:dyDescent="0.15">
      <c r="A142" s="170" t="str">
        <f>IF(D142="","",VLOOKUP(D142,'Phase Codes'!$A$3:$N$187,7))</f>
        <v/>
      </c>
      <c r="C142" s="170" t="str">
        <f>IF(D142="","",VLOOKUP(D142,'Phase Codes'!$A$3:$N$187,8))</f>
        <v/>
      </c>
      <c r="D142" s="170" t="str">
        <f>IF('Base Bid'!G83="","",'Base Bid'!G83)</f>
        <v/>
      </c>
      <c r="E142" s="170" t="str">
        <f>IF(D142="","",VLOOKUP(D142,'Phase Codes'!$A$9:$C$187,3))</f>
        <v/>
      </c>
      <c r="F142" s="170" t="str">
        <f>IF(D142="","",IF('Base Bid'!J83&gt;0,'Base Bid'!J83,VLOOKUP(D142,'Phase Codes'!$A$9:$G$187,5)))</f>
        <v/>
      </c>
      <c r="G142" s="170" t="str">
        <f>IF(D142="","",IF('Base Bid'!K83&gt;0,'Base Bid'!K83,VLOOKUP(D142,'Phase Codes'!$A$9:$G$187,6)))</f>
        <v/>
      </c>
      <c r="H142" s="170">
        <f>'Base Bid'!M83</f>
        <v>0</v>
      </c>
      <c r="I142" s="282">
        <f>'Base Bid'!M83*'Base Bid'!H83</f>
        <v>0</v>
      </c>
    </row>
    <row r="143" spans="1:12" x14ac:dyDescent="0.15">
      <c r="A143" s="170" t="str">
        <f>IF(D143="","",VLOOKUP(D143,'Phase Codes'!$A$3:$N$187,7))</f>
        <v/>
      </c>
      <c r="C143" s="170" t="str">
        <f>IF(D143="","",VLOOKUP(D143,'Phase Codes'!$A$3:$N$187,8))</f>
        <v/>
      </c>
      <c r="D143" s="170" t="str">
        <f>IF('Base Bid'!G84="","",'Base Bid'!G84)</f>
        <v/>
      </c>
      <c r="E143" s="170" t="str">
        <f>IF(D143="","",VLOOKUP(D143,'Phase Codes'!$A$9:$C$187,3))</f>
        <v/>
      </c>
      <c r="F143" s="170" t="str">
        <f>IF(D143="","",IF('Base Bid'!J84&gt;0,'Base Bid'!J84,VLOOKUP(D143,'Phase Codes'!$A$9:$G$187,5)))</f>
        <v/>
      </c>
      <c r="G143" s="170" t="str">
        <f>IF(D143="","",IF('Base Bid'!K84&gt;0,'Base Bid'!K84,VLOOKUP(D143,'Phase Codes'!$A$9:$G$187,6)))</f>
        <v/>
      </c>
      <c r="H143" s="170">
        <f>'Base Bid'!M84</f>
        <v>0</v>
      </c>
      <c r="I143" s="282">
        <f>'Base Bid'!M84*'Base Bid'!H84</f>
        <v>0</v>
      </c>
    </row>
    <row r="144" spans="1:12" x14ac:dyDescent="0.15">
      <c r="A144" s="170" t="str">
        <f>IF(D144="","",VLOOKUP(D144,'Phase Codes'!$A$3:$N$187,7))</f>
        <v/>
      </c>
      <c r="C144" s="170" t="str">
        <f>IF(D144="","",VLOOKUP(D144,'Phase Codes'!$A$3:$N$187,8))</f>
        <v/>
      </c>
      <c r="D144" s="170" t="str">
        <f>IF('Base Bid'!G85="","",'Base Bid'!G85)</f>
        <v/>
      </c>
      <c r="E144" s="170" t="str">
        <f>IF(D144="","",VLOOKUP(D144,'Phase Codes'!$A$9:$C$187,3))</f>
        <v/>
      </c>
      <c r="F144" s="170" t="str">
        <f>IF(D144="","",IF('Base Bid'!J85&gt;0,'Base Bid'!J85,VLOOKUP(D144,'Phase Codes'!$A$9:$G$187,5)))</f>
        <v/>
      </c>
      <c r="G144" s="170" t="str">
        <f>IF(D144="","",IF('Base Bid'!K85&gt;0,'Base Bid'!K85,VLOOKUP(D144,'Phase Codes'!$A$9:$G$187,6)))</f>
        <v/>
      </c>
      <c r="H144" s="170">
        <f>'Base Bid'!M85</f>
        <v>0</v>
      </c>
      <c r="I144" s="282">
        <f>'Base Bid'!M85*'Base Bid'!H85</f>
        <v>0</v>
      </c>
    </row>
    <row r="145" spans="1:9" x14ac:dyDescent="0.15">
      <c r="A145" s="170" t="str">
        <f>IF(D145="","",VLOOKUP(D145,'Phase Codes'!$A$3:$N$187,7))</f>
        <v/>
      </c>
      <c r="C145" s="170" t="str">
        <f>IF(D145="","",VLOOKUP(D145,'Phase Codes'!$A$3:$N$187,8))</f>
        <v/>
      </c>
      <c r="D145" s="170" t="str">
        <f>IF('Base Bid'!G86="","",'Base Bid'!G86)</f>
        <v/>
      </c>
      <c r="E145" s="170" t="str">
        <f>IF(D145="","",VLOOKUP(D145,'Phase Codes'!$A$9:$C$187,3))</f>
        <v/>
      </c>
      <c r="F145" s="170" t="str">
        <f>IF(D145="","",IF('Base Bid'!J86&gt;0,'Base Bid'!J86,VLOOKUP(D145,'Phase Codes'!$A$9:$G$187,5)))</f>
        <v/>
      </c>
      <c r="G145" s="170" t="str">
        <f>IF(D145="","",IF('Base Bid'!K86&gt;0,'Base Bid'!K86,VLOOKUP(D145,'Phase Codes'!$A$9:$G$187,6)))</f>
        <v/>
      </c>
      <c r="H145" s="170">
        <f>'Base Bid'!M86</f>
        <v>0</v>
      </c>
      <c r="I145" s="282">
        <f>'Base Bid'!M86*'Base Bid'!H86</f>
        <v>0</v>
      </c>
    </row>
    <row r="146" spans="1:9" x14ac:dyDescent="0.15">
      <c r="A146" s="170" t="str">
        <f>IF(D146="","",VLOOKUP(D146,'Phase Codes'!$A$3:$N$187,7))</f>
        <v/>
      </c>
      <c r="C146" s="170" t="str">
        <f>IF(D146="","",VLOOKUP(D146,'Phase Codes'!$A$3:$N$187,8))</f>
        <v/>
      </c>
      <c r="D146" s="170" t="str">
        <f>IF('Base Bid'!G87="","",'Base Bid'!G87)</f>
        <v/>
      </c>
      <c r="E146" s="170" t="str">
        <f>IF(D146="","",VLOOKUP(D146,'Phase Codes'!$A$9:$C$187,3))</f>
        <v/>
      </c>
      <c r="F146" s="170" t="str">
        <f>IF(D146="","",IF('Base Bid'!J87&gt;0,'Base Bid'!J87,VLOOKUP(D146,'Phase Codes'!$A$9:$G$187,5)))</f>
        <v/>
      </c>
      <c r="G146" s="170" t="str">
        <f>IF(D146="","",IF('Base Bid'!K87&gt;0,'Base Bid'!K87,VLOOKUP(D146,'Phase Codes'!$A$9:$G$187,6)))</f>
        <v/>
      </c>
      <c r="H146" s="170">
        <f>'Base Bid'!M87</f>
        <v>0</v>
      </c>
      <c r="I146" s="282">
        <f>'Base Bid'!M87*'Base Bid'!H87</f>
        <v>0</v>
      </c>
    </row>
    <row r="147" spans="1:9" x14ac:dyDescent="0.15">
      <c r="A147" s="170" t="str">
        <f>IF(D147="","",VLOOKUP(D147,'Phase Codes'!$A$3:$N$187,7))</f>
        <v/>
      </c>
      <c r="C147" s="170" t="str">
        <f>IF(D147="","",VLOOKUP(D147,'Phase Codes'!$A$3:$N$187,8))</f>
        <v/>
      </c>
      <c r="D147" s="170" t="str">
        <f>IF('Base Bid'!G88="","",'Base Bid'!G88)</f>
        <v/>
      </c>
      <c r="E147" s="170" t="str">
        <f>IF(D147="","",VLOOKUP(D147,'Phase Codes'!$A$9:$C$187,3))</f>
        <v/>
      </c>
      <c r="F147" s="170" t="str">
        <f>IF(D147="","",IF('Base Bid'!J88&gt;0,'Base Bid'!J88,VLOOKUP(D147,'Phase Codes'!$A$9:$G$187,5)))</f>
        <v/>
      </c>
      <c r="G147" s="170" t="str">
        <f>IF(D147="","",IF('Base Bid'!K88&gt;0,'Base Bid'!K88,VLOOKUP(D147,'Phase Codes'!$A$9:$G$187,6)))</f>
        <v/>
      </c>
      <c r="H147" s="170">
        <f>'Base Bid'!M88</f>
        <v>0</v>
      </c>
      <c r="I147" s="282">
        <f>'Base Bid'!M88*'Base Bid'!H88</f>
        <v>0</v>
      </c>
    </row>
    <row r="148" spans="1:9" x14ac:dyDescent="0.15">
      <c r="A148" s="170" t="str">
        <f>IF(D148="","",VLOOKUP(D148,'Phase Codes'!$A$3:$N$187,7))</f>
        <v/>
      </c>
      <c r="C148" s="170" t="str">
        <f>IF(D148="","",VLOOKUP(D148,'Phase Codes'!$A$3:$N$187,8))</f>
        <v/>
      </c>
      <c r="D148" s="170" t="str">
        <f>IF('Base Bid'!G89="","",'Base Bid'!G89)</f>
        <v/>
      </c>
      <c r="E148" s="170" t="str">
        <f>IF(D148="","",VLOOKUP(D148,'Phase Codes'!$A$9:$C$187,3))</f>
        <v/>
      </c>
      <c r="F148" s="170" t="str">
        <f>IF(D148="","",IF('Base Bid'!J89&gt;0,'Base Bid'!J89,VLOOKUP(D148,'Phase Codes'!$A$9:$G$187,5)))</f>
        <v/>
      </c>
      <c r="G148" s="170" t="str">
        <f>IF(D148="","",IF('Base Bid'!K89&gt;0,'Base Bid'!K89,VLOOKUP(D148,'Phase Codes'!$A$9:$G$187,6)))</f>
        <v/>
      </c>
      <c r="H148" s="170">
        <f>'Base Bid'!M89</f>
        <v>0</v>
      </c>
      <c r="I148" s="282">
        <f>'Base Bid'!M89*'Base Bid'!H89</f>
        <v>0</v>
      </c>
    </row>
    <row r="149" spans="1:9" x14ac:dyDescent="0.15">
      <c r="A149" s="170" t="str">
        <f>IF(D149="","",VLOOKUP(D149,'Phase Codes'!$A$3:$N$187,7))</f>
        <v/>
      </c>
      <c r="C149" s="170" t="str">
        <f>IF(D149="","",VLOOKUP(D149,'Phase Codes'!$A$3:$N$187,8))</f>
        <v/>
      </c>
      <c r="D149" s="170" t="str">
        <f>IF('Base Bid'!G90="","",'Base Bid'!G90)</f>
        <v/>
      </c>
      <c r="E149" s="170" t="str">
        <f>IF(D149="","",VLOOKUP(D149,'Phase Codes'!$A$9:$C$187,3))</f>
        <v/>
      </c>
      <c r="F149" s="170" t="str">
        <f>IF(D149="","",IF('Base Bid'!J90&gt;0,'Base Bid'!J90,VLOOKUP(D149,'Phase Codes'!$A$9:$G$187,5)))</f>
        <v/>
      </c>
      <c r="G149" s="170" t="str">
        <f>IF(D149="","",IF('Base Bid'!K90&gt;0,'Base Bid'!K90,VLOOKUP(D149,'Phase Codes'!$A$9:$G$187,6)))</f>
        <v/>
      </c>
      <c r="H149" s="170">
        <f>'Base Bid'!M90</f>
        <v>0</v>
      </c>
      <c r="I149" s="282">
        <f>'Base Bid'!M90*'Base Bid'!H90</f>
        <v>0</v>
      </c>
    </row>
    <row r="150" spans="1:9" x14ac:dyDescent="0.15">
      <c r="A150" s="170" t="str">
        <f>IF(D150="","",VLOOKUP(D150,'Phase Codes'!$A$3:$N$187,7))</f>
        <v/>
      </c>
      <c r="C150" s="170" t="str">
        <f>IF(D150="","",VLOOKUP(D150,'Phase Codes'!$A$3:$N$187,8))</f>
        <v/>
      </c>
      <c r="D150" s="170" t="str">
        <f>IF('Base Bid'!G91="","",'Base Bid'!G91)</f>
        <v/>
      </c>
      <c r="E150" s="170" t="str">
        <f>IF(D150="","",VLOOKUP(D150,'Phase Codes'!$A$9:$C$187,3))</f>
        <v/>
      </c>
      <c r="F150" s="170" t="str">
        <f>IF(D150="","",IF('Base Bid'!J91&gt;0,'Base Bid'!J91,VLOOKUP(D150,'Phase Codes'!$A$9:$G$187,5)))</f>
        <v/>
      </c>
      <c r="G150" s="170" t="str">
        <f>IF(D150="","",IF('Base Bid'!K91&gt;0,'Base Bid'!K91,VLOOKUP(D150,'Phase Codes'!$A$9:$G$187,6)))</f>
        <v/>
      </c>
      <c r="H150" s="170">
        <f>'Base Bid'!M91</f>
        <v>0</v>
      </c>
      <c r="I150" s="282">
        <f>'Base Bid'!M91*'Base Bid'!H91</f>
        <v>0</v>
      </c>
    </row>
    <row r="151" spans="1:9" x14ac:dyDescent="0.15">
      <c r="A151" s="170" t="str">
        <f>IF(D151="","",VLOOKUP(D151,'Phase Codes'!$A$3:$N$187,7))</f>
        <v/>
      </c>
      <c r="C151" s="170" t="str">
        <f>IF(D151="","",VLOOKUP(D151,'Phase Codes'!$A$3:$N$187,8))</f>
        <v/>
      </c>
      <c r="D151" s="170" t="str">
        <f>IF('Base Bid'!G92="","",'Base Bid'!G92)</f>
        <v/>
      </c>
      <c r="E151" s="170" t="str">
        <f>IF(D151="","",VLOOKUP(D151,'Phase Codes'!$A$9:$C$187,3))</f>
        <v/>
      </c>
      <c r="F151" s="170" t="str">
        <f>IF(D151="","",IF('Base Bid'!J92&gt;0,'Base Bid'!J92,VLOOKUP(D151,'Phase Codes'!$A$9:$G$187,5)))</f>
        <v/>
      </c>
      <c r="G151" s="170" t="str">
        <f>IF(D151="","",IF('Base Bid'!K92&gt;0,'Base Bid'!K92,VLOOKUP(D151,'Phase Codes'!$A$9:$G$187,6)))</f>
        <v/>
      </c>
      <c r="H151" s="170">
        <f>'Base Bid'!M92</f>
        <v>0</v>
      </c>
      <c r="I151" s="282">
        <f>'Base Bid'!M92*'Base Bid'!H92</f>
        <v>0</v>
      </c>
    </row>
    <row r="152" spans="1:9" x14ac:dyDescent="0.15">
      <c r="A152" s="170" t="str">
        <f>IF(D152="","",VLOOKUP(D152,'Phase Codes'!$A$3:$N$187,7))</f>
        <v/>
      </c>
      <c r="C152" s="170" t="str">
        <f>IF(D152="","",VLOOKUP(D152,'Phase Codes'!$A$3:$N$187,8))</f>
        <v/>
      </c>
      <c r="D152" s="170" t="str">
        <f>IF('Base Bid'!G93="","",'Base Bid'!G93)</f>
        <v/>
      </c>
      <c r="E152" s="170" t="str">
        <f>IF(D152="","",VLOOKUP(D152,'Phase Codes'!$A$9:$C$187,3))</f>
        <v/>
      </c>
      <c r="F152" s="170" t="str">
        <f>IF(D152="","",IF('Base Bid'!J93&gt;0,'Base Bid'!J93,VLOOKUP(D152,'Phase Codes'!$A$9:$G$187,5)))</f>
        <v/>
      </c>
      <c r="G152" s="170" t="str">
        <f>IF(D152="","",IF('Base Bid'!K93&gt;0,'Base Bid'!K93,VLOOKUP(D152,'Phase Codes'!$A$9:$G$187,6)))</f>
        <v/>
      </c>
      <c r="H152" s="170">
        <f>'Base Bid'!M93</f>
        <v>0</v>
      </c>
      <c r="I152" s="282">
        <f>'Base Bid'!M93*'Base Bid'!H93</f>
        <v>0</v>
      </c>
    </row>
    <row r="153" spans="1:9" x14ac:dyDescent="0.15">
      <c r="A153" s="170" t="str">
        <f>IF(D153="","",VLOOKUP(D153,'Phase Codes'!$A$3:$N$187,7))</f>
        <v/>
      </c>
      <c r="C153" s="170" t="str">
        <f>IF(D153="","",VLOOKUP(D153,'Phase Codes'!$A$3:$N$187,8))</f>
        <v/>
      </c>
      <c r="D153" s="170" t="str">
        <f>IF('Base Bid'!G94="","",'Base Bid'!G94)</f>
        <v/>
      </c>
      <c r="E153" s="170" t="str">
        <f>IF(D153="","",VLOOKUP(D153,'Phase Codes'!$A$9:$C$187,3))</f>
        <v/>
      </c>
      <c r="F153" s="170" t="str">
        <f>IF(D153="","",IF('Base Bid'!J94&gt;0,'Base Bid'!J94,VLOOKUP(D153,'Phase Codes'!$A$9:$G$187,5)))</f>
        <v/>
      </c>
      <c r="G153" s="170" t="str">
        <f>IF(D153="","",IF('Base Bid'!K94&gt;0,'Base Bid'!K94,VLOOKUP(D153,'Phase Codes'!$A$9:$G$187,6)))</f>
        <v/>
      </c>
      <c r="H153" s="170">
        <f>'Base Bid'!M94</f>
        <v>0</v>
      </c>
      <c r="I153" s="282">
        <f>'Base Bid'!M94*'Base Bid'!H94</f>
        <v>0</v>
      </c>
    </row>
    <row r="154" spans="1:9" x14ac:dyDescent="0.15">
      <c r="A154" s="170" t="str">
        <f>IF(D154="","",VLOOKUP(D154,'Phase Codes'!$A$3:$N$187,7))</f>
        <v/>
      </c>
      <c r="C154" s="170" t="str">
        <f>IF(D154="","",VLOOKUP(D154,'Phase Codes'!$A$3:$N$187,8))</f>
        <v/>
      </c>
      <c r="D154" s="170" t="str">
        <f>IF('Base Bid'!G95="","",'Base Bid'!G95)</f>
        <v/>
      </c>
      <c r="E154" s="170" t="str">
        <f>IF(D154="","",VLOOKUP(D154,'Phase Codes'!$A$9:$C$187,3))</f>
        <v/>
      </c>
      <c r="F154" s="170" t="str">
        <f>IF(D154="","",IF('Base Bid'!J95&gt;0,'Base Bid'!J95,VLOOKUP(D154,'Phase Codes'!$A$9:$G$187,5)))</f>
        <v/>
      </c>
      <c r="G154" s="170" t="str">
        <f>IF(D154="","",IF('Base Bid'!K95&gt;0,'Base Bid'!K95,VLOOKUP(D154,'Phase Codes'!$A$9:$G$187,6)))</f>
        <v/>
      </c>
      <c r="H154" s="170">
        <f>'Base Bid'!M95</f>
        <v>0</v>
      </c>
      <c r="I154" s="282">
        <f>'Base Bid'!M95*'Base Bid'!H95</f>
        <v>0</v>
      </c>
    </row>
    <row r="155" spans="1:9" x14ac:dyDescent="0.15">
      <c r="A155" s="170" t="str">
        <f>IF(D155="","",VLOOKUP(D155,'Phase Codes'!$A$3:$N$187,7))</f>
        <v/>
      </c>
      <c r="C155" s="170" t="str">
        <f>IF(D155="","",VLOOKUP(D155,'Phase Codes'!$A$3:$N$187,8))</f>
        <v/>
      </c>
      <c r="D155" s="170" t="str">
        <f>IF('Base Bid'!G96="","",'Base Bid'!G96)</f>
        <v/>
      </c>
      <c r="E155" s="170" t="str">
        <f>IF(D155="","",VLOOKUP(D155,'Phase Codes'!$A$9:$C$187,3))</f>
        <v/>
      </c>
      <c r="F155" s="170" t="str">
        <f>IF(D155="","",IF('Base Bid'!J96&gt;0,'Base Bid'!J96,VLOOKUP(D155,'Phase Codes'!$A$9:$G$187,5)))</f>
        <v/>
      </c>
      <c r="G155" s="170" t="str">
        <f>IF(D155="","",IF('Base Bid'!K96&gt;0,'Base Bid'!K96,VLOOKUP(D155,'Phase Codes'!$A$9:$G$187,6)))</f>
        <v/>
      </c>
      <c r="H155" s="170">
        <f>'Base Bid'!M96</f>
        <v>0</v>
      </c>
      <c r="I155" s="282">
        <f>'Base Bid'!M96*'Base Bid'!H96</f>
        <v>0</v>
      </c>
    </row>
    <row r="156" spans="1:9" x14ac:dyDescent="0.15">
      <c r="A156" s="170" t="str">
        <f>IF(D156="","",VLOOKUP(D156,'Phase Codes'!$A$3:$N$187,7))</f>
        <v/>
      </c>
      <c r="C156" s="170" t="str">
        <f>IF(D156="","",VLOOKUP(D156,'Phase Codes'!$A$3:$N$187,8))</f>
        <v/>
      </c>
      <c r="D156" s="170" t="str">
        <f>IF('Base Bid'!G97="","",'Base Bid'!G97)</f>
        <v/>
      </c>
      <c r="E156" s="170" t="str">
        <f>IF(D156="","",VLOOKUP(D156,'Phase Codes'!$A$9:$C$187,3))</f>
        <v/>
      </c>
      <c r="F156" s="170" t="str">
        <f>IF(D156="","",IF('Base Bid'!J97&gt;0,'Base Bid'!J97,VLOOKUP(D156,'Phase Codes'!$A$9:$G$187,5)))</f>
        <v/>
      </c>
      <c r="G156" s="170" t="str">
        <f>IF(D156="","",IF('Base Bid'!K97&gt;0,'Base Bid'!K97,VLOOKUP(D156,'Phase Codes'!$A$9:$G$187,6)))</f>
        <v/>
      </c>
      <c r="H156" s="170">
        <f>'Base Bid'!M97</f>
        <v>0</v>
      </c>
      <c r="I156" s="282">
        <f>'Base Bid'!M97*'Base Bid'!H97</f>
        <v>0</v>
      </c>
    </row>
    <row r="157" spans="1:9" x14ac:dyDescent="0.15">
      <c r="A157" s="170" t="str">
        <f>IF(D157="","",VLOOKUP(D157,'Phase Codes'!$A$3:$N$187,7))</f>
        <v/>
      </c>
      <c r="C157" s="170" t="str">
        <f>IF(D157="","",VLOOKUP(D157,'Phase Codes'!$A$3:$N$187,8))</f>
        <v/>
      </c>
      <c r="D157" s="170" t="str">
        <f>IF('Base Bid'!G98="","",'Base Bid'!G98)</f>
        <v/>
      </c>
      <c r="E157" s="170" t="str">
        <f>IF(D157="","",VLOOKUP(D157,'Phase Codes'!$A$9:$C$187,3))</f>
        <v/>
      </c>
      <c r="F157" s="170" t="str">
        <f>IF(D157="","",IF('Base Bid'!J98&gt;0,'Base Bid'!J98,VLOOKUP(D157,'Phase Codes'!$A$9:$G$187,5)))</f>
        <v/>
      </c>
      <c r="G157" s="170" t="str">
        <f>IF(D157="","",IF('Base Bid'!K98&gt;0,'Base Bid'!K98,VLOOKUP(D157,'Phase Codes'!$A$9:$G$187,6)))</f>
        <v/>
      </c>
      <c r="H157" s="170">
        <f>'Base Bid'!M98</f>
        <v>0</v>
      </c>
      <c r="I157" s="282">
        <f>'Base Bid'!M98*'Base Bid'!H98</f>
        <v>0</v>
      </c>
    </row>
    <row r="158" spans="1:9" x14ac:dyDescent="0.15">
      <c r="A158" s="170" t="str">
        <f>IF(D158="","",VLOOKUP(D158,'Phase Codes'!$A$3:$N$187,7))</f>
        <v/>
      </c>
      <c r="C158" s="170" t="str">
        <f>IF(D158="","",VLOOKUP(D158,'Phase Codes'!$A$3:$N$187,8))</f>
        <v/>
      </c>
      <c r="D158" s="170" t="str">
        <f>IF('Base Bid'!G99="","",'Base Bid'!G99)</f>
        <v/>
      </c>
      <c r="E158" s="170" t="str">
        <f>IF(D158="","",VLOOKUP(D158,'Phase Codes'!$A$9:$C$187,3))</f>
        <v/>
      </c>
      <c r="F158" s="170" t="str">
        <f>IF(D158="","",IF('Base Bid'!J99&gt;0,'Base Bid'!J99,VLOOKUP(D158,'Phase Codes'!$A$9:$G$187,5)))</f>
        <v/>
      </c>
      <c r="G158" s="170" t="str">
        <f>IF(D158="","",IF('Base Bid'!K99&gt;0,'Base Bid'!K99,VLOOKUP(D158,'Phase Codes'!$A$9:$G$187,6)))</f>
        <v/>
      </c>
      <c r="H158" s="170">
        <f>'Base Bid'!M99</f>
        <v>0</v>
      </c>
      <c r="I158" s="282">
        <f>'Base Bid'!M99*'Base Bid'!H99</f>
        <v>0</v>
      </c>
    </row>
    <row r="159" spans="1:9" x14ac:dyDescent="0.15">
      <c r="A159" s="170" t="str">
        <f>IF(D159="","",VLOOKUP(D159,'Phase Codes'!$A$3:$N$187,7))</f>
        <v/>
      </c>
      <c r="C159" s="170" t="str">
        <f>IF(D159="","",VLOOKUP(D159,'Phase Codes'!$A$3:$N$187,8))</f>
        <v/>
      </c>
      <c r="D159" s="170" t="str">
        <f>IF('Base Bid'!G100="","",'Base Bid'!G100)</f>
        <v/>
      </c>
      <c r="E159" s="170" t="str">
        <f>IF(D159="","",VLOOKUP(D159,'Phase Codes'!$A$9:$C$187,3))</f>
        <v/>
      </c>
      <c r="F159" s="170" t="str">
        <f>IF(D159="","",IF('Base Bid'!J100&gt;0,'Base Bid'!J100,VLOOKUP(D159,'Phase Codes'!$A$9:$G$187,5)))</f>
        <v/>
      </c>
      <c r="G159" s="170" t="str">
        <f>IF(D159="","",IF('Base Bid'!K100&gt;0,'Base Bid'!K100,VLOOKUP(D159,'Phase Codes'!$A$9:$G$187,6)))</f>
        <v/>
      </c>
      <c r="H159" s="170">
        <f>'Base Bid'!M100</f>
        <v>0</v>
      </c>
      <c r="I159" s="282">
        <f>'Base Bid'!M100*'Base Bid'!H100</f>
        <v>0</v>
      </c>
    </row>
    <row r="160" spans="1:9" x14ac:dyDescent="0.15">
      <c r="A160" s="170" t="str">
        <f>IF(D160="","",VLOOKUP(D160,'Phase Codes'!$A$3:$N$187,7))</f>
        <v/>
      </c>
      <c r="C160" s="170" t="str">
        <f>IF(D160="","",VLOOKUP(D160,'Phase Codes'!$A$3:$N$187,8))</f>
        <v/>
      </c>
      <c r="D160" s="170" t="str">
        <f>IF('Base Bid'!G101="","",'Base Bid'!G101)</f>
        <v/>
      </c>
      <c r="E160" s="170" t="str">
        <f>IF(D160="","",VLOOKUP(D160,'Phase Codes'!$A$9:$C$187,3))</f>
        <v/>
      </c>
      <c r="F160" s="170" t="str">
        <f>IF(D160="","",IF('Base Bid'!J101&gt;0,'Base Bid'!J101,VLOOKUP(D160,'Phase Codes'!$A$9:$G$187,5)))</f>
        <v/>
      </c>
      <c r="G160" s="170" t="str">
        <f>IF(D160="","",IF('Base Bid'!K101&gt;0,'Base Bid'!K101,VLOOKUP(D160,'Phase Codes'!$A$9:$G$187,6)))</f>
        <v/>
      </c>
      <c r="H160" s="170">
        <f>'Base Bid'!M101</f>
        <v>0</v>
      </c>
      <c r="I160" s="282">
        <f>'Base Bid'!M101*'Base Bid'!H101</f>
        <v>0</v>
      </c>
    </row>
    <row r="161" spans="1:9" x14ac:dyDescent="0.15">
      <c r="A161" s="170" t="str">
        <f>IF(D161="","",VLOOKUP(D161,'Phase Codes'!$A$3:$N$187,7))</f>
        <v/>
      </c>
      <c r="C161" s="170" t="str">
        <f>IF(D161="","",VLOOKUP(D161,'Phase Codes'!$A$3:$N$187,8))</f>
        <v/>
      </c>
      <c r="D161" s="170" t="str">
        <f>IF('Base Bid'!G102="","",'Base Bid'!G102)</f>
        <v/>
      </c>
      <c r="E161" s="170" t="str">
        <f>IF(D161="","",VLOOKUP(D161,'Phase Codes'!$A$9:$C$187,3))</f>
        <v/>
      </c>
      <c r="F161" s="170" t="str">
        <f>IF(D161="","",IF('Base Bid'!J102&gt;0,'Base Bid'!J102,VLOOKUP(D161,'Phase Codes'!$A$9:$G$187,5)))</f>
        <v/>
      </c>
      <c r="G161" s="170" t="str">
        <f>IF(D161="","",IF('Base Bid'!K102&gt;0,'Base Bid'!K102,VLOOKUP(D161,'Phase Codes'!$A$9:$G$187,6)))</f>
        <v/>
      </c>
      <c r="H161" s="170">
        <f>'Base Bid'!M102</f>
        <v>0</v>
      </c>
      <c r="I161" s="282">
        <f>'Base Bid'!M102*'Base Bid'!H102</f>
        <v>0</v>
      </c>
    </row>
    <row r="162" spans="1:9" x14ac:dyDescent="0.15">
      <c r="A162" s="170" t="str">
        <f>IF(D162="","",VLOOKUP(D162,'Phase Codes'!$A$3:$N$187,7))</f>
        <v/>
      </c>
      <c r="C162" s="170" t="str">
        <f>IF(D162="","",VLOOKUP(D162,'Phase Codes'!$A$3:$N$187,8))</f>
        <v/>
      </c>
      <c r="D162" s="170" t="str">
        <f>IF('Base Bid'!G103="","",'Base Bid'!G103)</f>
        <v/>
      </c>
      <c r="E162" s="170" t="str">
        <f>IF(D162="","",VLOOKUP(D162,'Phase Codes'!$A$9:$C$187,3))</f>
        <v/>
      </c>
      <c r="F162" s="170" t="str">
        <f>IF(D162="","",IF('Base Bid'!J103&gt;0,'Base Bid'!J103,VLOOKUP(D162,'Phase Codes'!$A$9:$G$187,5)))</f>
        <v/>
      </c>
      <c r="G162" s="170" t="str">
        <f>IF(D162="","",IF('Base Bid'!K103&gt;0,'Base Bid'!K103,VLOOKUP(D162,'Phase Codes'!$A$9:$G$187,6)))</f>
        <v/>
      </c>
      <c r="H162" s="170">
        <f>'Base Bid'!M103</f>
        <v>0</v>
      </c>
      <c r="I162" s="282">
        <f>'Base Bid'!M103*'Base Bid'!H103</f>
        <v>0</v>
      </c>
    </row>
    <row r="163" spans="1:9" x14ac:dyDescent="0.15">
      <c r="A163" s="170" t="str">
        <f>IF(D163="","",VLOOKUP(D163,'Phase Codes'!$A$3:$N$187,7))</f>
        <v/>
      </c>
      <c r="C163" s="170" t="str">
        <f>IF(D163="","",VLOOKUP(D163,'Phase Codes'!$A$3:$N$187,8))</f>
        <v/>
      </c>
      <c r="D163" s="170" t="str">
        <f>IF('Base Bid'!G104="","",'Base Bid'!G104)</f>
        <v/>
      </c>
      <c r="E163" s="170" t="str">
        <f>IF(D163="","",VLOOKUP(D163,'Phase Codes'!$A$9:$C$187,3))</f>
        <v/>
      </c>
      <c r="F163" s="170" t="str">
        <f>IF(D163="","",IF('Base Bid'!J104&gt;0,'Base Bid'!J104,VLOOKUP(D163,'Phase Codes'!$A$9:$G$187,5)))</f>
        <v/>
      </c>
      <c r="G163" s="170" t="str">
        <f>IF(D163="","",IF('Base Bid'!K104&gt;0,'Base Bid'!K104,VLOOKUP(D163,'Phase Codes'!$A$9:$G$187,6)))</f>
        <v/>
      </c>
      <c r="H163" s="170">
        <f>'Base Bid'!M104</f>
        <v>0</v>
      </c>
      <c r="I163" s="282">
        <f>'Base Bid'!M104*'Base Bid'!H104</f>
        <v>0</v>
      </c>
    </row>
    <row r="164" spans="1:9" x14ac:dyDescent="0.15">
      <c r="A164" s="170" t="str">
        <f>IF(D164="","",VLOOKUP(D164,'Phase Codes'!$A$3:$N$187,7))</f>
        <v/>
      </c>
      <c r="C164" s="170" t="str">
        <f>IF(D164="","",VLOOKUP(D164,'Phase Codes'!$A$3:$N$187,8))</f>
        <v/>
      </c>
      <c r="D164" s="170" t="str">
        <f>IF('Base Bid'!G105="","",'Base Bid'!G105)</f>
        <v/>
      </c>
      <c r="E164" s="170" t="str">
        <f>IF(D164="","",VLOOKUP(D164,'Phase Codes'!$A$9:$C$187,3))</f>
        <v/>
      </c>
      <c r="F164" s="170" t="str">
        <f>IF(D164="","",IF('Base Bid'!J105&gt;0,'Base Bid'!J105,VLOOKUP(D164,'Phase Codes'!$A$9:$G$187,5)))</f>
        <v/>
      </c>
      <c r="G164" s="170" t="str">
        <f>IF(D164="","",IF('Base Bid'!K105&gt;0,'Base Bid'!K105,VLOOKUP(D164,'Phase Codes'!$A$9:$G$187,6)))</f>
        <v/>
      </c>
      <c r="H164" s="170">
        <f>'Base Bid'!M105</f>
        <v>0</v>
      </c>
      <c r="I164" s="282">
        <f>'Base Bid'!M105*'Base Bid'!H105</f>
        <v>0</v>
      </c>
    </row>
    <row r="165" spans="1:9" x14ac:dyDescent="0.15">
      <c r="A165" s="170" t="str">
        <f>IF(D165="","",VLOOKUP(D165,'Phase Codes'!$A$3:$N$187,7))</f>
        <v/>
      </c>
      <c r="C165" s="170" t="str">
        <f>IF(D165="","",VLOOKUP(D165,'Phase Codes'!$A$3:$N$187,8))</f>
        <v/>
      </c>
      <c r="D165" s="170" t="str">
        <f>IF('Base Bid'!G106="","",'Base Bid'!G106)</f>
        <v/>
      </c>
      <c r="E165" s="170" t="str">
        <f>IF(D165="","",VLOOKUP(D165,'Phase Codes'!$A$9:$C$187,3))</f>
        <v/>
      </c>
      <c r="F165" s="170" t="str">
        <f>IF(D165="","",IF('Base Bid'!J106&gt;0,'Base Bid'!J106,VLOOKUP(D165,'Phase Codes'!$A$9:$G$187,5)))</f>
        <v/>
      </c>
      <c r="G165" s="170" t="str">
        <f>IF(D165="","",IF('Base Bid'!K106&gt;0,'Base Bid'!K106,VLOOKUP(D165,'Phase Codes'!$A$9:$G$187,6)))</f>
        <v/>
      </c>
      <c r="H165" s="170">
        <f>'Base Bid'!M106</f>
        <v>0</v>
      </c>
      <c r="I165" s="282">
        <f>'Base Bid'!M106*'Base Bid'!H106</f>
        <v>0</v>
      </c>
    </row>
    <row r="166" spans="1:9" x14ac:dyDescent="0.15">
      <c r="A166" s="170" t="str">
        <f>IF(D166="","",VLOOKUP(D166,'Phase Codes'!$A$3:$N$187,7))</f>
        <v/>
      </c>
      <c r="C166" s="170" t="str">
        <f>IF(D166="","",VLOOKUP(D166,'Phase Codes'!$A$3:$N$187,8))</f>
        <v/>
      </c>
      <c r="D166" s="170" t="str">
        <f>IF('Base Bid'!G107="","",'Base Bid'!G107)</f>
        <v/>
      </c>
      <c r="E166" s="170" t="str">
        <f>IF(D166="","",VLOOKUP(D166,'Phase Codes'!$A$9:$C$187,3))</f>
        <v/>
      </c>
      <c r="F166" s="170" t="str">
        <f>IF(D166="","",IF('Base Bid'!J107&gt;0,'Base Bid'!J107,VLOOKUP(D166,'Phase Codes'!$A$9:$G$187,5)))</f>
        <v/>
      </c>
      <c r="G166" s="170" t="str">
        <f>IF(D166="","",IF('Base Bid'!K107&gt;0,'Base Bid'!K107,VLOOKUP(D166,'Phase Codes'!$A$9:$G$187,6)))</f>
        <v/>
      </c>
      <c r="H166" s="170">
        <f>'Base Bid'!M107</f>
        <v>0</v>
      </c>
      <c r="I166" s="282">
        <f>'Base Bid'!M107*'Base Bid'!H107</f>
        <v>0</v>
      </c>
    </row>
    <row r="167" spans="1:9" x14ac:dyDescent="0.15">
      <c r="A167" s="170" t="str">
        <f>IF(D167="","",VLOOKUP(D167,'Phase Codes'!$A$3:$N$187,7))</f>
        <v/>
      </c>
      <c r="C167" s="170" t="str">
        <f>IF(D167="","",VLOOKUP(D167,'Phase Codes'!$A$3:$N$187,8))</f>
        <v/>
      </c>
      <c r="D167" s="170" t="str">
        <f>IF('Base Bid'!G108="","",'Base Bid'!G108)</f>
        <v/>
      </c>
      <c r="E167" s="170" t="str">
        <f>IF(D167="","",VLOOKUP(D167,'Phase Codes'!$A$9:$C$187,3))</f>
        <v/>
      </c>
      <c r="F167" s="170" t="str">
        <f>IF(D167="","",IF('Base Bid'!J108&gt;0,'Base Bid'!J108,VLOOKUP(D167,'Phase Codes'!$A$9:$G$187,5)))</f>
        <v/>
      </c>
      <c r="G167" s="170" t="str">
        <f>IF(D167="","",IF('Base Bid'!K108&gt;0,'Base Bid'!K108,VLOOKUP(D167,'Phase Codes'!$A$9:$G$187,6)))</f>
        <v/>
      </c>
      <c r="H167" s="170">
        <f>'Base Bid'!M108</f>
        <v>0</v>
      </c>
      <c r="I167" s="282">
        <f>'Base Bid'!M108*'Base Bid'!H108</f>
        <v>0</v>
      </c>
    </row>
    <row r="168" spans="1:9" x14ac:dyDescent="0.15">
      <c r="A168" s="170" t="str">
        <f>IF(D168="","",VLOOKUP(D168,'Phase Codes'!$A$3:$N$187,7))</f>
        <v/>
      </c>
      <c r="C168" s="170" t="str">
        <f>IF(D168="","",VLOOKUP(D168,'Phase Codes'!$A$3:$N$187,8))</f>
        <v/>
      </c>
      <c r="D168" s="170" t="str">
        <f>IF('Base Bid'!G109="","",'Base Bid'!G109)</f>
        <v/>
      </c>
      <c r="E168" s="170" t="str">
        <f>IF(D168="","",VLOOKUP(D168,'Phase Codes'!$A$9:$C$187,3))</f>
        <v/>
      </c>
      <c r="F168" s="170" t="str">
        <f>IF(D168="","",IF('Base Bid'!J109&gt;0,'Base Bid'!J109,VLOOKUP(D168,'Phase Codes'!$A$9:$G$187,5)))</f>
        <v/>
      </c>
      <c r="G168" s="170" t="str">
        <f>IF(D168="","",IF('Base Bid'!K109&gt;0,'Base Bid'!K109,VLOOKUP(D168,'Phase Codes'!$A$9:$G$187,6)))</f>
        <v/>
      </c>
      <c r="H168" s="170">
        <f>'Base Bid'!M109</f>
        <v>0</v>
      </c>
      <c r="I168" s="282">
        <f>'Base Bid'!M109*'Base Bid'!H109</f>
        <v>0</v>
      </c>
    </row>
    <row r="169" spans="1:9" x14ac:dyDescent="0.15">
      <c r="A169" s="170" t="str">
        <f>IF(D169="","",VLOOKUP(D169,'Phase Codes'!$A$3:$N$187,7))</f>
        <v/>
      </c>
      <c r="C169" s="170" t="str">
        <f>IF(D169="","",VLOOKUP(D169,'Phase Codes'!$A$3:$N$187,8))</f>
        <v/>
      </c>
      <c r="D169" s="170" t="str">
        <f>IF('Base Bid'!G110="","",'Base Bid'!G110)</f>
        <v/>
      </c>
      <c r="E169" s="170" t="str">
        <f>IF(D169="","",VLOOKUP(D169,'Phase Codes'!$A$9:$C$187,3))</f>
        <v/>
      </c>
      <c r="F169" s="170" t="str">
        <f>IF(D169="","",IF('Base Bid'!J110&gt;0,'Base Bid'!J110,VLOOKUP(D169,'Phase Codes'!$A$9:$G$187,5)))</f>
        <v/>
      </c>
      <c r="G169" s="170" t="str">
        <f>IF(D169="","",IF('Base Bid'!K110&gt;0,'Base Bid'!K110,VLOOKUP(D169,'Phase Codes'!$A$9:$G$187,6)))</f>
        <v/>
      </c>
      <c r="H169" s="170">
        <f>'Base Bid'!M110</f>
        <v>0</v>
      </c>
      <c r="I169" s="282">
        <f>'Base Bid'!M110*'Base Bid'!H110</f>
        <v>0</v>
      </c>
    </row>
    <row r="170" spans="1:9" x14ac:dyDescent="0.15">
      <c r="A170" s="170" t="str">
        <f>IF(D170="","",VLOOKUP(D170,'Phase Codes'!$A$3:$N$187,7))</f>
        <v/>
      </c>
      <c r="C170" s="170" t="str">
        <f>IF(D170="","",VLOOKUP(D170,'Phase Codes'!$A$3:$N$187,8))</f>
        <v/>
      </c>
      <c r="D170" s="170" t="str">
        <f>IF('Base Bid'!G111="","",'Base Bid'!G111)</f>
        <v/>
      </c>
      <c r="E170" s="170" t="str">
        <f>IF(D170="","",VLOOKUP(D170,'Phase Codes'!$A$9:$C$187,3))</f>
        <v/>
      </c>
      <c r="F170" s="170" t="str">
        <f>IF(D170="","",IF('Base Bid'!J111&gt;0,'Base Bid'!J111,VLOOKUP(D170,'Phase Codes'!$A$9:$G$187,5)))</f>
        <v/>
      </c>
      <c r="G170" s="170" t="str">
        <f>IF(D170="","",IF('Base Bid'!K111&gt;0,'Base Bid'!K111,VLOOKUP(D170,'Phase Codes'!$A$9:$G$187,6)))</f>
        <v/>
      </c>
      <c r="H170" s="170">
        <f>'Base Bid'!M111</f>
        <v>0</v>
      </c>
      <c r="I170" s="282">
        <f>'Base Bid'!M111*'Base Bid'!H111</f>
        <v>0</v>
      </c>
    </row>
    <row r="171" spans="1:9" x14ac:dyDescent="0.15">
      <c r="A171" s="170" t="str">
        <f>IF(D171="","",VLOOKUP(D171,'Phase Codes'!$A$3:$N$187,7))</f>
        <v/>
      </c>
      <c r="C171" s="170" t="str">
        <f>IF(D171="","",VLOOKUP(D171,'Phase Codes'!$A$3:$N$187,8))</f>
        <v/>
      </c>
      <c r="D171" s="170" t="str">
        <f>IF('Base Bid'!G112="","",'Base Bid'!G112)</f>
        <v/>
      </c>
      <c r="E171" s="170" t="str">
        <f>IF(D171="","",VLOOKUP(D171,'Phase Codes'!$A$9:$C$187,3))</f>
        <v/>
      </c>
      <c r="F171" s="170" t="str">
        <f>IF(D171="","",IF('Base Bid'!J112&gt;0,'Base Bid'!J112,VLOOKUP(D171,'Phase Codes'!$A$9:$G$187,5)))</f>
        <v/>
      </c>
      <c r="G171" s="170" t="str">
        <f>IF(D171="","",IF('Base Bid'!K112&gt;0,'Base Bid'!K112,VLOOKUP(D171,'Phase Codes'!$A$9:$G$187,6)))</f>
        <v/>
      </c>
      <c r="H171" s="170">
        <f>'Base Bid'!M112</f>
        <v>0</v>
      </c>
      <c r="I171" s="282">
        <f>'Base Bid'!M112*'Base Bid'!H112</f>
        <v>0</v>
      </c>
    </row>
    <row r="172" spans="1:9" x14ac:dyDescent="0.15">
      <c r="A172" s="170" t="str">
        <f>IF(D172="","",VLOOKUP(D172,'Phase Codes'!$A$3:$N$187,7))</f>
        <v/>
      </c>
      <c r="C172" s="170" t="str">
        <f>IF(D172="","",VLOOKUP(D172,'Phase Codes'!$A$3:$N$187,8))</f>
        <v/>
      </c>
      <c r="D172" s="170" t="str">
        <f>IF('Base Bid'!G113="","",'Base Bid'!G113)</f>
        <v/>
      </c>
      <c r="E172" s="170" t="str">
        <f>IF(D172="","",VLOOKUP(D172,'Phase Codes'!$A$9:$C$187,3))</f>
        <v/>
      </c>
      <c r="F172" s="170" t="str">
        <f>IF(D172="","",IF('Base Bid'!J113&gt;0,'Base Bid'!J113,VLOOKUP(D172,'Phase Codes'!$A$9:$G$187,5)))</f>
        <v/>
      </c>
      <c r="G172" s="170" t="str">
        <f>IF(D172="","",IF('Base Bid'!K113&gt;0,'Base Bid'!K113,VLOOKUP(D172,'Phase Codes'!$A$9:$G$187,6)))</f>
        <v/>
      </c>
      <c r="H172" s="170">
        <f>'Base Bid'!M113</f>
        <v>0</v>
      </c>
      <c r="I172" s="282">
        <f>'Base Bid'!M113*'Base Bid'!H113</f>
        <v>0</v>
      </c>
    </row>
    <row r="173" spans="1:9" x14ac:dyDescent="0.15">
      <c r="A173" s="170" t="str">
        <f>IF(D173="","",VLOOKUP(D173,'Phase Codes'!$A$3:$N$187,7))</f>
        <v/>
      </c>
      <c r="C173" s="170" t="str">
        <f>IF(D173="","",VLOOKUP(D173,'Phase Codes'!$A$3:$N$187,8))</f>
        <v/>
      </c>
      <c r="D173" s="170" t="str">
        <f>IF('Base Bid'!G114="","",'Base Bid'!G114)</f>
        <v/>
      </c>
      <c r="E173" s="170" t="str">
        <f>IF(D173="","",VLOOKUP(D173,'Phase Codes'!$A$9:$C$187,3))</f>
        <v/>
      </c>
      <c r="F173" s="170" t="str">
        <f>IF(D173="","",IF('Base Bid'!J114&gt;0,'Base Bid'!J114,VLOOKUP(D173,'Phase Codes'!$A$9:$G$187,5)))</f>
        <v/>
      </c>
      <c r="G173" s="170" t="str">
        <f>IF(D173="","",IF('Base Bid'!K114&gt;0,'Base Bid'!K114,VLOOKUP(D173,'Phase Codes'!$A$9:$G$187,6)))</f>
        <v/>
      </c>
      <c r="H173" s="170">
        <f>'Base Bid'!M114</f>
        <v>0</v>
      </c>
      <c r="I173" s="282">
        <f>'Base Bid'!M114*'Base Bid'!H114</f>
        <v>0</v>
      </c>
    </row>
    <row r="174" spans="1:9" x14ac:dyDescent="0.15">
      <c r="A174" s="170" t="str">
        <f>IF(D174="","",VLOOKUP(D174,'Phase Codes'!$A$3:$N$187,7))</f>
        <v/>
      </c>
      <c r="C174" s="170" t="str">
        <f>IF(D174="","",VLOOKUP(D174,'Phase Codes'!$A$3:$N$187,8))</f>
        <v/>
      </c>
      <c r="D174" s="170" t="str">
        <f>IF('Base Bid'!G115="","",'Base Bid'!G115)</f>
        <v/>
      </c>
      <c r="E174" s="170" t="str">
        <f>IF(D174="","",VLOOKUP(D174,'Phase Codes'!$A$9:$C$187,3))</f>
        <v/>
      </c>
      <c r="F174" s="170" t="str">
        <f>IF(D174="","",IF('Base Bid'!J115&gt;0,'Base Bid'!J115,VLOOKUP(D174,'Phase Codes'!$A$9:$G$187,5)))</f>
        <v/>
      </c>
      <c r="G174" s="170" t="str">
        <f>IF(D174="","",IF('Base Bid'!K115&gt;0,'Base Bid'!K115,VLOOKUP(D174,'Phase Codes'!$A$9:$G$187,6)))</f>
        <v/>
      </c>
      <c r="H174" s="170">
        <f>'Base Bid'!M115</f>
        <v>0</v>
      </c>
      <c r="I174" s="282">
        <f>'Base Bid'!M115*'Base Bid'!H115</f>
        <v>0</v>
      </c>
    </row>
    <row r="175" spans="1:9" x14ac:dyDescent="0.15">
      <c r="A175" s="170" t="str">
        <f>IF(D175="","",VLOOKUP(D175,'Phase Codes'!$A$3:$N$187,7))</f>
        <v/>
      </c>
      <c r="C175" s="170" t="str">
        <f>IF(D175="","",VLOOKUP(D175,'Phase Codes'!$A$3:$N$187,8))</f>
        <v/>
      </c>
      <c r="D175" s="170" t="str">
        <f>IF('Base Bid'!G116="","",'Base Bid'!G116)</f>
        <v/>
      </c>
      <c r="E175" s="170" t="str">
        <f>IF(D175="","",VLOOKUP(D175,'Phase Codes'!$A$9:$C$187,3))</f>
        <v/>
      </c>
      <c r="F175" s="170" t="str">
        <f>IF(D175="","",IF('Base Bid'!J116&gt;0,'Base Bid'!J116,VLOOKUP(D175,'Phase Codes'!$A$9:$G$187,5)))</f>
        <v/>
      </c>
      <c r="G175" s="170" t="str">
        <f>IF(D175="","",IF('Base Bid'!K116&gt;0,'Base Bid'!K116,VLOOKUP(D175,'Phase Codes'!$A$9:$G$187,6)))</f>
        <v/>
      </c>
      <c r="H175" s="170">
        <f>'Base Bid'!M116</f>
        <v>0</v>
      </c>
      <c r="I175" s="282">
        <f>'Base Bid'!M116*'Base Bid'!H116</f>
        <v>0</v>
      </c>
    </row>
    <row r="176" spans="1:9" x14ac:dyDescent="0.15">
      <c r="A176" s="170" t="str">
        <f>IF(D176="","",VLOOKUP(D176,'Phase Codes'!$A$3:$N$187,7))</f>
        <v/>
      </c>
      <c r="C176" s="170" t="str">
        <f>IF(D176="","",VLOOKUP(D176,'Phase Codes'!$A$3:$N$187,8))</f>
        <v/>
      </c>
      <c r="D176" s="170" t="str">
        <f>IF('Base Bid'!G117="","",'Base Bid'!G117)</f>
        <v/>
      </c>
      <c r="E176" s="170" t="str">
        <f>IF(D176="","",VLOOKUP(D176,'Phase Codes'!$A$9:$C$187,3))</f>
        <v/>
      </c>
      <c r="F176" s="170" t="str">
        <f>IF(D176="","",IF('Base Bid'!J117&gt;0,'Base Bid'!J117,VLOOKUP(D176,'Phase Codes'!$A$9:$G$187,5)))</f>
        <v/>
      </c>
      <c r="G176" s="170" t="str">
        <f>IF(D176="","",IF('Base Bid'!K117&gt;0,'Base Bid'!K117,VLOOKUP(D176,'Phase Codes'!$A$9:$G$187,6)))</f>
        <v/>
      </c>
      <c r="H176" s="170">
        <f>'Base Bid'!M117</f>
        <v>0</v>
      </c>
      <c r="I176" s="282">
        <f>'Base Bid'!M117*'Base Bid'!H117</f>
        <v>0</v>
      </c>
    </row>
    <row r="177" spans="1:12" x14ac:dyDescent="0.15">
      <c r="A177" s="170" t="str">
        <f>IF(D177="","",VLOOKUP(D177,'Phase Codes'!$A$3:$N$187,7))</f>
        <v/>
      </c>
      <c r="C177" s="170" t="str">
        <f>IF(D177="","",VLOOKUP(D177,'Phase Codes'!$A$3:$N$187,8))</f>
        <v/>
      </c>
      <c r="D177" s="170" t="str">
        <f>IF('Base Bid'!G118="","",'Base Bid'!G118)</f>
        <v/>
      </c>
      <c r="E177" s="170" t="str">
        <f>IF(D177="","",VLOOKUP(D177,'Phase Codes'!$A$9:$C$187,3))</f>
        <v/>
      </c>
      <c r="F177" s="170" t="str">
        <f>IF(D177="","",IF('Base Bid'!J118&gt;0,'Base Bid'!J118,VLOOKUP(D177,'Phase Codes'!$A$9:$G$187,5)))</f>
        <v/>
      </c>
      <c r="G177" s="170" t="str">
        <f>IF(D177="","",IF('Base Bid'!K118&gt;0,'Base Bid'!K118,VLOOKUP(D177,'Phase Codes'!$A$9:$G$187,6)))</f>
        <v/>
      </c>
      <c r="H177" s="170">
        <f>'Base Bid'!M118</f>
        <v>0</v>
      </c>
      <c r="I177" s="282">
        <f>'Base Bid'!M118*'Base Bid'!H118</f>
        <v>0</v>
      </c>
    </row>
    <row r="178" spans="1:12" x14ac:dyDescent="0.15">
      <c r="A178" s="170" t="str">
        <f>IF(D178="","",VLOOKUP(D178,'Phase Codes'!$A$3:$N$187,7))</f>
        <v/>
      </c>
      <c r="C178" s="170" t="str">
        <f>IF(D178="","",VLOOKUP(D178,'Phase Codes'!$A$3:$N$187,8))</f>
        <v/>
      </c>
      <c r="D178" s="170" t="str">
        <f>IF('Base Bid'!G119="","",'Base Bid'!G119)</f>
        <v/>
      </c>
      <c r="E178" s="170" t="str">
        <f>IF(D178="","",VLOOKUP(D178,'Phase Codes'!$A$9:$C$187,3))</f>
        <v/>
      </c>
      <c r="F178" s="170" t="str">
        <f>IF(D178="","",IF('Base Bid'!J119&gt;0,'Base Bid'!J119,VLOOKUP(D178,'Phase Codes'!$A$9:$G$187,5)))</f>
        <v/>
      </c>
      <c r="G178" s="170" t="str">
        <f>IF(D178="","",IF('Base Bid'!K119&gt;0,'Base Bid'!K119,VLOOKUP(D178,'Phase Codes'!$A$9:$G$187,6)))</f>
        <v/>
      </c>
      <c r="H178" s="170">
        <f>'Base Bid'!M119</f>
        <v>0</v>
      </c>
      <c r="I178" s="282">
        <f>'Base Bid'!M119*'Base Bid'!H119</f>
        <v>0</v>
      </c>
    </row>
    <row r="179" spans="1:12" x14ac:dyDescent="0.15">
      <c r="A179" s="170" t="str">
        <f>IF(D179="","",VLOOKUP(D179,'Phase Codes'!$A$3:$N$187,7))</f>
        <v/>
      </c>
      <c r="C179" s="170" t="str">
        <f>IF(D179="","",VLOOKUP(D179,'Phase Codes'!$A$3:$N$187,8))</f>
        <v/>
      </c>
      <c r="D179" s="170" t="str">
        <f>IF('Base Bid'!G120="","",'Base Bid'!G120)</f>
        <v/>
      </c>
      <c r="E179" s="170" t="str">
        <f>IF(D179="","",VLOOKUP(D179,'Phase Codes'!$A$9:$C$187,3))</f>
        <v/>
      </c>
      <c r="F179" s="170" t="str">
        <f>IF(D179="","",IF('Base Bid'!J120&gt;0,'Base Bid'!J120,VLOOKUP(D179,'Phase Codes'!$A$9:$G$187,5)))</f>
        <v/>
      </c>
      <c r="G179" s="170" t="str">
        <f>IF(D179="","",IF('Base Bid'!K120&gt;0,'Base Bid'!K120,VLOOKUP(D179,'Phase Codes'!$A$9:$G$187,6)))</f>
        <v/>
      </c>
      <c r="H179" s="170">
        <f>'Base Bid'!M120</f>
        <v>0</v>
      </c>
      <c r="I179" s="282">
        <f>'Base Bid'!M120*'Base Bid'!H120</f>
        <v>0</v>
      </c>
    </row>
    <row r="180" spans="1:12" ht="9" thickBot="1" x14ac:dyDescent="0.2">
      <c r="A180" s="280" t="str">
        <f>IF(D180="","",VLOOKUP(D180,'Phase Codes'!$A$3:$N$187,7))</f>
        <v/>
      </c>
      <c r="B180" s="280"/>
      <c r="C180" s="280" t="str">
        <f>IF(D180="","",VLOOKUP(D180,'Phase Codes'!$A$3:$N$187,8))</f>
        <v/>
      </c>
      <c r="D180" s="280" t="str">
        <f>IF('Base Bid'!G121="","",'Base Bid'!G121)</f>
        <v/>
      </c>
      <c r="E180" s="280" t="str">
        <f>IF(D180="","",VLOOKUP(D180,'Phase Codes'!$A$9:$C$187,3))</f>
        <v/>
      </c>
      <c r="F180" s="280" t="str">
        <f>IF(D180="","",IF('Base Bid'!J121&gt;0,'Base Bid'!J121,VLOOKUP(D180,'Phase Codes'!$A$9:$G$187,5)))</f>
        <v/>
      </c>
      <c r="G180" s="280" t="str">
        <f>IF(D180="","",IF('Base Bid'!K121&gt;0,'Base Bid'!K121,VLOOKUP(D180,'Phase Codes'!$A$9:$G$187,6)))</f>
        <v/>
      </c>
      <c r="H180" s="280">
        <f>'Base Bid'!M121</f>
        <v>0</v>
      </c>
      <c r="I180" s="283">
        <f>'Base Bid'!M121*'Base Bid'!H121</f>
        <v>0</v>
      </c>
      <c r="J180" s="283"/>
      <c r="K180" s="280"/>
      <c r="L180" s="280"/>
    </row>
    <row r="181" spans="1:12" ht="9.75" thickTop="1" thickBot="1" x14ac:dyDescent="0.2">
      <c r="A181" s="280"/>
      <c r="B181" s="280" t="s">
        <v>988</v>
      </c>
      <c r="C181" s="280"/>
      <c r="D181" s="280"/>
      <c r="E181" s="280"/>
      <c r="F181" s="280"/>
      <c r="G181" s="280"/>
      <c r="H181" s="280"/>
      <c r="I181" s="283"/>
      <c r="J181" s="283"/>
      <c r="K181" s="280"/>
      <c r="L181" s="280"/>
    </row>
    <row r="182" spans="1:12" ht="9" thickTop="1" x14ac:dyDescent="0.15">
      <c r="A182" s="170">
        <f>IF(D182="","",VLOOKUP(D182,'Phase Codes'!$A$3:$N$187,7))</f>
        <v>3</v>
      </c>
      <c r="C182" s="170">
        <f>IF(D182="","",VLOOKUP(D182,'Phase Codes'!$A$3:$N$187,8))</f>
        <v>10</v>
      </c>
      <c r="D182" s="170" t="str">
        <f>IF('Base Bid'!G72="","","45-030-151")</f>
        <v>45-030-151</v>
      </c>
      <c r="E182" s="170">
        <f>IF(D182="","",VLOOKUP(D182,'Phase Codes'!$A$9:$C$187,3))</f>
        <v>1</v>
      </c>
      <c r="F182" s="170">
        <f>IF(D182="","",IF('Base Bid'!J72&gt;0,'Base Bid'!J72,VLOOKUP(D182,'Phase Codes'!$A$9:$G$187,5)))</f>
        <v>100</v>
      </c>
      <c r="G182" s="170" t="str">
        <f>IF(D182="","",IF('Base Bid'!K72&gt;0,'Base Bid'!K72,VLOOKUP(D182,'Phase Codes'!$A$9:$G$187,6)))</f>
        <v>PCT</v>
      </c>
      <c r="H182" s="170">
        <f>'Base Bid'!N72</f>
        <v>0</v>
      </c>
      <c r="I182" s="282">
        <f>'Base Bid'!N72*'Base Bid'!I72</f>
        <v>0</v>
      </c>
    </row>
    <row r="183" spans="1:12" x14ac:dyDescent="0.15">
      <c r="A183" s="170">
        <f>IF(D183="","",VLOOKUP(D183,'Phase Codes'!$A$3:$N$187,7))</f>
        <v>3</v>
      </c>
      <c r="C183" s="170">
        <f>IF(D183="","",VLOOKUP(D183,'Phase Codes'!$A$3:$N$187,8))</f>
        <v>10</v>
      </c>
      <c r="D183" s="170" t="str">
        <f>IF('Base Bid'!G73="","","45-030-152")</f>
        <v>45-030-152</v>
      </c>
      <c r="E183" s="170">
        <f>IF(D183="","",VLOOKUP(D183,'Phase Codes'!$A$9:$C$187,3))</f>
        <v>1</v>
      </c>
      <c r="F183" s="170">
        <f>IF(D183="","",IF('Base Bid'!J73&gt;0,'Base Bid'!J73,VLOOKUP(D183,'Phase Codes'!$A$9:$G$187,5)))</f>
        <v>100</v>
      </c>
      <c r="G183" s="170" t="str">
        <f>IF(D183="","",IF('Base Bid'!K73&gt;0,'Base Bid'!K73,VLOOKUP(D183,'Phase Codes'!$A$9:$G$187,6)))</f>
        <v>PCT</v>
      </c>
      <c r="H183" s="170">
        <f>'Base Bid'!N73</f>
        <v>0</v>
      </c>
      <c r="I183" s="282">
        <f>'Base Bid'!N73*'Base Bid'!I73</f>
        <v>0</v>
      </c>
    </row>
    <row r="184" spans="1:12" x14ac:dyDescent="0.15">
      <c r="A184" s="170" t="str">
        <f>IF(D184="","",VLOOKUP(D184,'Phase Codes'!$A$3:$N$187,7))</f>
        <v/>
      </c>
      <c r="C184" s="170" t="str">
        <f>IF(D184="","",VLOOKUP(D184,'Phase Codes'!$A$3:$N$187,8))</f>
        <v/>
      </c>
      <c r="D184" s="170" t="str">
        <f>IF('Base Bid'!G74="","","45-030-153")</f>
        <v/>
      </c>
      <c r="E184" s="170" t="str">
        <f>IF(D184="","",VLOOKUP(D184,'Phase Codes'!$A$9:$C$187,3))</f>
        <v/>
      </c>
      <c r="F184" s="170" t="str">
        <f>IF(D184="","",IF('Base Bid'!J74&gt;0,'Base Bid'!J74,VLOOKUP(D184,'Phase Codes'!$A$9:$G$187,5)))</f>
        <v/>
      </c>
      <c r="G184" s="170" t="str">
        <f>IF(D184="","",IF('Base Bid'!K74&gt;0,'Base Bid'!K74,VLOOKUP(D184,'Phase Codes'!$A$9:$G$187,6)))</f>
        <v/>
      </c>
      <c r="H184" s="170">
        <f>'Base Bid'!N74</f>
        <v>0</v>
      </c>
      <c r="I184" s="282">
        <f>'Base Bid'!N74*'Base Bid'!I74</f>
        <v>0</v>
      </c>
    </row>
    <row r="185" spans="1:12" x14ac:dyDescent="0.15">
      <c r="A185" s="170" t="str">
        <f>IF(D185="","",VLOOKUP(D185,'Phase Codes'!$A$3:$N$187,7))</f>
        <v/>
      </c>
      <c r="C185" s="170" t="str">
        <f>IF(D185="","",VLOOKUP(D185,'Phase Codes'!$A$3:$N$187,8))</f>
        <v/>
      </c>
      <c r="D185" s="170" t="str">
        <f>IF('Base Bid'!G75="","","45-030-154")</f>
        <v/>
      </c>
      <c r="E185" s="170" t="str">
        <f>IF(D185="","",VLOOKUP(D185,'Phase Codes'!$A$9:$C$187,3))</f>
        <v/>
      </c>
      <c r="F185" s="170" t="str">
        <f>IF(D185="","",IF('Base Bid'!J75&gt;0,'Base Bid'!J75,VLOOKUP(D185,'Phase Codes'!$A$9:$G$187,5)))</f>
        <v/>
      </c>
      <c r="G185" s="170" t="str">
        <f>IF(D185="","",IF('Base Bid'!K75&gt;0,'Base Bid'!K75,VLOOKUP(D185,'Phase Codes'!$A$9:$G$187,6)))</f>
        <v/>
      </c>
      <c r="H185" s="170">
        <f>'Base Bid'!N75</f>
        <v>0</v>
      </c>
      <c r="I185" s="282">
        <f>'Base Bid'!N75*'Base Bid'!I75</f>
        <v>0</v>
      </c>
    </row>
    <row r="186" spans="1:12" x14ac:dyDescent="0.15">
      <c r="A186" s="170" t="str">
        <f>IF(D186="","",VLOOKUP(D186,'Phase Codes'!$A$3:$N$187,7))</f>
        <v/>
      </c>
      <c r="C186" s="170" t="str">
        <f>IF(D186="","",VLOOKUP(D186,'Phase Codes'!$A$3:$N$187,8))</f>
        <v/>
      </c>
      <c r="D186" s="170" t="str">
        <f>IF('Base Bid'!G76="","","45-030-155")</f>
        <v/>
      </c>
      <c r="E186" s="170" t="str">
        <f>IF(D186="","",VLOOKUP(D186,'Phase Codes'!$A$9:$C$187,3))</f>
        <v/>
      </c>
      <c r="F186" s="170" t="str">
        <f>IF(D186="","",IF('Base Bid'!J76&gt;0,'Base Bid'!J76,VLOOKUP(D186,'Phase Codes'!$A$9:$G$187,5)))</f>
        <v/>
      </c>
      <c r="G186" s="170" t="str">
        <f>IF(D186="","",IF('Base Bid'!K76&gt;0,'Base Bid'!K76,VLOOKUP(D186,'Phase Codes'!$A$9:$G$187,6)))</f>
        <v/>
      </c>
      <c r="H186" s="170">
        <f>'Base Bid'!N76</f>
        <v>0</v>
      </c>
      <c r="I186" s="282">
        <f>'Base Bid'!N76*'Base Bid'!I76</f>
        <v>0</v>
      </c>
    </row>
    <row r="187" spans="1:12" x14ac:dyDescent="0.15">
      <c r="A187" s="170" t="str">
        <f>IF(D187="","",VLOOKUP(D187,'Phase Codes'!$A$3:$N$187,7))</f>
        <v/>
      </c>
      <c r="C187" s="170" t="str">
        <f>IF(D187="","",VLOOKUP(D187,'Phase Codes'!$A$3:$N$187,8))</f>
        <v/>
      </c>
      <c r="D187" s="170" t="str">
        <f>IF('Base Bid'!G77="","","45-030-156")</f>
        <v/>
      </c>
      <c r="E187" s="170" t="str">
        <f>IF(D187="","",VLOOKUP(D187,'Phase Codes'!$A$9:$C$187,3))</f>
        <v/>
      </c>
      <c r="F187" s="170" t="str">
        <f>IF(D187="","",IF('Base Bid'!J77&gt;0,'Base Bid'!J77,VLOOKUP(D187,'Phase Codes'!$A$9:$G$187,5)))</f>
        <v/>
      </c>
      <c r="G187" s="170" t="str">
        <f>IF(D187="","",IF('Base Bid'!K77&gt;0,'Base Bid'!K77,VLOOKUP(D187,'Phase Codes'!$A$9:$G$187,6)))</f>
        <v/>
      </c>
      <c r="H187" s="170">
        <f>'Base Bid'!N77</f>
        <v>0</v>
      </c>
      <c r="I187" s="282">
        <f>'Base Bid'!N77*'Base Bid'!I77</f>
        <v>0</v>
      </c>
    </row>
    <row r="188" spans="1:12" x14ac:dyDescent="0.15">
      <c r="A188" s="170" t="str">
        <f>IF(D188="","",VLOOKUP(D188,'Phase Codes'!$A$3:$N$187,7))</f>
        <v/>
      </c>
      <c r="C188" s="170" t="str">
        <f>IF(D188="","",VLOOKUP(D188,'Phase Codes'!$A$3:$N$187,8))</f>
        <v/>
      </c>
      <c r="D188" s="170" t="str">
        <f>IF('Base Bid'!G78="","","45-030-157")</f>
        <v/>
      </c>
      <c r="E188" s="170" t="str">
        <f>IF(D188="","",VLOOKUP(D188,'Phase Codes'!$A$9:$C$187,3))</f>
        <v/>
      </c>
      <c r="F188" s="170" t="str">
        <f>IF(D188="","",IF('Base Bid'!J78&gt;0,'Base Bid'!J78,VLOOKUP(D188,'Phase Codes'!$A$9:$G$187,5)))</f>
        <v/>
      </c>
      <c r="G188" s="170" t="str">
        <f>IF(D188="","",IF('Base Bid'!K78&gt;0,'Base Bid'!K78,VLOOKUP(D188,'Phase Codes'!$A$9:$G$187,6)))</f>
        <v/>
      </c>
      <c r="H188" s="170">
        <f>'Base Bid'!N78</f>
        <v>0</v>
      </c>
      <c r="I188" s="282">
        <f>'Base Bid'!N78*'Base Bid'!I78</f>
        <v>0</v>
      </c>
    </row>
    <row r="189" spans="1:12" x14ac:dyDescent="0.15">
      <c r="A189" s="170" t="str">
        <f>IF(D189="","",VLOOKUP(D189,'Phase Codes'!$A$3:$N$187,7))</f>
        <v/>
      </c>
      <c r="C189" s="170" t="str">
        <f>IF(D189="","",VLOOKUP(D189,'Phase Codes'!$A$3:$N$187,8))</f>
        <v/>
      </c>
      <c r="D189" s="170" t="str">
        <f>IF('Base Bid'!G79="","","45-030-158")</f>
        <v/>
      </c>
      <c r="E189" s="170" t="str">
        <f>IF(D189="","",VLOOKUP(D189,'Phase Codes'!$A$9:$C$187,3))</f>
        <v/>
      </c>
      <c r="F189" s="170" t="str">
        <f>IF(D189="","",IF('Base Bid'!J79&gt;0,'Base Bid'!J79,VLOOKUP(D189,'Phase Codes'!$A$9:$G$187,5)))</f>
        <v/>
      </c>
      <c r="G189" s="170" t="str">
        <f>IF(D189="","",IF('Base Bid'!K79&gt;0,'Base Bid'!K79,VLOOKUP(D189,'Phase Codes'!$A$9:$G$187,6)))</f>
        <v/>
      </c>
      <c r="H189" s="170">
        <f>'Base Bid'!N79</f>
        <v>0</v>
      </c>
      <c r="I189" s="282">
        <f>'Base Bid'!N79*'Base Bid'!I79</f>
        <v>0</v>
      </c>
    </row>
    <row r="190" spans="1:12" x14ac:dyDescent="0.15">
      <c r="A190" s="170" t="str">
        <f>IF(D190="","",VLOOKUP(D190,'Phase Codes'!$A$3:$N$187,7))</f>
        <v/>
      </c>
      <c r="C190" s="170" t="str">
        <f>IF(D190="","",VLOOKUP(D190,'Phase Codes'!$A$3:$N$187,8))</f>
        <v/>
      </c>
      <c r="D190" s="170" t="str">
        <f>IF('Base Bid'!G80="","","45-030-159")</f>
        <v/>
      </c>
      <c r="E190" s="170" t="str">
        <f>IF(D190="","",VLOOKUP(D190,'Phase Codes'!$A$9:$C$187,3))</f>
        <v/>
      </c>
      <c r="F190" s="170" t="str">
        <f>IF(D190="","",IF('Base Bid'!J80&gt;0,'Base Bid'!J80,VLOOKUP(D190,'Phase Codes'!$A$9:$G$187,5)))</f>
        <v/>
      </c>
      <c r="G190" s="170" t="str">
        <f>IF(D190="","",IF('Base Bid'!K80&gt;0,'Base Bid'!K80,VLOOKUP(D190,'Phase Codes'!$A$9:$G$187,6)))</f>
        <v/>
      </c>
      <c r="H190" s="170">
        <f>'Base Bid'!N80</f>
        <v>0</v>
      </c>
      <c r="I190" s="282">
        <f>'Base Bid'!N80*'Base Bid'!I80</f>
        <v>0</v>
      </c>
    </row>
    <row r="191" spans="1:12" x14ac:dyDescent="0.15">
      <c r="A191" s="170" t="str">
        <f>IF(D191="","",VLOOKUP(D191,'Phase Codes'!$A$3:$N$187,7))</f>
        <v/>
      </c>
      <c r="C191" s="170" t="str">
        <f>IF(D191="","",VLOOKUP(D191,'Phase Codes'!$A$3:$N$187,8))</f>
        <v/>
      </c>
      <c r="D191" s="170" t="str">
        <f>IF('Base Bid'!G81="","","45-030-160")</f>
        <v/>
      </c>
      <c r="E191" s="170" t="str">
        <f>IF(D191="","",VLOOKUP(D191,'Phase Codes'!$A$9:$C$187,3))</f>
        <v/>
      </c>
      <c r="F191" s="170" t="str">
        <f>IF(D191="","",IF('Base Bid'!J81&gt;0,'Base Bid'!J81,VLOOKUP(D191,'Phase Codes'!$A$9:$G$187,5)))</f>
        <v/>
      </c>
      <c r="G191" s="170" t="str">
        <f>IF(D191="","",IF('Base Bid'!K81&gt;0,'Base Bid'!K81,VLOOKUP(D191,'Phase Codes'!$A$9:$G$187,6)))</f>
        <v/>
      </c>
      <c r="H191" s="170">
        <f>'Base Bid'!N81</f>
        <v>0</v>
      </c>
      <c r="I191" s="282">
        <f>'Base Bid'!N81*'Base Bid'!I81</f>
        <v>0</v>
      </c>
    </row>
    <row r="192" spans="1:12" x14ac:dyDescent="0.15">
      <c r="A192" s="170" t="str">
        <f>IF(D192="","",VLOOKUP(D192,'Phase Codes'!$A$3:$N$187,7))</f>
        <v/>
      </c>
      <c r="C192" s="170" t="str">
        <f>IF(D192="","",VLOOKUP(D192,'Phase Codes'!$A$3:$N$187,8))</f>
        <v/>
      </c>
      <c r="D192" s="170" t="str">
        <f>IF('Base Bid'!G82="","","45-030-161")</f>
        <v/>
      </c>
      <c r="E192" s="170" t="str">
        <f>IF(D192="","",VLOOKUP(D192,'Phase Codes'!$A$9:$C$187,3))</f>
        <v/>
      </c>
      <c r="F192" s="170" t="str">
        <f>IF(D192="","",IF('Base Bid'!J82&gt;0,'Base Bid'!J82,VLOOKUP(D192,'Phase Codes'!$A$9:$G$187,5)))</f>
        <v/>
      </c>
      <c r="G192" s="170" t="str">
        <f>IF(D192="","",IF('Base Bid'!K82&gt;0,'Base Bid'!K82,VLOOKUP(D192,'Phase Codes'!$A$9:$G$187,6)))</f>
        <v/>
      </c>
      <c r="H192" s="170">
        <f>'Base Bid'!N82</f>
        <v>0</v>
      </c>
      <c r="I192" s="282">
        <f>'Base Bid'!N82*'Base Bid'!I82</f>
        <v>0</v>
      </c>
    </row>
    <row r="193" spans="1:9" x14ac:dyDescent="0.15">
      <c r="A193" s="170" t="str">
        <f>IF(D193="","",VLOOKUP(D193,'Phase Codes'!$A$3:$N$187,7))</f>
        <v/>
      </c>
      <c r="C193" s="170" t="str">
        <f>IF(D193="","",VLOOKUP(D193,'Phase Codes'!$A$3:$N$187,8))</f>
        <v/>
      </c>
      <c r="D193" s="170" t="str">
        <f>IF('Base Bid'!G83="","","45-030-162")</f>
        <v/>
      </c>
      <c r="E193" s="170" t="str">
        <f>IF(D193="","",VLOOKUP(D193,'Phase Codes'!$A$9:$C$187,3))</f>
        <v/>
      </c>
      <c r="F193" s="170" t="str">
        <f>IF(D193="","",IF('Base Bid'!J83&gt;0,'Base Bid'!J83,VLOOKUP(D193,'Phase Codes'!$A$9:$G$187,5)))</f>
        <v/>
      </c>
      <c r="G193" s="170" t="str">
        <f>IF(D193="","",IF('Base Bid'!K83&gt;0,'Base Bid'!K83,VLOOKUP(D193,'Phase Codes'!$A$9:$G$187,6)))</f>
        <v/>
      </c>
      <c r="H193" s="170">
        <f>'Base Bid'!N83</f>
        <v>0</v>
      </c>
      <c r="I193" s="282">
        <f>'Base Bid'!N83*'Base Bid'!I83</f>
        <v>0</v>
      </c>
    </row>
    <row r="194" spans="1:9" x14ac:dyDescent="0.15">
      <c r="A194" s="170" t="str">
        <f>IF(D194="","",VLOOKUP(D194,'Phase Codes'!$A$3:$N$187,7))</f>
        <v/>
      </c>
      <c r="C194" s="170" t="str">
        <f>IF(D194="","",VLOOKUP(D194,'Phase Codes'!$A$3:$N$187,8))</f>
        <v/>
      </c>
      <c r="D194" s="170" t="str">
        <f>IF('Base Bid'!G84="","","45-030-163")</f>
        <v/>
      </c>
      <c r="E194" s="170" t="str">
        <f>IF(D194="","",VLOOKUP(D194,'Phase Codes'!$A$9:$C$187,3))</f>
        <v/>
      </c>
      <c r="F194" s="170" t="str">
        <f>IF(D194="","",IF('Base Bid'!J84&gt;0,'Base Bid'!J84,VLOOKUP(D194,'Phase Codes'!$A$9:$G$187,5)))</f>
        <v/>
      </c>
      <c r="G194" s="170" t="str">
        <f>IF(D194="","",IF('Base Bid'!K84&gt;0,'Base Bid'!K84,VLOOKUP(D194,'Phase Codes'!$A$9:$G$187,6)))</f>
        <v/>
      </c>
      <c r="H194" s="170">
        <f>'Base Bid'!N84</f>
        <v>0</v>
      </c>
      <c r="I194" s="282">
        <f>'Base Bid'!N84*'Base Bid'!I84</f>
        <v>0</v>
      </c>
    </row>
    <row r="195" spans="1:9" x14ac:dyDescent="0.15">
      <c r="A195" s="170" t="str">
        <f>IF(D195="","",VLOOKUP(D195,'Phase Codes'!$A$3:$N$187,7))</f>
        <v/>
      </c>
      <c r="C195" s="170" t="str">
        <f>IF(D195="","",VLOOKUP(D195,'Phase Codes'!$A$3:$N$187,8))</f>
        <v/>
      </c>
      <c r="D195" s="170" t="str">
        <f>IF('Base Bid'!G85="","","45-030-164")</f>
        <v/>
      </c>
      <c r="E195" s="170" t="str">
        <f>IF(D195="","",VLOOKUP(D195,'Phase Codes'!$A$9:$C$187,3))</f>
        <v/>
      </c>
      <c r="F195" s="170" t="str">
        <f>IF(D195="","",IF('Base Bid'!J85&gt;0,'Base Bid'!J85,VLOOKUP(D195,'Phase Codes'!$A$9:$G$187,5)))</f>
        <v/>
      </c>
      <c r="G195" s="170" t="str">
        <f>IF(D195="","",IF('Base Bid'!K85&gt;0,'Base Bid'!K85,VLOOKUP(D195,'Phase Codes'!$A$9:$G$187,6)))</f>
        <v/>
      </c>
      <c r="H195" s="170">
        <f>'Base Bid'!N85</f>
        <v>0</v>
      </c>
      <c r="I195" s="282">
        <f>'Base Bid'!N85*'Base Bid'!I85</f>
        <v>0</v>
      </c>
    </row>
    <row r="196" spans="1:9" x14ac:dyDescent="0.15">
      <c r="A196" s="170" t="str">
        <f>IF(D196="","",VLOOKUP(D196,'Phase Codes'!$A$3:$N$187,7))</f>
        <v/>
      </c>
      <c r="C196" s="170" t="str">
        <f>IF(D196="","",VLOOKUP(D196,'Phase Codes'!$A$3:$N$187,8))</f>
        <v/>
      </c>
      <c r="D196" s="170" t="str">
        <f>IF('Base Bid'!G86="","","45-030-165")</f>
        <v/>
      </c>
      <c r="E196" s="170" t="str">
        <f>IF(D196="","",VLOOKUP(D196,'Phase Codes'!$A$9:$C$187,3))</f>
        <v/>
      </c>
      <c r="F196" s="170" t="str">
        <f>IF(D196="","",IF('Base Bid'!J86&gt;0,'Base Bid'!J86,VLOOKUP(D196,'Phase Codes'!$A$9:$G$187,5)))</f>
        <v/>
      </c>
      <c r="G196" s="170" t="str">
        <f>IF(D196="","",IF('Base Bid'!K86&gt;0,'Base Bid'!K86,VLOOKUP(D196,'Phase Codes'!$A$9:$G$187,6)))</f>
        <v/>
      </c>
      <c r="H196" s="170">
        <f>'Base Bid'!N86</f>
        <v>0</v>
      </c>
      <c r="I196" s="282">
        <f>'Base Bid'!N86*'Base Bid'!I86</f>
        <v>0</v>
      </c>
    </row>
    <row r="197" spans="1:9" x14ac:dyDescent="0.15">
      <c r="A197" s="170" t="str">
        <f>IF(D197="","",VLOOKUP(D197,'Phase Codes'!$A$3:$N$187,7))</f>
        <v/>
      </c>
      <c r="C197" s="170" t="str">
        <f>IF(D197="","",VLOOKUP(D197,'Phase Codes'!$A$3:$N$187,8))</f>
        <v/>
      </c>
      <c r="D197" s="170" t="str">
        <f>IF('Base Bid'!G87="","","45-030-166")</f>
        <v/>
      </c>
      <c r="E197" s="170" t="str">
        <f>IF(D197="","",VLOOKUP(D197,'Phase Codes'!$A$9:$C$187,3))</f>
        <v/>
      </c>
      <c r="F197" s="170" t="str">
        <f>IF(D197="","",IF('Base Bid'!J87&gt;0,'Base Bid'!J87,VLOOKUP(D197,'Phase Codes'!$A$9:$G$187,5)))</f>
        <v/>
      </c>
      <c r="G197" s="170" t="str">
        <f>IF(D197="","",IF('Base Bid'!K87&gt;0,'Base Bid'!K87,VLOOKUP(D197,'Phase Codes'!$A$9:$G$187,6)))</f>
        <v/>
      </c>
      <c r="H197" s="170">
        <f>'Base Bid'!N87</f>
        <v>0</v>
      </c>
      <c r="I197" s="282">
        <f>'Base Bid'!N87*'Base Bid'!I87</f>
        <v>0</v>
      </c>
    </row>
    <row r="198" spans="1:9" x14ac:dyDescent="0.15">
      <c r="A198" s="170" t="str">
        <f>IF(D198="","",VLOOKUP(D198,'Phase Codes'!$A$3:$N$187,7))</f>
        <v/>
      </c>
      <c r="C198" s="170" t="str">
        <f>IF(D198="","",VLOOKUP(D198,'Phase Codes'!$A$3:$N$187,8))</f>
        <v/>
      </c>
      <c r="D198" s="170" t="str">
        <f>IF('Base Bid'!G88="","","45-030-167")</f>
        <v/>
      </c>
      <c r="E198" s="170" t="str">
        <f>IF(D198="","",VLOOKUP(D198,'Phase Codes'!$A$9:$C$187,3))</f>
        <v/>
      </c>
      <c r="F198" s="170" t="str">
        <f>IF(D198="","",IF('Base Bid'!J88&gt;0,'Base Bid'!J88,VLOOKUP(D198,'Phase Codes'!$A$9:$G$187,5)))</f>
        <v/>
      </c>
      <c r="G198" s="170" t="str">
        <f>IF(D198="","",IF('Base Bid'!K88&gt;0,'Base Bid'!K88,VLOOKUP(D198,'Phase Codes'!$A$9:$G$187,6)))</f>
        <v/>
      </c>
      <c r="H198" s="170">
        <f>'Base Bid'!N88</f>
        <v>0</v>
      </c>
      <c r="I198" s="282">
        <f>'Base Bid'!N88*'Base Bid'!I88</f>
        <v>0</v>
      </c>
    </row>
    <row r="199" spans="1:9" x14ac:dyDescent="0.15">
      <c r="A199" s="170" t="str">
        <f>IF(D199="","",VLOOKUP(D199,'Phase Codes'!$A$3:$N$187,7))</f>
        <v/>
      </c>
      <c r="C199" s="170" t="str">
        <f>IF(D199="","",VLOOKUP(D199,'Phase Codes'!$A$3:$N$187,8))</f>
        <v/>
      </c>
      <c r="D199" s="170" t="str">
        <f>IF('Base Bid'!G89="","","45-030-168")</f>
        <v/>
      </c>
      <c r="E199" s="170" t="str">
        <f>IF(D199="","",VLOOKUP(D199,'Phase Codes'!$A$9:$C$187,3))</f>
        <v/>
      </c>
      <c r="F199" s="170" t="str">
        <f>IF(D199="","",IF('Base Bid'!J89&gt;0,'Base Bid'!J89,VLOOKUP(D199,'Phase Codes'!$A$9:$G$187,5)))</f>
        <v/>
      </c>
      <c r="G199" s="170" t="str">
        <f>IF(D199="","",IF('Base Bid'!K89&gt;0,'Base Bid'!K89,VLOOKUP(D199,'Phase Codes'!$A$9:$G$187,6)))</f>
        <v/>
      </c>
      <c r="H199" s="170">
        <f>'Base Bid'!N89</f>
        <v>0</v>
      </c>
      <c r="I199" s="282">
        <f>'Base Bid'!N89*'Base Bid'!I89</f>
        <v>0</v>
      </c>
    </row>
    <row r="200" spans="1:9" x14ac:dyDescent="0.15">
      <c r="A200" s="170" t="str">
        <f>IF(D200="","",VLOOKUP(D200,'Phase Codes'!$A$3:$N$187,7))</f>
        <v/>
      </c>
      <c r="C200" s="170" t="str">
        <f>IF(D200="","",VLOOKUP(D200,'Phase Codes'!$A$3:$N$187,8))</f>
        <v/>
      </c>
      <c r="D200" s="170" t="str">
        <f>IF('Base Bid'!G90="","","45-030-169")</f>
        <v/>
      </c>
      <c r="E200" s="170" t="str">
        <f>IF(D200="","",VLOOKUP(D200,'Phase Codes'!$A$9:$C$187,3))</f>
        <v/>
      </c>
      <c r="F200" s="170" t="str">
        <f>IF(D200="","",IF('Base Bid'!J90&gt;0,'Base Bid'!J90,VLOOKUP(D200,'Phase Codes'!$A$9:$G$187,5)))</f>
        <v/>
      </c>
      <c r="G200" s="170" t="str">
        <f>IF(D200="","",IF('Base Bid'!K90&gt;0,'Base Bid'!K90,VLOOKUP(D200,'Phase Codes'!$A$9:$G$187,6)))</f>
        <v/>
      </c>
      <c r="H200" s="170">
        <f>'Base Bid'!N90</f>
        <v>0</v>
      </c>
      <c r="I200" s="282">
        <f>'Base Bid'!N90*'Base Bid'!I90</f>
        <v>0</v>
      </c>
    </row>
    <row r="201" spans="1:9" x14ac:dyDescent="0.15">
      <c r="A201" s="170" t="str">
        <f>IF(D201="","",VLOOKUP(D201,'Phase Codes'!$A$3:$N$187,7))</f>
        <v/>
      </c>
      <c r="C201" s="170" t="str">
        <f>IF(D201="","",VLOOKUP(D201,'Phase Codes'!$A$3:$N$187,8))</f>
        <v/>
      </c>
      <c r="D201" s="170" t="str">
        <f>IF('Base Bid'!G91="","","45-030-170")</f>
        <v/>
      </c>
      <c r="E201" s="170" t="str">
        <f>IF(D201="","",VLOOKUP(D201,'Phase Codes'!$A$9:$C$187,3))</f>
        <v/>
      </c>
      <c r="F201" s="170" t="str">
        <f>IF(D201="","",IF('Base Bid'!J91&gt;0,'Base Bid'!J91,VLOOKUP(D201,'Phase Codes'!$A$9:$G$187,5)))</f>
        <v/>
      </c>
      <c r="G201" s="170" t="str">
        <f>IF(D201="","",IF('Base Bid'!K91&gt;0,'Base Bid'!K91,VLOOKUP(D201,'Phase Codes'!$A$9:$G$187,6)))</f>
        <v/>
      </c>
      <c r="H201" s="170">
        <f>'Base Bid'!N91</f>
        <v>0</v>
      </c>
      <c r="I201" s="282">
        <f>'Base Bid'!N91*'Base Bid'!I91</f>
        <v>0</v>
      </c>
    </row>
    <row r="202" spans="1:9" x14ac:dyDescent="0.15">
      <c r="A202" s="170" t="str">
        <f>IF(D202="","",VLOOKUP(D202,'Phase Codes'!$A$3:$N$187,7))</f>
        <v/>
      </c>
      <c r="C202" s="170" t="str">
        <f>IF(D202="","",VLOOKUP(D202,'Phase Codes'!$A$3:$N$187,8))</f>
        <v/>
      </c>
      <c r="D202" s="170" t="str">
        <f>IF('Base Bid'!G92="","","45-030-171")</f>
        <v/>
      </c>
      <c r="E202" s="170" t="str">
        <f>IF(D202="","",VLOOKUP(D202,'Phase Codes'!$A$9:$C$187,3))</f>
        <v/>
      </c>
      <c r="F202" s="170" t="str">
        <f>IF(D202="","",IF('Base Bid'!J92&gt;0,'Base Bid'!J92,VLOOKUP(D202,'Phase Codes'!$A$9:$G$187,5)))</f>
        <v/>
      </c>
      <c r="G202" s="170" t="str">
        <f>IF(D202="","",IF('Base Bid'!K92&gt;0,'Base Bid'!K92,VLOOKUP(D202,'Phase Codes'!$A$9:$G$187,6)))</f>
        <v/>
      </c>
      <c r="H202" s="170">
        <f>'Base Bid'!N92</f>
        <v>0</v>
      </c>
      <c r="I202" s="282">
        <f>'Base Bid'!N92*'Base Bid'!I92</f>
        <v>0</v>
      </c>
    </row>
    <row r="203" spans="1:9" x14ac:dyDescent="0.15">
      <c r="A203" s="170" t="str">
        <f>IF(D203="","",VLOOKUP(D203,'Phase Codes'!$A$3:$N$187,7))</f>
        <v/>
      </c>
      <c r="C203" s="170" t="str">
        <f>IF(D203="","",VLOOKUP(D203,'Phase Codes'!$A$3:$N$187,8))</f>
        <v/>
      </c>
      <c r="D203" s="170" t="str">
        <f>IF('Base Bid'!G93="","","45-030-172")</f>
        <v/>
      </c>
      <c r="E203" s="170" t="str">
        <f>IF(D203="","",VLOOKUP(D203,'Phase Codes'!$A$9:$C$187,3))</f>
        <v/>
      </c>
      <c r="F203" s="170" t="str">
        <f>IF(D203="","",IF('Base Bid'!J93&gt;0,'Base Bid'!J93,VLOOKUP(D203,'Phase Codes'!$A$9:$G$187,5)))</f>
        <v/>
      </c>
      <c r="G203" s="170" t="str">
        <f>IF(D203="","",IF('Base Bid'!K93&gt;0,'Base Bid'!K93,VLOOKUP(D203,'Phase Codes'!$A$9:$G$187,6)))</f>
        <v/>
      </c>
      <c r="H203" s="170">
        <f>'Base Bid'!N93</f>
        <v>0</v>
      </c>
      <c r="I203" s="282">
        <f>'Base Bid'!N93*'Base Bid'!I93</f>
        <v>0</v>
      </c>
    </row>
    <row r="204" spans="1:9" x14ac:dyDescent="0.15">
      <c r="A204" s="170" t="str">
        <f>IF(D204="","",VLOOKUP(D204,'Phase Codes'!$A$3:$N$187,7))</f>
        <v/>
      </c>
      <c r="C204" s="170" t="str">
        <f>IF(D204="","",VLOOKUP(D204,'Phase Codes'!$A$3:$N$187,8))</f>
        <v/>
      </c>
      <c r="D204" s="170" t="str">
        <f>IF('Base Bid'!G94="","","45-030-173")</f>
        <v/>
      </c>
      <c r="E204" s="170" t="str">
        <f>IF(D204="","",VLOOKUP(D204,'Phase Codes'!$A$9:$C$187,3))</f>
        <v/>
      </c>
      <c r="F204" s="170" t="str">
        <f>IF(D204="","",IF('Base Bid'!J94&gt;0,'Base Bid'!J94,VLOOKUP(D204,'Phase Codes'!$A$9:$G$187,5)))</f>
        <v/>
      </c>
      <c r="G204" s="170" t="str">
        <f>IF(D204="","",IF('Base Bid'!K94&gt;0,'Base Bid'!K94,VLOOKUP(D204,'Phase Codes'!$A$9:$G$187,6)))</f>
        <v/>
      </c>
      <c r="H204" s="170">
        <f>'Base Bid'!N94</f>
        <v>0</v>
      </c>
      <c r="I204" s="282">
        <f>'Base Bid'!N94*'Base Bid'!I94</f>
        <v>0</v>
      </c>
    </row>
    <row r="205" spans="1:9" x14ac:dyDescent="0.15">
      <c r="A205" s="170" t="str">
        <f>IF(D205="","",VLOOKUP(D205,'Phase Codes'!$A$3:$N$187,7))</f>
        <v/>
      </c>
      <c r="C205" s="170" t="str">
        <f>IF(D205="","",VLOOKUP(D205,'Phase Codes'!$A$3:$N$187,8))</f>
        <v/>
      </c>
      <c r="D205" s="170" t="str">
        <f>IF('Base Bid'!G95="","","45-030-174")</f>
        <v/>
      </c>
      <c r="E205" s="170" t="str">
        <f>IF(D205="","",VLOOKUP(D205,'Phase Codes'!$A$9:$C$187,3))</f>
        <v/>
      </c>
      <c r="F205" s="170" t="str">
        <f>IF(D205="","",IF('Base Bid'!J95&gt;0,'Base Bid'!J95,VLOOKUP(D205,'Phase Codes'!$A$9:$G$187,5)))</f>
        <v/>
      </c>
      <c r="G205" s="170" t="str">
        <f>IF(D205="","",IF('Base Bid'!K95&gt;0,'Base Bid'!K95,VLOOKUP(D205,'Phase Codes'!$A$9:$G$187,6)))</f>
        <v/>
      </c>
      <c r="H205" s="170">
        <f>'Base Bid'!N95</f>
        <v>0</v>
      </c>
      <c r="I205" s="282">
        <f>'Base Bid'!N95*'Base Bid'!I95</f>
        <v>0</v>
      </c>
    </row>
    <row r="206" spans="1:9" x14ac:dyDescent="0.15">
      <c r="A206" s="170" t="str">
        <f>IF(D206="","",VLOOKUP(D206,'Phase Codes'!$A$3:$N$187,7))</f>
        <v/>
      </c>
      <c r="C206" s="170" t="str">
        <f>IF(D206="","",VLOOKUP(D206,'Phase Codes'!$A$3:$N$187,8))</f>
        <v/>
      </c>
      <c r="D206" s="170" t="str">
        <f>IF('Base Bid'!G96="","","45-030-175")</f>
        <v/>
      </c>
      <c r="E206" s="170" t="str">
        <f>IF(D206="","",VLOOKUP(D206,'Phase Codes'!$A$9:$C$187,3))</f>
        <v/>
      </c>
      <c r="F206" s="170" t="str">
        <f>IF(D206="","",IF('Base Bid'!J96&gt;0,'Base Bid'!J96,VLOOKUP(D206,'Phase Codes'!$A$9:$G$187,5)))</f>
        <v/>
      </c>
      <c r="G206" s="170" t="str">
        <f>IF(D206="","",IF('Base Bid'!K96&gt;0,'Base Bid'!K96,VLOOKUP(D206,'Phase Codes'!$A$9:$G$187,6)))</f>
        <v/>
      </c>
      <c r="H206" s="170">
        <f>'Base Bid'!N96</f>
        <v>0</v>
      </c>
      <c r="I206" s="282">
        <f>'Base Bid'!N96*'Base Bid'!I96</f>
        <v>0</v>
      </c>
    </row>
    <row r="207" spans="1:9" x14ac:dyDescent="0.15">
      <c r="A207" s="170" t="str">
        <f>IF(D207="","",VLOOKUP(D207,'Phase Codes'!$A$3:$N$187,7))</f>
        <v/>
      </c>
      <c r="C207" s="170" t="str">
        <f>IF(D207="","",VLOOKUP(D207,'Phase Codes'!$A$3:$N$187,8))</f>
        <v/>
      </c>
      <c r="D207" s="170" t="str">
        <f>IF('Base Bid'!G97="","","45-030-176")</f>
        <v/>
      </c>
      <c r="E207" s="170" t="str">
        <f>IF(D207="","",VLOOKUP(D207,'Phase Codes'!$A$9:$C$187,3))</f>
        <v/>
      </c>
      <c r="F207" s="170" t="str">
        <f>IF(D207="","",IF('Base Bid'!J97&gt;0,'Base Bid'!J97,VLOOKUP(D207,'Phase Codes'!$A$9:$G$187,5)))</f>
        <v/>
      </c>
      <c r="G207" s="170" t="str">
        <f>IF(D207="","",IF('Base Bid'!K97&gt;0,'Base Bid'!K97,VLOOKUP(D207,'Phase Codes'!$A$9:$G$187,6)))</f>
        <v/>
      </c>
      <c r="H207" s="170">
        <f>'Base Bid'!N97</f>
        <v>0</v>
      </c>
      <c r="I207" s="282">
        <f>'Base Bid'!N97*'Base Bid'!I97</f>
        <v>0</v>
      </c>
    </row>
    <row r="208" spans="1:9" x14ac:dyDescent="0.15">
      <c r="A208" s="170" t="str">
        <f>IF(D208="","",VLOOKUP(D208,'Phase Codes'!$A$3:$N$187,7))</f>
        <v/>
      </c>
      <c r="C208" s="170" t="str">
        <f>IF(D208="","",VLOOKUP(D208,'Phase Codes'!$A$3:$N$187,8))</f>
        <v/>
      </c>
      <c r="D208" s="170" t="str">
        <f>IF('Base Bid'!G98="","","45-030-177")</f>
        <v/>
      </c>
      <c r="E208" s="170" t="str">
        <f>IF(D208="","",VLOOKUP(D208,'Phase Codes'!$A$9:$C$187,3))</f>
        <v/>
      </c>
      <c r="F208" s="170" t="str">
        <f>IF(D208="","",IF('Base Bid'!J98&gt;0,'Base Bid'!J98,VLOOKUP(D208,'Phase Codes'!$A$9:$G$187,5)))</f>
        <v/>
      </c>
      <c r="G208" s="170" t="str">
        <f>IF(D208="","",IF('Base Bid'!K98&gt;0,'Base Bid'!K98,VLOOKUP(D208,'Phase Codes'!$A$9:$G$187,6)))</f>
        <v/>
      </c>
      <c r="H208" s="170">
        <f>'Base Bid'!N98</f>
        <v>0</v>
      </c>
      <c r="I208" s="282">
        <f>'Base Bid'!N98*'Base Bid'!I98</f>
        <v>0</v>
      </c>
    </row>
    <row r="209" spans="1:9" x14ac:dyDescent="0.15">
      <c r="A209" s="170" t="str">
        <f>IF(D209="","",VLOOKUP(D209,'Phase Codes'!$A$3:$N$187,7))</f>
        <v/>
      </c>
      <c r="C209" s="170" t="str">
        <f>IF(D209="","",VLOOKUP(D209,'Phase Codes'!$A$3:$N$187,8))</f>
        <v/>
      </c>
      <c r="D209" s="170" t="str">
        <f>IF('Base Bid'!G99="","","45-030-178")</f>
        <v/>
      </c>
      <c r="E209" s="170" t="str">
        <f>IF(D209="","",VLOOKUP(D209,'Phase Codes'!$A$9:$C$187,3))</f>
        <v/>
      </c>
      <c r="F209" s="170" t="str">
        <f>IF(D209="","",IF('Base Bid'!J99&gt;0,'Base Bid'!J99,VLOOKUP(D209,'Phase Codes'!$A$9:$G$187,5)))</f>
        <v/>
      </c>
      <c r="G209" s="170" t="str">
        <f>IF(D209="","",IF('Base Bid'!K99&gt;0,'Base Bid'!K99,VLOOKUP(D209,'Phase Codes'!$A$9:$G$187,6)))</f>
        <v/>
      </c>
      <c r="H209" s="170">
        <f>'Base Bid'!N99</f>
        <v>0</v>
      </c>
      <c r="I209" s="282">
        <f>'Base Bid'!N99*'Base Bid'!I99</f>
        <v>0</v>
      </c>
    </row>
    <row r="210" spans="1:9" x14ac:dyDescent="0.15">
      <c r="A210" s="170" t="str">
        <f>IF(D210="","",VLOOKUP(D210,'Phase Codes'!$A$3:$N$187,7))</f>
        <v/>
      </c>
      <c r="C210" s="170" t="str">
        <f>IF(D210="","",VLOOKUP(D210,'Phase Codes'!$A$3:$N$187,8))</f>
        <v/>
      </c>
      <c r="D210" s="170" t="str">
        <f>IF('Base Bid'!G100="","","45-030-179")</f>
        <v/>
      </c>
      <c r="E210" s="170" t="str">
        <f>IF(D210="","",VLOOKUP(D210,'Phase Codes'!$A$9:$C$187,3))</f>
        <v/>
      </c>
      <c r="F210" s="170" t="str">
        <f>IF(D210="","",IF('Base Bid'!J100&gt;0,'Base Bid'!J100,VLOOKUP(D210,'Phase Codes'!$A$9:$G$187,5)))</f>
        <v/>
      </c>
      <c r="G210" s="170" t="str">
        <f>IF(D210="","",IF('Base Bid'!K100&gt;0,'Base Bid'!K100,VLOOKUP(D210,'Phase Codes'!$A$9:$G$187,6)))</f>
        <v/>
      </c>
      <c r="H210" s="170">
        <f>'Base Bid'!N100</f>
        <v>0</v>
      </c>
      <c r="I210" s="282">
        <f>'Base Bid'!N100*'Base Bid'!I100</f>
        <v>0</v>
      </c>
    </row>
    <row r="211" spans="1:9" x14ac:dyDescent="0.15">
      <c r="A211" s="170" t="str">
        <f>IF(D211="","",VLOOKUP(D211,'Phase Codes'!$A$3:$N$187,7))</f>
        <v/>
      </c>
      <c r="C211" s="170" t="str">
        <f>IF(D211="","",VLOOKUP(D211,'Phase Codes'!$A$3:$N$187,8))</f>
        <v/>
      </c>
      <c r="D211" s="170" t="str">
        <f>IF('Base Bid'!G101="","","45-030-180")</f>
        <v/>
      </c>
      <c r="E211" s="170" t="str">
        <f>IF(D211="","",VLOOKUP(D211,'Phase Codes'!$A$9:$C$187,3))</f>
        <v/>
      </c>
      <c r="F211" s="170" t="str">
        <f>IF(D211="","",IF('Base Bid'!J101&gt;0,'Base Bid'!J101,VLOOKUP(D211,'Phase Codes'!$A$9:$G$187,5)))</f>
        <v/>
      </c>
      <c r="G211" s="170" t="str">
        <f>IF(D211="","",IF('Base Bid'!K101&gt;0,'Base Bid'!K101,VLOOKUP(D211,'Phase Codes'!$A$9:$G$187,6)))</f>
        <v/>
      </c>
      <c r="H211" s="170">
        <f>'Base Bid'!N101</f>
        <v>0</v>
      </c>
      <c r="I211" s="282">
        <f>'Base Bid'!N101*'Base Bid'!I101</f>
        <v>0</v>
      </c>
    </row>
    <row r="212" spans="1:9" x14ac:dyDescent="0.15">
      <c r="A212" s="170" t="str">
        <f>IF(D212="","",VLOOKUP(D212,'Phase Codes'!$A$3:$N$187,7))</f>
        <v/>
      </c>
      <c r="C212" s="170" t="str">
        <f>IF(D212="","",VLOOKUP(D212,'Phase Codes'!$A$3:$N$187,8))</f>
        <v/>
      </c>
      <c r="D212" s="170" t="str">
        <f>IF('Base Bid'!G102="","","45-030-181")</f>
        <v/>
      </c>
      <c r="E212" s="170" t="str">
        <f>IF(D212="","",VLOOKUP(D212,'Phase Codes'!$A$9:$C$187,3))</f>
        <v/>
      </c>
      <c r="F212" s="170" t="str">
        <f>IF(D212="","",IF('Base Bid'!J102&gt;0,'Base Bid'!J102,VLOOKUP(D212,'Phase Codes'!$A$9:$G$187,5)))</f>
        <v/>
      </c>
      <c r="G212" s="170" t="str">
        <f>IF(D212="","",IF('Base Bid'!K102&gt;0,'Base Bid'!K102,VLOOKUP(D212,'Phase Codes'!$A$9:$G$187,6)))</f>
        <v/>
      </c>
      <c r="H212" s="170">
        <f>'Base Bid'!N102</f>
        <v>0</v>
      </c>
      <c r="I212" s="282">
        <f>'Base Bid'!N102*'Base Bid'!I102</f>
        <v>0</v>
      </c>
    </row>
    <row r="213" spans="1:9" x14ac:dyDescent="0.15">
      <c r="A213" s="170" t="str">
        <f>IF(D213="","",VLOOKUP(D213,'Phase Codes'!$A$3:$N$187,7))</f>
        <v/>
      </c>
      <c r="C213" s="170" t="str">
        <f>IF(D213="","",VLOOKUP(D213,'Phase Codes'!$A$3:$N$187,8))</f>
        <v/>
      </c>
      <c r="D213" s="170" t="str">
        <f>IF('Base Bid'!G103="","","45-030-182")</f>
        <v/>
      </c>
      <c r="E213" s="170" t="str">
        <f>IF(D213="","",VLOOKUP(D213,'Phase Codes'!$A$9:$C$187,3))</f>
        <v/>
      </c>
      <c r="F213" s="170" t="str">
        <f>IF(D213="","",IF('Base Bid'!J103&gt;0,'Base Bid'!J103,VLOOKUP(D213,'Phase Codes'!$A$9:$G$187,5)))</f>
        <v/>
      </c>
      <c r="G213" s="170" t="str">
        <f>IF(D213="","",IF('Base Bid'!K103&gt;0,'Base Bid'!K103,VLOOKUP(D213,'Phase Codes'!$A$9:$G$187,6)))</f>
        <v/>
      </c>
      <c r="H213" s="170">
        <f>'Base Bid'!N103</f>
        <v>0</v>
      </c>
      <c r="I213" s="282">
        <f>'Base Bid'!N103*'Base Bid'!I103</f>
        <v>0</v>
      </c>
    </row>
    <row r="214" spans="1:9" x14ac:dyDescent="0.15">
      <c r="A214" s="170" t="str">
        <f>IF(D214="","",VLOOKUP(D214,'Phase Codes'!$A$3:$N$187,7))</f>
        <v/>
      </c>
      <c r="C214" s="170" t="str">
        <f>IF(D214="","",VLOOKUP(D214,'Phase Codes'!$A$3:$N$187,8))</f>
        <v/>
      </c>
      <c r="D214" s="170" t="str">
        <f>IF('Base Bid'!G104="","","45-030-183")</f>
        <v/>
      </c>
      <c r="E214" s="170" t="str">
        <f>IF(D214="","",VLOOKUP(D214,'Phase Codes'!$A$9:$C$187,3))</f>
        <v/>
      </c>
      <c r="F214" s="170" t="str">
        <f>IF(D214="","",IF('Base Bid'!J104&gt;0,'Base Bid'!J104,VLOOKUP(D214,'Phase Codes'!$A$9:$G$187,5)))</f>
        <v/>
      </c>
      <c r="G214" s="170" t="str">
        <f>IF(D214="","",IF('Base Bid'!K104&gt;0,'Base Bid'!K104,VLOOKUP(D214,'Phase Codes'!$A$9:$G$187,6)))</f>
        <v/>
      </c>
      <c r="H214" s="170">
        <f>'Base Bid'!N104</f>
        <v>0</v>
      </c>
      <c r="I214" s="282">
        <f>'Base Bid'!N104*'Base Bid'!I104</f>
        <v>0</v>
      </c>
    </row>
    <row r="215" spans="1:9" x14ac:dyDescent="0.15">
      <c r="A215" s="170" t="str">
        <f>IF(D215="","",VLOOKUP(D215,'Phase Codes'!$A$3:$N$187,7))</f>
        <v/>
      </c>
      <c r="C215" s="170" t="str">
        <f>IF(D215="","",VLOOKUP(D215,'Phase Codes'!$A$3:$N$187,8))</f>
        <v/>
      </c>
      <c r="D215" s="170" t="str">
        <f>IF('Base Bid'!G105="","","45-030-184")</f>
        <v/>
      </c>
      <c r="E215" s="170" t="str">
        <f>IF(D215="","",VLOOKUP(D215,'Phase Codes'!$A$9:$C$187,3))</f>
        <v/>
      </c>
      <c r="F215" s="170" t="str">
        <f>IF(D215="","",IF('Base Bid'!J105&gt;0,'Base Bid'!J105,VLOOKUP(D215,'Phase Codes'!$A$9:$G$187,5)))</f>
        <v/>
      </c>
      <c r="G215" s="170" t="str">
        <f>IF(D215="","",IF('Base Bid'!K105&gt;0,'Base Bid'!K105,VLOOKUP(D215,'Phase Codes'!$A$9:$G$187,6)))</f>
        <v/>
      </c>
      <c r="H215" s="170">
        <f>'Base Bid'!N105</f>
        <v>0</v>
      </c>
      <c r="I215" s="282">
        <f>'Base Bid'!N105*'Base Bid'!I105</f>
        <v>0</v>
      </c>
    </row>
    <row r="216" spans="1:9" x14ac:dyDescent="0.15">
      <c r="A216" s="170" t="str">
        <f>IF(D216="","",VLOOKUP(D216,'Phase Codes'!$A$3:$N$187,7))</f>
        <v/>
      </c>
      <c r="C216" s="170" t="str">
        <f>IF(D216="","",VLOOKUP(D216,'Phase Codes'!$A$3:$N$187,8))</f>
        <v/>
      </c>
      <c r="D216" s="170" t="str">
        <f>IF('Base Bid'!G106="","","45-030-185")</f>
        <v/>
      </c>
      <c r="E216" s="170" t="str">
        <f>IF(D216="","",VLOOKUP(D216,'Phase Codes'!$A$9:$C$187,3))</f>
        <v/>
      </c>
      <c r="F216" s="170" t="str">
        <f>IF(D216="","",IF('Base Bid'!J106&gt;0,'Base Bid'!J106,VLOOKUP(D216,'Phase Codes'!$A$9:$G$187,5)))</f>
        <v/>
      </c>
      <c r="G216" s="170" t="str">
        <f>IF(D216="","",IF('Base Bid'!K106&gt;0,'Base Bid'!K106,VLOOKUP(D216,'Phase Codes'!$A$9:$G$187,6)))</f>
        <v/>
      </c>
      <c r="H216" s="170">
        <f>'Base Bid'!N106</f>
        <v>0</v>
      </c>
      <c r="I216" s="282">
        <f>'Base Bid'!N106*'Base Bid'!I106</f>
        <v>0</v>
      </c>
    </row>
    <row r="217" spans="1:9" x14ac:dyDescent="0.15">
      <c r="A217" s="170" t="str">
        <f>IF(D217="","",VLOOKUP(D217,'Phase Codes'!$A$3:$N$187,7))</f>
        <v/>
      </c>
      <c r="C217" s="170" t="str">
        <f>IF(D217="","",VLOOKUP(D217,'Phase Codes'!$A$3:$N$187,8))</f>
        <v/>
      </c>
      <c r="D217" s="170" t="str">
        <f>IF('Base Bid'!G107="","","45-030-186")</f>
        <v/>
      </c>
      <c r="E217" s="170" t="str">
        <f>IF(D217="","",VLOOKUP(D217,'Phase Codes'!$A$9:$C$187,3))</f>
        <v/>
      </c>
      <c r="F217" s="170" t="str">
        <f>IF(D217="","",IF('Base Bid'!J107&gt;0,'Base Bid'!J107,VLOOKUP(D217,'Phase Codes'!$A$9:$G$187,5)))</f>
        <v/>
      </c>
      <c r="G217" s="170" t="str">
        <f>IF(D217="","",IF('Base Bid'!K107&gt;0,'Base Bid'!K107,VLOOKUP(D217,'Phase Codes'!$A$9:$G$187,6)))</f>
        <v/>
      </c>
      <c r="H217" s="170">
        <f>'Base Bid'!N107</f>
        <v>0</v>
      </c>
      <c r="I217" s="282">
        <f>'Base Bid'!N107*'Base Bid'!I107</f>
        <v>0</v>
      </c>
    </row>
    <row r="218" spans="1:9" x14ac:dyDescent="0.15">
      <c r="A218" s="170" t="str">
        <f>IF(D218="","",VLOOKUP(D218,'Phase Codes'!$A$3:$N$187,7))</f>
        <v/>
      </c>
      <c r="C218" s="170" t="str">
        <f>IF(D218="","",VLOOKUP(D218,'Phase Codes'!$A$3:$N$187,8))</f>
        <v/>
      </c>
      <c r="D218" s="170" t="str">
        <f>IF('Base Bid'!G108="","","45-030-187")</f>
        <v/>
      </c>
      <c r="E218" s="170" t="str">
        <f>IF(D218="","",VLOOKUP(D218,'Phase Codes'!$A$9:$C$187,3))</f>
        <v/>
      </c>
      <c r="F218" s="170" t="str">
        <f>IF(D218="","",IF('Base Bid'!J108&gt;0,'Base Bid'!J108,VLOOKUP(D218,'Phase Codes'!$A$9:$G$187,5)))</f>
        <v/>
      </c>
      <c r="G218" s="170" t="str">
        <f>IF(D218="","",IF('Base Bid'!K108&gt;0,'Base Bid'!K108,VLOOKUP(D218,'Phase Codes'!$A$9:$G$187,6)))</f>
        <v/>
      </c>
      <c r="H218" s="170">
        <f>'Base Bid'!N108</f>
        <v>0</v>
      </c>
      <c r="I218" s="282">
        <f>'Base Bid'!N108*'Base Bid'!I108</f>
        <v>0</v>
      </c>
    </row>
    <row r="219" spans="1:9" x14ac:dyDescent="0.15">
      <c r="A219" s="170" t="str">
        <f>IF(D219="","",VLOOKUP(D219,'Phase Codes'!$A$3:$N$187,7))</f>
        <v/>
      </c>
      <c r="C219" s="170" t="str">
        <f>IF(D219="","",VLOOKUP(D219,'Phase Codes'!$A$3:$N$187,8))</f>
        <v/>
      </c>
      <c r="D219" s="170" t="str">
        <f>IF('Base Bid'!G109="","","45-030-188")</f>
        <v/>
      </c>
      <c r="E219" s="170" t="str">
        <f>IF(D219="","",VLOOKUP(D219,'Phase Codes'!$A$9:$C$187,3))</f>
        <v/>
      </c>
      <c r="F219" s="170" t="str">
        <f>IF(D219="","",IF('Base Bid'!J109&gt;0,'Base Bid'!J109,VLOOKUP(D219,'Phase Codes'!$A$9:$G$187,5)))</f>
        <v/>
      </c>
      <c r="G219" s="170" t="str">
        <f>IF(D219="","",IF('Base Bid'!K109&gt;0,'Base Bid'!K109,VLOOKUP(D219,'Phase Codes'!$A$9:$G$187,6)))</f>
        <v/>
      </c>
      <c r="H219" s="170">
        <f>'Base Bid'!N109</f>
        <v>0</v>
      </c>
      <c r="I219" s="282">
        <f>'Base Bid'!N109*'Base Bid'!I109</f>
        <v>0</v>
      </c>
    </row>
    <row r="220" spans="1:9" x14ac:dyDescent="0.15">
      <c r="A220" s="170" t="str">
        <f>IF(D220="","",VLOOKUP(D220,'Phase Codes'!$A$3:$N$187,7))</f>
        <v/>
      </c>
      <c r="C220" s="170" t="str">
        <f>IF(D220="","",VLOOKUP(D220,'Phase Codes'!$A$3:$N$187,8))</f>
        <v/>
      </c>
      <c r="D220" s="170" t="str">
        <f>IF('Base Bid'!G110="","","45-030-189")</f>
        <v/>
      </c>
      <c r="E220" s="170" t="str">
        <f>IF(D220="","",VLOOKUP(D220,'Phase Codes'!$A$9:$C$187,3))</f>
        <v/>
      </c>
      <c r="F220" s="170" t="str">
        <f>IF(D220="","",IF('Base Bid'!J110&gt;0,'Base Bid'!J110,VLOOKUP(D220,'Phase Codes'!$A$9:$G$187,5)))</f>
        <v/>
      </c>
      <c r="G220" s="170" t="str">
        <f>IF(D220="","",IF('Base Bid'!K110&gt;0,'Base Bid'!K110,VLOOKUP(D220,'Phase Codes'!$A$9:$G$187,6)))</f>
        <v/>
      </c>
      <c r="H220" s="170">
        <f>'Base Bid'!N110</f>
        <v>0</v>
      </c>
      <c r="I220" s="282">
        <f>'Base Bid'!N110*'Base Bid'!I110</f>
        <v>0</v>
      </c>
    </row>
    <row r="221" spans="1:9" x14ac:dyDescent="0.15">
      <c r="A221" s="170" t="str">
        <f>IF(D221="","",VLOOKUP(D221,'Phase Codes'!$A$3:$N$187,7))</f>
        <v/>
      </c>
      <c r="C221" s="170" t="str">
        <f>IF(D221="","",VLOOKUP(D221,'Phase Codes'!$A$3:$N$187,8))</f>
        <v/>
      </c>
      <c r="D221" s="170" t="str">
        <f>IF('Base Bid'!G111="","","45-030-190")</f>
        <v/>
      </c>
      <c r="E221" s="170" t="str">
        <f>IF(D221="","",VLOOKUP(D221,'Phase Codes'!$A$9:$C$187,3))</f>
        <v/>
      </c>
      <c r="F221" s="170" t="str">
        <f>IF(D221="","",IF('Base Bid'!J111&gt;0,'Base Bid'!J111,VLOOKUP(D221,'Phase Codes'!$A$9:$G$187,5)))</f>
        <v/>
      </c>
      <c r="G221" s="170" t="str">
        <f>IF(D221="","",IF('Base Bid'!K111&gt;0,'Base Bid'!K111,VLOOKUP(D221,'Phase Codes'!$A$9:$G$187,6)))</f>
        <v/>
      </c>
      <c r="H221" s="170">
        <f>'Base Bid'!N111</f>
        <v>0</v>
      </c>
      <c r="I221" s="282">
        <f>'Base Bid'!N111*'Base Bid'!I111</f>
        <v>0</v>
      </c>
    </row>
    <row r="222" spans="1:9" x14ac:dyDescent="0.15">
      <c r="A222" s="170" t="str">
        <f>IF(D222="","",VLOOKUP(D222,'Phase Codes'!$A$3:$N$187,7))</f>
        <v/>
      </c>
      <c r="C222" s="170" t="str">
        <f>IF(D222="","",VLOOKUP(D222,'Phase Codes'!$A$3:$N$187,8))</f>
        <v/>
      </c>
      <c r="D222" s="170" t="str">
        <f>IF('Base Bid'!G112="","","45-030-191")</f>
        <v/>
      </c>
      <c r="E222" s="170" t="str">
        <f>IF(D222="","",VLOOKUP(D222,'Phase Codes'!$A$9:$C$187,3))</f>
        <v/>
      </c>
      <c r="F222" s="170" t="str">
        <f>IF(D222="","",IF('Base Bid'!J112&gt;0,'Base Bid'!J112,VLOOKUP(D222,'Phase Codes'!$A$9:$G$187,5)))</f>
        <v/>
      </c>
      <c r="G222" s="170" t="str">
        <f>IF(D222="","",IF('Base Bid'!K112&gt;0,'Base Bid'!K112,VLOOKUP(D222,'Phase Codes'!$A$9:$G$187,6)))</f>
        <v/>
      </c>
      <c r="H222" s="170">
        <f>'Base Bid'!N112</f>
        <v>0</v>
      </c>
      <c r="I222" s="282">
        <f>'Base Bid'!N112*'Base Bid'!I112</f>
        <v>0</v>
      </c>
    </row>
    <row r="223" spans="1:9" x14ac:dyDescent="0.15">
      <c r="A223" s="170" t="str">
        <f>IF(D223="","",VLOOKUP(D223,'Phase Codes'!$A$3:$N$187,7))</f>
        <v/>
      </c>
      <c r="C223" s="170" t="str">
        <f>IF(D223="","",VLOOKUP(D223,'Phase Codes'!$A$3:$N$187,8))</f>
        <v/>
      </c>
      <c r="D223" s="170" t="str">
        <f>IF('Base Bid'!G113="","","45-030-192")</f>
        <v/>
      </c>
      <c r="E223" s="170" t="str">
        <f>IF(D223="","",VLOOKUP(D223,'Phase Codes'!$A$9:$C$187,3))</f>
        <v/>
      </c>
      <c r="F223" s="170" t="str">
        <f>IF(D223="","",IF('Base Bid'!J113&gt;0,'Base Bid'!J113,VLOOKUP(D223,'Phase Codes'!$A$9:$G$187,5)))</f>
        <v/>
      </c>
      <c r="G223" s="170" t="str">
        <f>IF(D223="","",IF('Base Bid'!K113&gt;0,'Base Bid'!K113,VLOOKUP(D223,'Phase Codes'!$A$9:$G$187,6)))</f>
        <v/>
      </c>
      <c r="H223" s="170">
        <f>'Base Bid'!N113</f>
        <v>0</v>
      </c>
      <c r="I223" s="282">
        <f>'Base Bid'!N113*'Base Bid'!I113</f>
        <v>0</v>
      </c>
    </row>
    <row r="224" spans="1:9" x14ac:dyDescent="0.15">
      <c r="A224" s="170" t="str">
        <f>IF(D224="","",VLOOKUP(D224,'Phase Codes'!$A$3:$N$187,7))</f>
        <v/>
      </c>
      <c r="C224" s="170" t="str">
        <f>IF(D224="","",VLOOKUP(D224,'Phase Codes'!$A$3:$N$187,8))</f>
        <v/>
      </c>
      <c r="D224" s="170" t="str">
        <f>IF('Base Bid'!G114="","","45-030-193")</f>
        <v/>
      </c>
      <c r="E224" s="170" t="str">
        <f>IF(D224="","",VLOOKUP(D224,'Phase Codes'!$A$9:$C$187,3))</f>
        <v/>
      </c>
      <c r="F224" s="170" t="str">
        <f>IF(D224="","",IF('Base Bid'!J114&gt;0,'Base Bid'!J114,VLOOKUP(D224,'Phase Codes'!$A$9:$G$187,5)))</f>
        <v/>
      </c>
      <c r="G224" s="170" t="str">
        <f>IF(D224="","",IF('Base Bid'!K114&gt;0,'Base Bid'!K114,VLOOKUP(D224,'Phase Codes'!$A$9:$G$187,6)))</f>
        <v/>
      </c>
      <c r="H224" s="170">
        <f>'Base Bid'!N114</f>
        <v>0</v>
      </c>
      <c r="I224" s="282">
        <f>'Base Bid'!N114*'Base Bid'!I114</f>
        <v>0</v>
      </c>
    </row>
    <row r="225" spans="1:12" x14ac:dyDescent="0.15">
      <c r="A225" s="170" t="str">
        <f>IF(D225="","",VLOOKUP(D225,'Phase Codes'!$A$3:$N$187,7))</f>
        <v/>
      </c>
      <c r="C225" s="170" t="str">
        <f>IF(D225="","",VLOOKUP(D225,'Phase Codes'!$A$3:$N$187,8))</f>
        <v/>
      </c>
      <c r="D225" s="170" t="str">
        <f>IF('Base Bid'!G115="","","45-030-194")</f>
        <v/>
      </c>
      <c r="E225" s="170" t="str">
        <f>IF(D225="","",VLOOKUP(D225,'Phase Codes'!$A$9:$C$187,3))</f>
        <v/>
      </c>
      <c r="F225" s="170" t="str">
        <f>IF(D225="","",IF('Base Bid'!J115&gt;0,'Base Bid'!J115,VLOOKUP(D225,'Phase Codes'!$A$9:$G$187,5)))</f>
        <v/>
      </c>
      <c r="G225" s="170" t="str">
        <f>IF(D225="","",IF('Base Bid'!K115&gt;0,'Base Bid'!K115,VLOOKUP(D225,'Phase Codes'!$A$9:$G$187,6)))</f>
        <v/>
      </c>
      <c r="H225" s="170">
        <f>'Base Bid'!N115</f>
        <v>0</v>
      </c>
      <c r="I225" s="282">
        <f>'Base Bid'!N115*'Base Bid'!I115</f>
        <v>0</v>
      </c>
    </row>
    <row r="226" spans="1:12" x14ac:dyDescent="0.15">
      <c r="A226" s="170" t="str">
        <f>IF(D226="","",VLOOKUP(D226,'Phase Codes'!$A$3:$N$187,7))</f>
        <v/>
      </c>
      <c r="C226" s="170" t="str">
        <f>IF(D226="","",VLOOKUP(D226,'Phase Codes'!$A$3:$N$187,8))</f>
        <v/>
      </c>
      <c r="D226" s="170" t="str">
        <f>IF('Base Bid'!G116="","","45-030-195")</f>
        <v/>
      </c>
      <c r="E226" s="170" t="str">
        <f>IF(D226="","",VLOOKUP(D226,'Phase Codes'!$A$9:$C$187,3))</f>
        <v/>
      </c>
      <c r="F226" s="170" t="str">
        <f>IF(D226="","",IF('Base Bid'!J116&gt;0,'Base Bid'!J116,VLOOKUP(D226,'Phase Codes'!$A$9:$G$187,5)))</f>
        <v/>
      </c>
      <c r="G226" s="170" t="str">
        <f>IF(D226="","",IF('Base Bid'!K116&gt;0,'Base Bid'!K116,VLOOKUP(D226,'Phase Codes'!$A$9:$G$187,6)))</f>
        <v/>
      </c>
      <c r="H226" s="170">
        <f>'Base Bid'!N116</f>
        <v>0</v>
      </c>
      <c r="I226" s="282">
        <f>'Base Bid'!N116*'Base Bid'!I116</f>
        <v>0</v>
      </c>
    </row>
    <row r="227" spans="1:12" x14ac:dyDescent="0.15">
      <c r="A227" s="170" t="str">
        <f>IF(D227="","",VLOOKUP(D227,'Phase Codes'!$A$3:$N$187,7))</f>
        <v/>
      </c>
      <c r="C227" s="170" t="str">
        <f>IF(D227="","",VLOOKUP(D227,'Phase Codes'!$A$3:$N$187,8))</f>
        <v/>
      </c>
      <c r="D227" s="170" t="str">
        <f>IF('Base Bid'!G117="","","45-030-196")</f>
        <v/>
      </c>
      <c r="E227" s="170" t="str">
        <f>IF(D227="","",VLOOKUP(D227,'Phase Codes'!$A$9:$C$187,3))</f>
        <v/>
      </c>
      <c r="F227" s="170" t="str">
        <f>IF(D227="","",IF('Base Bid'!J117&gt;0,'Base Bid'!J117,VLOOKUP(D227,'Phase Codes'!$A$9:$G$187,5)))</f>
        <v/>
      </c>
      <c r="G227" s="170" t="str">
        <f>IF(D227="","",IF('Base Bid'!K117&gt;0,'Base Bid'!K117,VLOOKUP(D227,'Phase Codes'!$A$9:$G$187,6)))</f>
        <v/>
      </c>
      <c r="H227" s="170">
        <f>'Base Bid'!N117</f>
        <v>0</v>
      </c>
      <c r="I227" s="282">
        <f>'Base Bid'!N117*'Base Bid'!I117</f>
        <v>0</v>
      </c>
    </row>
    <row r="228" spans="1:12" x14ac:dyDescent="0.15">
      <c r="A228" s="170" t="str">
        <f>IF(D228="","",VLOOKUP(D228,'Phase Codes'!$A$3:$N$187,7))</f>
        <v/>
      </c>
      <c r="C228" s="170" t="str">
        <f>IF(D228="","",VLOOKUP(D228,'Phase Codes'!$A$3:$N$187,8))</f>
        <v/>
      </c>
      <c r="D228" s="170" t="str">
        <f>IF('Base Bid'!G118="","","45-030-197")</f>
        <v/>
      </c>
      <c r="E228" s="170" t="str">
        <f>IF(D228="","",VLOOKUP(D228,'Phase Codes'!$A$9:$C$187,3))</f>
        <v/>
      </c>
      <c r="F228" s="170" t="str">
        <f>IF(D228="","",IF('Base Bid'!J118&gt;0,'Base Bid'!J118,VLOOKUP(D228,'Phase Codes'!$A$9:$G$187,5)))</f>
        <v/>
      </c>
      <c r="G228" s="170" t="str">
        <f>IF(D228="","",IF('Base Bid'!K118&gt;0,'Base Bid'!K118,VLOOKUP(D228,'Phase Codes'!$A$9:$G$187,6)))</f>
        <v/>
      </c>
      <c r="H228" s="170">
        <f>'Base Bid'!N118</f>
        <v>0</v>
      </c>
      <c r="I228" s="282">
        <f>'Base Bid'!N118*'Base Bid'!I118</f>
        <v>0</v>
      </c>
    </row>
    <row r="229" spans="1:12" x14ac:dyDescent="0.15">
      <c r="A229" s="170" t="str">
        <f>IF(D229="","",VLOOKUP(D229,'Phase Codes'!$A$3:$N$187,7))</f>
        <v/>
      </c>
      <c r="C229" s="170" t="str">
        <f>IF(D229="","",VLOOKUP(D229,'Phase Codes'!$A$3:$N$187,8))</f>
        <v/>
      </c>
      <c r="D229" s="170" t="str">
        <f>IF('Base Bid'!G119="","","45-030-198")</f>
        <v/>
      </c>
      <c r="E229" s="170" t="str">
        <f>IF(D229="","",VLOOKUP(D229,'Phase Codes'!$A$9:$C$187,3))</f>
        <v/>
      </c>
      <c r="F229" s="170" t="str">
        <f>IF(D229="","",IF('Base Bid'!J119&gt;0,'Base Bid'!J119,VLOOKUP(D229,'Phase Codes'!$A$9:$G$187,5)))</f>
        <v/>
      </c>
      <c r="G229" s="170" t="str">
        <f>IF(D229="","",IF('Base Bid'!K119&gt;0,'Base Bid'!K119,VLOOKUP(D229,'Phase Codes'!$A$9:$G$187,6)))</f>
        <v/>
      </c>
      <c r="H229" s="170">
        <f>'Base Bid'!N119</f>
        <v>0</v>
      </c>
      <c r="I229" s="282">
        <f>'Base Bid'!N119*'Base Bid'!I119</f>
        <v>0</v>
      </c>
    </row>
    <row r="230" spans="1:12" x14ac:dyDescent="0.15">
      <c r="A230" s="170" t="str">
        <f>IF(D230="","",VLOOKUP(D230,'Phase Codes'!$A$3:$N$187,7))</f>
        <v/>
      </c>
      <c r="C230" s="170" t="str">
        <f>IF(D230="","",VLOOKUP(D230,'Phase Codes'!$A$3:$N$187,8))</f>
        <v/>
      </c>
      <c r="D230" s="170" t="str">
        <f>IF('Base Bid'!G120="","","45-030-199")</f>
        <v/>
      </c>
      <c r="E230" s="170" t="str">
        <f>IF(D230="","",VLOOKUP(D230,'Phase Codes'!$A$9:$C$187,3))</f>
        <v/>
      </c>
      <c r="F230" s="170" t="str">
        <f>IF(D230="","",IF('Base Bid'!J120&gt;0,'Base Bid'!J120,VLOOKUP(D230,'Phase Codes'!$A$9:$G$187,5)))</f>
        <v/>
      </c>
      <c r="G230" s="170" t="str">
        <f>IF(D230="","",IF('Base Bid'!K120&gt;0,'Base Bid'!K120,VLOOKUP(D230,'Phase Codes'!$A$9:$G$187,6)))</f>
        <v/>
      </c>
      <c r="H230" s="170">
        <f>'Base Bid'!N120</f>
        <v>0</v>
      </c>
      <c r="I230" s="282">
        <f>'Base Bid'!N120*'Base Bid'!I120</f>
        <v>0</v>
      </c>
    </row>
    <row r="231" spans="1:12" ht="9" thickBot="1" x14ac:dyDescent="0.2">
      <c r="A231" s="280" t="str">
        <f>IF(D231="","",VLOOKUP(D231,'Phase Codes'!$A$3:$N$187,7))</f>
        <v/>
      </c>
      <c r="B231" s="280"/>
      <c r="C231" s="280" t="str">
        <f>IF(D231="","",VLOOKUP(D231,'Phase Codes'!$A$3:$N$187,8))</f>
        <v/>
      </c>
      <c r="D231" s="280" t="str">
        <f>IF('Base Bid'!G121="","","45-030-200")</f>
        <v/>
      </c>
      <c r="E231" s="280" t="str">
        <f>IF(D231="","",VLOOKUP(D231,'Phase Codes'!$A$9:$C$187,3))</f>
        <v/>
      </c>
      <c r="F231" s="280" t="str">
        <f>IF(D231="","",IF('Base Bid'!J121&gt;0,'Base Bid'!J121,VLOOKUP(D231,'Phase Codes'!$A$9:$G$187,5)))</f>
        <v/>
      </c>
      <c r="G231" s="280" t="str">
        <f>IF(D231="","",IF('Base Bid'!K121&gt;0,'Base Bid'!K121,VLOOKUP(D231,'Phase Codes'!$A$9:$G$187,6)))</f>
        <v/>
      </c>
      <c r="H231" s="280">
        <f>'Base Bid'!N121</f>
        <v>0</v>
      </c>
      <c r="I231" s="283">
        <f>'Base Bid'!N121*'Base Bid'!I121</f>
        <v>0</v>
      </c>
      <c r="J231" s="283"/>
      <c r="K231" s="280"/>
      <c r="L231" s="280"/>
    </row>
    <row r="232" spans="1:12" ht="9" thickTop="1" x14ac:dyDescent="0.15"/>
    <row r="233" spans="1:12" ht="9" thickBot="1" x14ac:dyDescent="0.2">
      <c r="A233" s="280"/>
      <c r="B233" s="280" t="s">
        <v>989</v>
      </c>
      <c r="C233" s="280"/>
      <c r="D233" s="280"/>
      <c r="E233" s="280"/>
      <c r="F233" s="280"/>
      <c r="G233" s="280"/>
      <c r="H233" s="280"/>
      <c r="I233" s="283"/>
      <c r="J233" s="283"/>
      <c r="K233" s="280"/>
      <c r="L233" s="280"/>
    </row>
    <row r="234" spans="1:12" ht="9" thickTop="1" x14ac:dyDescent="0.15">
      <c r="A234" s="170" t="str">
        <f>IF(D234="","",VLOOKUP(D234,'Phase Codes'!$A$3:$N$187,7))</f>
        <v/>
      </c>
      <c r="C234" s="170" t="str">
        <f>IF(D234="","",VLOOKUP(D234,'Phase Codes'!$A$3:$N$187,8))</f>
        <v/>
      </c>
      <c r="D234" s="170" t="str">
        <f>IF('Base Bid'!G124="","",'Base Bid'!G124)</f>
        <v/>
      </c>
      <c r="E234" s="170" t="str">
        <f>IF(D234="","",VLOOKUP(D234,'Phase Codes'!$A$9:$C$187,3))</f>
        <v/>
      </c>
      <c r="F234" s="170" t="str">
        <f>IF(D234="","",IF('Base Bid'!J124&gt;0,'Base Bid'!J124,VLOOKUP(D234,'Phase Codes'!$A$9:$G$187,5)))</f>
        <v/>
      </c>
      <c r="G234" s="170" t="str">
        <f>IF(D234="","",IF('Base Bid'!K124&gt;0,'Base Bid'!K124,VLOOKUP(D234,'Phase Codes'!$A$9:$G$187,6)))</f>
        <v/>
      </c>
      <c r="H234" s="170">
        <f>'Base Bid'!M124</f>
        <v>0</v>
      </c>
      <c r="I234" s="282">
        <f>'Base Bid'!M124*'Base Bid'!H124</f>
        <v>0</v>
      </c>
    </row>
    <row r="235" spans="1:12" x14ac:dyDescent="0.15">
      <c r="A235" s="170" t="str">
        <f>IF(D235="","",VLOOKUP(D235,'Phase Codes'!$A$3:$N$187,7))</f>
        <v/>
      </c>
      <c r="C235" s="170" t="str">
        <f>IF(D235="","",VLOOKUP(D235,'Phase Codes'!$A$3:$N$187,8))</f>
        <v/>
      </c>
      <c r="D235" s="170" t="str">
        <f>IF('Base Bid'!G125="","",'Base Bid'!G125)</f>
        <v/>
      </c>
      <c r="E235" s="170" t="str">
        <f>IF(D235="","",VLOOKUP(D235,'Phase Codes'!$A$9:$C$187,3))</f>
        <v/>
      </c>
      <c r="F235" s="170" t="str">
        <f>IF(D235="","",IF('Base Bid'!J125&gt;0,'Base Bid'!J125,VLOOKUP(D235,'Phase Codes'!$A$9:$G$187,5)))</f>
        <v/>
      </c>
      <c r="G235" s="170" t="str">
        <f>IF(D235="","",IF('Base Bid'!K125&gt;0,'Base Bid'!K125,VLOOKUP(D235,'Phase Codes'!$A$9:$G$187,6)))</f>
        <v/>
      </c>
      <c r="H235" s="170">
        <f>'Base Bid'!M125</f>
        <v>0</v>
      </c>
      <c r="I235" s="282">
        <f>'Base Bid'!M125*'Base Bid'!H125</f>
        <v>0</v>
      </c>
    </row>
    <row r="236" spans="1:12" x14ac:dyDescent="0.15">
      <c r="A236" s="170" t="str">
        <f>IF(D236="","",VLOOKUP(D236,'Phase Codes'!$A$3:$N$187,7))</f>
        <v/>
      </c>
      <c r="C236" s="170" t="str">
        <f>IF(D236="","",VLOOKUP(D236,'Phase Codes'!$A$3:$N$187,8))</f>
        <v/>
      </c>
      <c r="D236" s="170" t="str">
        <f>IF('Base Bid'!G126="","",'Base Bid'!G126)</f>
        <v/>
      </c>
      <c r="E236" s="170" t="str">
        <f>IF(D236="","",VLOOKUP(D236,'Phase Codes'!$A$9:$C$187,3))</f>
        <v/>
      </c>
      <c r="F236" s="170" t="str">
        <f>IF(D236="","",IF('Base Bid'!J126&gt;0,'Base Bid'!J126,VLOOKUP(D236,'Phase Codes'!$A$9:$G$187,5)))</f>
        <v/>
      </c>
      <c r="G236" s="170" t="str">
        <f>IF(D236="","",IF('Base Bid'!K126&gt;0,'Base Bid'!K126,VLOOKUP(D236,'Phase Codes'!$A$9:$G$187,6)))</f>
        <v/>
      </c>
      <c r="H236" s="170">
        <f>'Base Bid'!M126</f>
        <v>0</v>
      </c>
      <c r="I236" s="282">
        <f>'Base Bid'!M126*'Base Bid'!H126</f>
        <v>0</v>
      </c>
    </row>
    <row r="237" spans="1:12" x14ac:dyDescent="0.15">
      <c r="A237" s="170" t="str">
        <f>IF(D237="","",VLOOKUP(D237,'Phase Codes'!$A$3:$N$187,7))</f>
        <v/>
      </c>
      <c r="C237" s="170" t="str">
        <f>IF(D237="","",VLOOKUP(D237,'Phase Codes'!$A$3:$N$187,8))</f>
        <v/>
      </c>
      <c r="D237" s="170" t="str">
        <f>IF('Base Bid'!G127="","",'Base Bid'!G127)</f>
        <v/>
      </c>
      <c r="E237" s="170" t="str">
        <f>IF(D237="","",VLOOKUP(D237,'Phase Codes'!$A$9:$C$187,3))</f>
        <v/>
      </c>
      <c r="F237" s="170" t="str">
        <f>IF(D237="","",IF('Base Bid'!J127&gt;0,'Base Bid'!J127,VLOOKUP(D237,'Phase Codes'!$A$9:$G$187,5)))</f>
        <v/>
      </c>
      <c r="G237" s="170" t="str">
        <f>IF(D237="","",IF('Base Bid'!K127&gt;0,'Base Bid'!K127,VLOOKUP(D237,'Phase Codes'!$A$9:$G$187,6)))</f>
        <v/>
      </c>
      <c r="H237" s="170">
        <f>'Base Bid'!M127</f>
        <v>0</v>
      </c>
      <c r="I237" s="282">
        <f>'Base Bid'!M127*'Base Bid'!H127</f>
        <v>0</v>
      </c>
    </row>
    <row r="238" spans="1:12" x14ac:dyDescent="0.15">
      <c r="A238" s="170" t="str">
        <f>IF(D238="","",VLOOKUP(D238,'Phase Codes'!$A$3:$N$187,7))</f>
        <v/>
      </c>
      <c r="C238" s="170" t="str">
        <f>IF(D238="","",VLOOKUP(D238,'Phase Codes'!$A$3:$N$187,8))</f>
        <v/>
      </c>
      <c r="D238" s="170" t="str">
        <f>IF('Base Bid'!G128="","",'Base Bid'!G128)</f>
        <v/>
      </c>
      <c r="E238" s="170" t="str">
        <f>IF(D238="","",VLOOKUP(D238,'Phase Codes'!$A$9:$C$187,3))</f>
        <v/>
      </c>
      <c r="F238" s="170" t="str">
        <f>IF(D238="","",IF('Base Bid'!J128&gt;0,'Base Bid'!J128,VLOOKUP(D238,'Phase Codes'!$A$9:$G$187,5)))</f>
        <v/>
      </c>
      <c r="G238" s="170" t="str">
        <f>IF(D238="","",IF('Base Bid'!K128&gt;0,'Base Bid'!K128,VLOOKUP(D238,'Phase Codes'!$A$9:$G$187,6)))</f>
        <v/>
      </c>
      <c r="H238" s="170">
        <f>'Base Bid'!M128</f>
        <v>0</v>
      </c>
      <c r="I238" s="282">
        <f>'Base Bid'!M128*'Base Bid'!H128</f>
        <v>0</v>
      </c>
    </row>
    <row r="239" spans="1:12" x14ac:dyDescent="0.15">
      <c r="A239" s="170" t="str">
        <f>IF(D239="","",VLOOKUP(D239,'Phase Codes'!$A$3:$N$187,7))</f>
        <v/>
      </c>
      <c r="C239" s="170" t="str">
        <f>IF(D239="","",VLOOKUP(D239,'Phase Codes'!$A$3:$N$187,8))</f>
        <v/>
      </c>
      <c r="D239" s="170" t="str">
        <f>IF('Base Bid'!G129="","",'Base Bid'!G129)</f>
        <v/>
      </c>
      <c r="E239" s="170" t="str">
        <f>IF(D239="","",VLOOKUP(D239,'Phase Codes'!$A$9:$C$187,3))</f>
        <v/>
      </c>
      <c r="F239" s="170" t="str">
        <f>IF(D239="","",IF('Base Bid'!J129&gt;0,'Base Bid'!J129,VLOOKUP(D239,'Phase Codes'!$A$9:$G$187,5)))</f>
        <v/>
      </c>
      <c r="G239" s="170" t="str">
        <f>IF(D239="","",IF('Base Bid'!K129&gt;0,'Base Bid'!K129,VLOOKUP(D239,'Phase Codes'!$A$9:$G$187,6)))</f>
        <v/>
      </c>
      <c r="H239" s="170">
        <f>'Base Bid'!M129</f>
        <v>0</v>
      </c>
      <c r="I239" s="282">
        <f>'Base Bid'!M129*'Base Bid'!H129</f>
        <v>0</v>
      </c>
    </row>
    <row r="240" spans="1:12" x14ac:dyDescent="0.15">
      <c r="A240" s="170" t="str">
        <f>IF(D240="","",VLOOKUP(D240,'Phase Codes'!$A$3:$N$187,7))</f>
        <v/>
      </c>
      <c r="C240" s="170" t="str">
        <f>IF(D240="","",VLOOKUP(D240,'Phase Codes'!$A$3:$N$187,8))</f>
        <v/>
      </c>
      <c r="D240" s="170" t="str">
        <f>IF('Base Bid'!G130="","",'Base Bid'!G130)</f>
        <v/>
      </c>
      <c r="E240" s="170" t="str">
        <f>IF(D240="","",VLOOKUP(D240,'Phase Codes'!$A$9:$C$187,3))</f>
        <v/>
      </c>
      <c r="F240" s="170" t="str">
        <f>IF(D240="","",IF('Base Bid'!J130&gt;0,'Base Bid'!J130,VLOOKUP(D240,'Phase Codes'!$A$9:$G$187,5)))</f>
        <v/>
      </c>
      <c r="G240" s="170" t="str">
        <f>IF(D240="","",IF('Base Bid'!K130&gt;0,'Base Bid'!K130,VLOOKUP(D240,'Phase Codes'!$A$9:$G$187,6)))</f>
        <v/>
      </c>
      <c r="H240" s="170">
        <f>'Base Bid'!M130</f>
        <v>0</v>
      </c>
      <c r="I240" s="282">
        <f>'Base Bid'!M130*'Base Bid'!H130</f>
        <v>0</v>
      </c>
    </row>
    <row r="241" spans="1:9" x14ac:dyDescent="0.15">
      <c r="A241" s="170" t="str">
        <f>IF(D241="","",VLOOKUP(D241,'Phase Codes'!$A$3:$N$187,7))</f>
        <v/>
      </c>
      <c r="C241" s="170" t="str">
        <f>IF(D241="","",VLOOKUP(D241,'Phase Codes'!$A$3:$N$187,8))</f>
        <v/>
      </c>
      <c r="D241" s="170" t="str">
        <f>IF('Base Bid'!G131="","",'Base Bid'!G131)</f>
        <v/>
      </c>
      <c r="E241" s="170" t="str">
        <f>IF(D241="","",VLOOKUP(D241,'Phase Codes'!$A$9:$C$187,3))</f>
        <v/>
      </c>
      <c r="F241" s="170" t="str">
        <f>IF(D241="","",IF('Base Bid'!J131&gt;0,'Base Bid'!J131,VLOOKUP(D241,'Phase Codes'!$A$9:$G$187,5)))</f>
        <v/>
      </c>
      <c r="G241" s="170" t="str">
        <f>IF(D241="","",IF('Base Bid'!K131&gt;0,'Base Bid'!K131,VLOOKUP(D241,'Phase Codes'!$A$9:$G$187,6)))</f>
        <v/>
      </c>
      <c r="H241" s="170">
        <f>'Base Bid'!M131</f>
        <v>0</v>
      </c>
      <c r="I241" s="282">
        <f>'Base Bid'!M131*'Base Bid'!H131</f>
        <v>0</v>
      </c>
    </row>
    <row r="242" spans="1:9" x14ac:dyDescent="0.15">
      <c r="A242" s="170" t="str">
        <f>IF(D242="","",VLOOKUP(D242,'Phase Codes'!$A$3:$N$187,7))</f>
        <v/>
      </c>
      <c r="C242" s="170" t="str">
        <f>IF(D242="","",VLOOKUP(D242,'Phase Codes'!$A$3:$N$187,8))</f>
        <v/>
      </c>
      <c r="D242" s="170" t="str">
        <f>IF('Base Bid'!G132="","",'Base Bid'!G132)</f>
        <v/>
      </c>
      <c r="E242" s="170" t="str">
        <f>IF(D242="","",VLOOKUP(D242,'Phase Codes'!$A$9:$C$187,3))</f>
        <v/>
      </c>
      <c r="F242" s="170" t="str">
        <f>IF(D242="","",IF('Base Bid'!J132&gt;0,'Base Bid'!J132,VLOOKUP(D242,'Phase Codes'!$A$9:$G$187,5)))</f>
        <v/>
      </c>
      <c r="G242" s="170" t="str">
        <f>IF(D242="","",IF('Base Bid'!K132&gt;0,'Base Bid'!K132,VLOOKUP(D242,'Phase Codes'!$A$9:$G$187,6)))</f>
        <v/>
      </c>
      <c r="H242" s="170">
        <f>'Base Bid'!M132</f>
        <v>0</v>
      </c>
      <c r="I242" s="282">
        <f>'Base Bid'!M132*'Base Bid'!H132</f>
        <v>0</v>
      </c>
    </row>
    <row r="243" spans="1:9" x14ac:dyDescent="0.15">
      <c r="A243" s="170" t="str">
        <f>IF(D243="","",VLOOKUP(D243,'Phase Codes'!$A$3:$N$187,7))</f>
        <v/>
      </c>
      <c r="C243" s="170" t="str">
        <f>IF(D243="","",VLOOKUP(D243,'Phase Codes'!$A$3:$N$187,8))</f>
        <v/>
      </c>
      <c r="D243" s="170" t="str">
        <f>IF('Base Bid'!G133="","",'Base Bid'!G133)</f>
        <v/>
      </c>
      <c r="E243" s="170" t="str">
        <f>IF(D243="","",VLOOKUP(D243,'Phase Codes'!$A$9:$C$187,3))</f>
        <v/>
      </c>
      <c r="F243" s="170" t="str">
        <f>IF(D243="","",IF('Base Bid'!J133&gt;0,'Base Bid'!J133,VLOOKUP(D243,'Phase Codes'!$A$9:$G$187,5)))</f>
        <v/>
      </c>
      <c r="G243" s="170" t="str">
        <f>IF(D243="","",IF('Base Bid'!K133&gt;0,'Base Bid'!K133,VLOOKUP(D243,'Phase Codes'!$A$9:$G$187,6)))</f>
        <v/>
      </c>
      <c r="H243" s="170">
        <f>'Base Bid'!M133</f>
        <v>0</v>
      </c>
      <c r="I243" s="282">
        <f>'Base Bid'!M133*'Base Bid'!H133</f>
        <v>0</v>
      </c>
    </row>
    <row r="244" spans="1:9" x14ac:dyDescent="0.15">
      <c r="A244" s="170" t="str">
        <f>IF(D244="","",VLOOKUP(D244,'Phase Codes'!$A$3:$N$187,7))</f>
        <v/>
      </c>
      <c r="C244" s="170" t="str">
        <f>IF(D244="","",VLOOKUP(D244,'Phase Codes'!$A$3:$N$187,8))</f>
        <v/>
      </c>
      <c r="D244" s="170" t="str">
        <f>IF('Base Bid'!G134="","",'Base Bid'!G134)</f>
        <v/>
      </c>
      <c r="E244" s="170" t="str">
        <f>IF(D244="","",VLOOKUP(D244,'Phase Codes'!$A$9:$C$187,3))</f>
        <v/>
      </c>
      <c r="F244" s="170" t="str">
        <f>IF(D244="","",IF('Base Bid'!J134&gt;0,'Base Bid'!J134,VLOOKUP(D244,'Phase Codes'!$A$9:$G$187,5)))</f>
        <v/>
      </c>
      <c r="G244" s="170" t="str">
        <f>IF(D244="","",IF('Base Bid'!K134&gt;0,'Base Bid'!K134,VLOOKUP(D244,'Phase Codes'!$A$9:$G$187,6)))</f>
        <v/>
      </c>
      <c r="H244" s="170">
        <f>'Base Bid'!M134</f>
        <v>0</v>
      </c>
      <c r="I244" s="282">
        <f>'Base Bid'!M134*'Base Bid'!H134</f>
        <v>0</v>
      </c>
    </row>
    <row r="245" spans="1:9" x14ac:dyDescent="0.15">
      <c r="A245" s="170" t="str">
        <f>IF(D245="","",VLOOKUP(D245,'Phase Codes'!$A$3:$N$187,7))</f>
        <v/>
      </c>
      <c r="C245" s="170" t="str">
        <f>IF(D245="","",VLOOKUP(D245,'Phase Codes'!$A$3:$N$187,8))</f>
        <v/>
      </c>
      <c r="D245" s="170" t="str">
        <f>IF('Base Bid'!G135="","",'Base Bid'!G135)</f>
        <v/>
      </c>
      <c r="E245" s="170" t="str">
        <f>IF(D245="","",VLOOKUP(D245,'Phase Codes'!$A$9:$C$187,3))</f>
        <v/>
      </c>
      <c r="F245" s="170" t="str">
        <f>IF(D245="","",IF('Base Bid'!J135&gt;0,'Base Bid'!J135,VLOOKUP(D245,'Phase Codes'!$A$9:$G$187,5)))</f>
        <v/>
      </c>
      <c r="G245" s="170" t="str">
        <f>IF(D245="","",IF('Base Bid'!K135&gt;0,'Base Bid'!K135,VLOOKUP(D245,'Phase Codes'!$A$9:$G$187,6)))</f>
        <v/>
      </c>
      <c r="H245" s="170">
        <f>'Base Bid'!M135</f>
        <v>0</v>
      </c>
      <c r="I245" s="282">
        <f>'Base Bid'!M135*'Base Bid'!H135</f>
        <v>0</v>
      </c>
    </row>
    <row r="246" spans="1:9" x14ac:dyDescent="0.15">
      <c r="A246" s="170" t="str">
        <f>IF(D246="","",VLOOKUP(D246,'Phase Codes'!$A$3:$N$187,7))</f>
        <v/>
      </c>
      <c r="C246" s="170" t="str">
        <f>IF(D246="","",VLOOKUP(D246,'Phase Codes'!$A$3:$N$187,8))</f>
        <v/>
      </c>
      <c r="D246" s="170" t="str">
        <f>IF('Base Bid'!G136="","",'Base Bid'!G136)</f>
        <v/>
      </c>
      <c r="E246" s="170" t="str">
        <f>IF(D246="","",VLOOKUP(D246,'Phase Codes'!$A$9:$C$187,3))</f>
        <v/>
      </c>
      <c r="F246" s="170" t="str">
        <f>IF(D246="","",IF('Base Bid'!J136&gt;0,'Base Bid'!J136,VLOOKUP(D246,'Phase Codes'!$A$9:$G$187,5)))</f>
        <v/>
      </c>
      <c r="G246" s="170" t="str">
        <f>IF(D246="","",IF('Base Bid'!K136&gt;0,'Base Bid'!K136,VLOOKUP(D246,'Phase Codes'!$A$9:$G$187,6)))</f>
        <v/>
      </c>
      <c r="H246" s="170">
        <f>'Base Bid'!M136</f>
        <v>0</v>
      </c>
      <c r="I246" s="282">
        <f>'Base Bid'!M136*'Base Bid'!H136</f>
        <v>0</v>
      </c>
    </row>
    <row r="247" spans="1:9" x14ac:dyDescent="0.15">
      <c r="A247" s="170" t="str">
        <f>IF(D247="","",VLOOKUP(D247,'Phase Codes'!$A$3:$N$187,7))</f>
        <v/>
      </c>
      <c r="C247" s="170" t="str">
        <f>IF(D247="","",VLOOKUP(D247,'Phase Codes'!$A$3:$N$187,8))</f>
        <v/>
      </c>
      <c r="D247" s="170" t="str">
        <f>IF('Base Bid'!G137="","",'Base Bid'!G137)</f>
        <v/>
      </c>
      <c r="E247" s="170" t="str">
        <f>IF(D247="","",VLOOKUP(D247,'Phase Codes'!$A$9:$C$187,3))</f>
        <v/>
      </c>
      <c r="F247" s="170" t="str">
        <f>IF(D247="","",IF('Base Bid'!J137&gt;0,'Base Bid'!J137,VLOOKUP(D247,'Phase Codes'!$A$9:$G$187,5)))</f>
        <v/>
      </c>
      <c r="G247" s="170" t="str">
        <f>IF(D247="","",IF('Base Bid'!K137&gt;0,'Base Bid'!K137,VLOOKUP(D247,'Phase Codes'!$A$9:$G$187,6)))</f>
        <v/>
      </c>
      <c r="H247" s="170">
        <f>'Base Bid'!M137</f>
        <v>0</v>
      </c>
      <c r="I247" s="282">
        <f>'Base Bid'!M137*'Base Bid'!H137</f>
        <v>0</v>
      </c>
    </row>
    <row r="248" spans="1:9" x14ac:dyDescent="0.15">
      <c r="A248" s="170" t="str">
        <f>IF(D248="","",VLOOKUP(D248,'Phase Codes'!$A$3:$N$187,7))</f>
        <v/>
      </c>
      <c r="C248" s="170" t="str">
        <f>IF(D248="","",VLOOKUP(D248,'Phase Codes'!$A$3:$N$187,8))</f>
        <v/>
      </c>
      <c r="D248" s="170" t="str">
        <f>IF('Base Bid'!G138="","",'Base Bid'!G138)</f>
        <v/>
      </c>
      <c r="E248" s="170" t="str">
        <f>IF(D248="","",VLOOKUP(D248,'Phase Codes'!$A$9:$C$187,3))</f>
        <v/>
      </c>
      <c r="F248" s="170" t="str">
        <f>IF(D248="","",IF('Base Bid'!J138&gt;0,'Base Bid'!J138,VLOOKUP(D248,'Phase Codes'!$A$9:$G$187,5)))</f>
        <v/>
      </c>
      <c r="G248" s="170" t="str">
        <f>IF(D248="","",IF('Base Bid'!K138&gt;0,'Base Bid'!K138,VLOOKUP(D248,'Phase Codes'!$A$9:$G$187,6)))</f>
        <v/>
      </c>
      <c r="H248" s="170">
        <f>'Base Bid'!M138</f>
        <v>0</v>
      </c>
      <c r="I248" s="282">
        <f>'Base Bid'!M138*'Base Bid'!H138</f>
        <v>0</v>
      </c>
    </row>
    <row r="249" spans="1:9" x14ac:dyDescent="0.15">
      <c r="A249" s="170" t="str">
        <f>IF(D249="","",VLOOKUP(D249,'Phase Codes'!$A$3:$N$187,7))</f>
        <v/>
      </c>
      <c r="C249" s="170" t="str">
        <f>IF(D249="","",VLOOKUP(D249,'Phase Codes'!$A$3:$N$187,8))</f>
        <v/>
      </c>
      <c r="D249" s="170" t="str">
        <f>IF('Base Bid'!G139="","",'Base Bid'!G139)</f>
        <v/>
      </c>
      <c r="E249" s="170" t="str">
        <f>IF(D249="","",VLOOKUP(D249,'Phase Codes'!$A$9:$C$187,3))</f>
        <v/>
      </c>
      <c r="F249" s="170" t="str">
        <f>IF(D249="","",IF('Base Bid'!J139&gt;0,'Base Bid'!J139,VLOOKUP(D249,'Phase Codes'!$A$9:$G$187,5)))</f>
        <v/>
      </c>
      <c r="G249" s="170" t="str">
        <f>IF(D249="","",IF('Base Bid'!K139&gt;0,'Base Bid'!K139,VLOOKUP(D249,'Phase Codes'!$A$9:$G$187,6)))</f>
        <v/>
      </c>
      <c r="H249" s="170">
        <f>'Base Bid'!M139</f>
        <v>0</v>
      </c>
      <c r="I249" s="282">
        <f>'Base Bid'!M139*'Base Bid'!H139</f>
        <v>0</v>
      </c>
    </row>
    <row r="250" spans="1:9" x14ac:dyDescent="0.15">
      <c r="A250" s="170" t="str">
        <f>IF(D250="","",VLOOKUP(D250,'Phase Codes'!$A$3:$N$187,7))</f>
        <v/>
      </c>
      <c r="C250" s="170" t="str">
        <f>IF(D250="","",VLOOKUP(D250,'Phase Codes'!$A$3:$N$187,8))</f>
        <v/>
      </c>
      <c r="D250" s="170" t="str">
        <f>IF('Base Bid'!G140="","",'Base Bid'!G140)</f>
        <v/>
      </c>
      <c r="E250" s="170" t="str">
        <f>IF(D250="","",VLOOKUP(D250,'Phase Codes'!$A$9:$C$187,3))</f>
        <v/>
      </c>
      <c r="F250" s="170" t="str">
        <f>IF(D250="","",IF('Base Bid'!J140&gt;0,'Base Bid'!J140,VLOOKUP(D250,'Phase Codes'!$A$9:$G$187,5)))</f>
        <v/>
      </c>
      <c r="G250" s="170" t="str">
        <f>IF(D250="","",IF('Base Bid'!K140&gt;0,'Base Bid'!K140,VLOOKUP(D250,'Phase Codes'!$A$9:$G$187,6)))</f>
        <v/>
      </c>
      <c r="H250" s="170">
        <f>'Base Bid'!M140</f>
        <v>0</v>
      </c>
      <c r="I250" s="282">
        <f>'Base Bid'!M140*'Base Bid'!H140</f>
        <v>0</v>
      </c>
    </row>
    <row r="251" spans="1:9" x14ac:dyDescent="0.15">
      <c r="A251" s="170" t="str">
        <f>IF(D251="","",VLOOKUP(D251,'Phase Codes'!$A$3:$N$187,7))</f>
        <v/>
      </c>
      <c r="C251" s="170" t="str">
        <f>IF(D251="","",VLOOKUP(D251,'Phase Codes'!$A$3:$N$187,8))</f>
        <v/>
      </c>
      <c r="D251" s="170" t="str">
        <f>IF('Base Bid'!G141="","",'Base Bid'!G141)</f>
        <v/>
      </c>
      <c r="E251" s="170" t="str">
        <f>IF(D251="","",VLOOKUP(D251,'Phase Codes'!$A$9:$C$187,3))</f>
        <v/>
      </c>
      <c r="F251" s="170" t="str">
        <f>IF(D251="","",IF('Base Bid'!J141&gt;0,'Base Bid'!J141,VLOOKUP(D251,'Phase Codes'!$A$9:$G$187,5)))</f>
        <v/>
      </c>
      <c r="G251" s="170" t="str">
        <f>IF(D251="","",IF('Base Bid'!K141&gt;0,'Base Bid'!K141,VLOOKUP(D251,'Phase Codes'!$A$9:$G$187,6)))</f>
        <v/>
      </c>
      <c r="H251" s="170">
        <f>'Base Bid'!M141</f>
        <v>0</v>
      </c>
      <c r="I251" s="282">
        <f>'Base Bid'!M141*'Base Bid'!H141</f>
        <v>0</v>
      </c>
    </row>
    <row r="252" spans="1:9" x14ac:dyDescent="0.15">
      <c r="A252" s="170" t="str">
        <f>IF(D252="","",VLOOKUP(D252,'Phase Codes'!$A$3:$N$187,7))</f>
        <v/>
      </c>
      <c r="C252" s="170" t="str">
        <f>IF(D252="","",VLOOKUP(D252,'Phase Codes'!$A$3:$N$187,8))</f>
        <v/>
      </c>
      <c r="D252" s="170" t="str">
        <f>IF('Base Bid'!G142="","",'Base Bid'!G142)</f>
        <v/>
      </c>
      <c r="E252" s="170" t="str">
        <f>IF(D252="","",VLOOKUP(D252,'Phase Codes'!$A$9:$C$187,3))</f>
        <v/>
      </c>
      <c r="F252" s="170" t="str">
        <f>IF(D252="","",IF('Base Bid'!J142&gt;0,'Base Bid'!J142,VLOOKUP(D252,'Phase Codes'!$A$9:$G$187,5)))</f>
        <v/>
      </c>
      <c r="G252" s="170" t="str">
        <f>IF(D252="","",IF('Base Bid'!K142&gt;0,'Base Bid'!K142,VLOOKUP(D252,'Phase Codes'!$A$9:$G$187,6)))</f>
        <v/>
      </c>
      <c r="H252" s="170">
        <f>'Base Bid'!M142</f>
        <v>0</v>
      </c>
      <c r="I252" s="282">
        <f>'Base Bid'!M142*'Base Bid'!H142</f>
        <v>0</v>
      </c>
    </row>
    <row r="253" spans="1:9" x14ac:dyDescent="0.15">
      <c r="A253" s="170" t="str">
        <f>IF(D253="","",VLOOKUP(D253,'Phase Codes'!$A$3:$N$187,7))</f>
        <v/>
      </c>
      <c r="C253" s="170" t="str">
        <f>IF(D253="","",VLOOKUP(D253,'Phase Codes'!$A$3:$N$187,8))</f>
        <v/>
      </c>
      <c r="D253" s="170" t="str">
        <f>IF('Base Bid'!G143="","",'Base Bid'!G143)</f>
        <v/>
      </c>
      <c r="E253" s="170" t="str">
        <f>IF(D253="","",VLOOKUP(D253,'Phase Codes'!$A$9:$C$187,3))</f>
        <v/>
      </c>
      <c r="F253" s="170" t="str">
        <f>IF(D253="","",IF('Base Bid'!J143&gt;0,'Base Bid'!J143,VLOOKUP(D253,'Phase Codes'!$A$9:$G$187,5)))</f>
        <v/>
      </c>
      <c r="G253" s="170" t="str">
        <f>IF(D253="","",IF('Base Bid'!K143&gt;0,'Base Bid'!K143,VLOOKUP(D253,'Phase Codes'!$A$9:$G$187,6)))</f>
        <v/>
      </c>
      <c r="H253" s="170">
        <f>'Base Bid'!M143</f>
        <v>0</v>
      </c>
      <c r="I253" s="282">
        <f>'Base Bid'!M143*'Base Bid'!H143</f>
        <v>0</v>
      </c>
    </row>
    <row r="254" spans="1:9" x14ac:dyDescent="0.15">
      <c r="A254" s="170" t="str">
        <f>IF(D254="","",VLOOKUP(D254,'Phase Codes'!$A$3:$N$187,7))</f>
        <v/>
      </c>
      <c r="C254" s="170" t="str">
        <f>IF(D254="","",VLOOKUP(D254,'Phase Codes'!$A$3:$N$187,8))</f>
        <v/>
      </c>
      <c r="D254" s="170" t="str">
        <f>IF('Base Bid'!G144="","",'Base Bid'!G144)</f>
        <v/>
      </c>
      <c r="E254" s="170" t="str">
        <f>IF(D254="","",VLOOKUP(D254,'Phase Codes'!$A$9:$C$187,3))</f>
        <v/>
      </c>
      <c r="F254" s="170" t="str">
        <f>IF(D254="","",IF('Base Bid'!J144&gt;0,'Base Bid'!J144,VLOOKUP(D254,'Phase Codes'!$A$9:$G$187,5)))</f>
        <v/>
      </c>
      <c r="G254" s="170" t="str">
        <f>IF(D254="","",IF('Base Bid'!K144&gt;0,'Base Bid'!K144,VLOOKUP(D254,'Phase Codes'!$A$9:$G$187,6)))</f>
        <v/>
      </c>
      <c r="H254" s="170">
        <f>'Base Bid'!M144</f>
        <v>0</v>
      </c>
      <c r="I254" s="282">
        <f>'Base Bid'!M144*'Base Bid'!H144</f>
        <v>0</v>
      </c>
    </row>
    <row r="255" spans="1:9" x14ac:dyDescent="0.15">
      <c r="A255" s="170" t="str">
        <f>IF(D255="","",VLOOKUP(D255,'Phase Codes'!$A$3:$N$187,7))</f>
        <v/>
      </c>
      <c r="C255" s="170" t="str">
        <f>IF(D255="","",VLOOKUP(D255,'Phase Codes'!$A$3:$N$187,8))</f>
        <v/>
      </c>
      <c r="D255" s="170" t="str">
        <f>IF('Base Bid'!G145="","",'Base Bid'!G145)</f>
        <v/>
      </c>
      <c r="E255" s="170" t="str">
        <f>IF(D255="","",VLOOKUP(D255,'Phase Codes'!$A$9:$C$187,3))</f>
        <v/>
      </c>
      <c r="F255" s="170" t="str">
        <f>IF(D255="","",IF('Base Bid'!J145&gt;0,'Base Bid'!J145,VLOOKUP(D255,'Phase Codes'!$A$9:$G$187,5)))</f>
        <v/>
      </c>
      <c r="G255" s="170" t="str">
        <f>IF(D255="","",IF('Base Bid'!K145&gt;0,'Base Bid'!K145,VLOOKUP(D255,'Phase Codes'!$A$9:$G$187,6)))</f>
        <v/>
      </c>
      <c r="H255" s="170">
        <f>'Base Bid'!M145</f>
        <v>0</v>
      </c>
      <c r="I255" s="282">
        <f>'Base Bid'!M145*'Base Bid'!H145</f>
        <v>0</v>
      </c>
    </row>
    <row r="256" spans="1:9" x14ac:dyDescent="0.15">
      <c r="A256" s="170" t="str">
        <f>IF(D256="","",VLOOKUP(D256,'Phase Codes'!$A$3:$N$187,7))</f>
        <v/>
      </c>
      <c r="C256" s="170" t="str">
        <f>IF(D256="","",VLOOKUP(D256,'Phase Codes'!$A$3:$N$187,8))</f>
        <v/>
      </c>
      <c r="D256" s="170" t="str">
        <f>IF('Base Bid'!G146="","",'Base Bid'!G146)</f>
        <v/>
      </c>
      <c r="E256" s="170" t="str">
        <f>IF(D256="","",VLOOKUP(D256,'Phase Codes'!$A$9:$C$187,3))</f>
        <v/>
      </c>
      <c r="F256" s="170" t="str">
        <f>IF(D256="","",IF('Base Bid'!J146&gt;0,'Base Bid'!J146,VLOOKUP(D256,'Phase Codes'!$A$9:$G$187,5)))</f>
        <v/>
      </c>
      <c r="G256" s="170" t="str">
        <f>IF(D256="","",IF('Base Bid'!K146&gt;0,'Base Bid'!K146,VLOOKUP(D256,'Phase Codes'!$A$9:$G$187,6)))</f>
        <v/>
      </c>
      <c r="H256" s="170">
        <f>'Base Bid'!M146</f>
        <v>0</v>
      </c>
      <c r="I256" s="282">
        <f>'Base Bid'!M146*'Base Bid'!H146</f>
        <v>0</v>
      </c>
    </row>
    <row r="257" spans="1:9" x14ac:dyDescent="0.15">
      <c r="A257" s="170" t="str">
        <f>IF(D257="","",VLOOKUP(D257,'Phase Codes'!$A$3:$N$187,7))</f>
        <v/>
      </c>
      <c r="C257" s="170" t="str">
        <f>IF(D257="","",VLOOKUP(D257,'Phase Codes'!$A$3:$N$187,8))</f>
        <v/>
      </c>
      <c r="D257" s="170" t="str">
        <f>IF('Base Bid'!G147="","",'Base Bid'!G147)</f>
        <v/>
      </c>
      <c r="E257" s="170" t="str">
        <f>IF(D257="","",VLOOKUP(D257,'Phase Codes'!$A$9:$C$187,3))</f>
        <v/>
      </c>
      <c r="F257" s="170" t="str">
        <f>IF(D257="","",IF('Base Bid'!J147&gt;0,'Base Bid'!J147,VLOOKUP(D257,'Phase Codes'!$A$9:$G$187,5)))</f>
        <v/>
      </c>
      <c r="G257" s="170" t="str">
        <f>IF(D257="","",IF('Base Bid'!K147&gt;0,'Base Bid'!K147,VLOOKUP(D257,'Phase Codes'!$A$9:$G$187,6)))</f>
        <v/>
      </c>
      <c r="H257" s="170">
        <f>'Base Bid'!M147</f>
        <v>0</v>
      </c>
      <c r="I257" s="282">
        <f>'Base Bid'!M147*'Base Bid'!H147</f>
        <v>0</v>
      </c>
    </row>
    <row r="258" spans="1:9" x14ac:dyDescent="0.15">
      <c r="A258" s="170" t="str">
        <f>IF(D258="","",VLOOKUP(D258,'Phase Codes'!$A$3:$N$187,7))</f>
        <v/>
      </c>
      <c r="C258" s="170" t="str">
        <f>IF(D258="","",VLOOKUP(D258,'Phase Codes'!$A$3:$N$187,8))</f>
        <v/>
      </c>
      <c r="D258" s="170" t="str">
        <f>IF('Base Bid'!G148="","",'Base Bid'!G148)</f>
        <v/>
      </c>
      <c r="E258" s="170" t="str">
        <f>IF(D258="","",VLOOKUP(D258,'Phase Codes'!$A$9:$C$187,3))</f>
        <v/>
      </c>
      <c r="F258" s="170" t="str">
        <f>IF(D258="","",IF('Base Bid'!J148&gt;0,'Base Bid'!J148,VLOOKUP(D258,'Phase Codes'!$A$9:$G$187,5)))</f>
        <v/>
      </c>
      <c r="G258" s="170" t="str">
        <f>IF(D258="","",IF('Base Bid'!K148&gt;0,'Base Bid'!K148,VLOOKUP(D258,'Phase Codes'!$A$9:$G$187,6)))</f>
        <v/>
      </c>
      <c r="H258" s="170">
        <f>'Base Bid'!M148</f>
        <v>0</v>
      </c>
      <c r="I258" s="282">
        <f>'Base Bid'!M148*'Base Bid'!H148</f>
        <v>0</v>
      </c>
    </row>
    <row r="259" spans="1:9" x14ac:dyDescent="0.15">
      <c r="A259" s="170" t="str">
        <f>IF(D259="","",VLOOKUP(D259,'Phase Codes'!$A$3:$N$187,7))</f>
        <v/>
      </c>
      <c r="C259" s="170" t="str">
        <f>IF(D259="","",VLOOKUP(D259,'Phase Codes'!$A$3:$N$187,8))</f>
        <v/>
      </c>
      <c r="D259" s="170" t="str">
        <f>IF('Base Bid'!G149="","",'Base Bid'!G149)</f>
        <v/>
      </c>
      <c r="E259" s="170" t="str">
        <f>IF(D259="","",VLOOKUP(D259,'Phase Codes'!$A$9:$C$187,3))</f>
        <v/>
      </c>
      <c r="F259" s="170" t="str">
        <f>IF(D259="","",IF('Base Bid'!J149&gt;0,'Base Bid'!J149,VLOOKUP(D259,'Phase Codes'!$A$9:$G$187,5)))</f>
        <v/>
      </c>
      <c r="G259" s="170" t="str">
        <f>IF(D259="","",IF('Base Bid'!K149&gt;0,'Base Bid'!K149,VLOOKUP(D259,'Phase Codes'!$A$9:$G$187,6)))</f>
        <v/>
      </c>
      <c r="H259" s="170">
        <f>'Base Bid'!M149</f>
        <v>0</v>
      </c>
      <c r="I259" s="282">
        <f>'Base Bid'!M149*'Base Bid'!H149</f>
        <v>0</v>
      </c>
    </row>
    <row r="260" spans="1:9" x14ac:dyDescent="0.15">
      <c r="A260" s="170" t="str">
        <f>IF(D260="","",VLOOKUP(D260,'Phase Codes'!$A$3:$N$187,7))</f>
        <v/>
      </c>
      <c r="C260" s="170" t="str">
        <f>IF(D260="","",VLOOKUP(D260,'Phase Codes'!$A$3:$N$187,8))</f>
        <v/>
      </c>
      <c r="D260" s="170" t="str">
        <f>IF('Base Bid'!G150="","",'Base Bid'!G150)</f>
        <v/>
      </c>
      <c r="E260" s="170" t="str">
        <f>IF(D260="","",VLOOKUP(D260,'Phase Codes'!$A$9:$C$187,3))</f>
        <v/>
      </c>
      <c r="F260" s="170" t="str">
        <f>IF(D260="","",IF('Base Bid'!J150&gt;0,'Base Bid'!J150,VLOOKUP(D260,'Phase Codes'!$A$9:$G$187,5)))</f>
        <v/>
      </c>
      <c r="G260" s="170" t="str">
        <f>IF(D260="","",IF('Base Bid'!K150&gt;0,'Base Bid'!K150,VLOOKUP(D260,'Phase Codes'!$A$9:$G$187,6)))</f>
        <v/>
      </c>
      <c r="H260" s="170">
        <f>'Base Bid'!M150</f>
        <v>0</v>
      </c>
      <c r="I260" s="282">
        <f>'Base Bid'!M150*'Base Bid'!H150</f>
        <v>0</v>
      </c>
    </row>
    <row r="261" spans="1:9" x14ac:dyDescent="0.15">
      <c r="A261" s="170" t="str">
        <f>IF(D261="","",VLOOKUP(D261,'Phase Codes'!$A$3:$N$187,7))</f>
        <v/>
      </c>
      <c r="C261" s="170" t="str">
        <f>IF(D261="","",VLOOKUP(D261,'Phase Codes'!$A$3:$N$187,8))</f>
        <v/>
      </c>
      <c r="D261" s="170" t="str">
        <f>IF('Base Bid'!G151="","",'Base Bid'!G151)</f>
        <v/>
      </c>
      <c r="E261" s="170" t="str">
        <f>IF(D261="","",VLOOKUP(D261,'Phase Codes'!$A$9:$C$187,3))</f>
        <v/>
      </c>
      <c r="F261" s="170" t="str">
        <f>IF(D261="","",IF('Base Bid'!J151&gt;0,'Base Bid'!J151,VLOOKUP(D261,'Phase Codes'!$A$9:$G$187,5)))</f>
        <v/>
      </c>
      <c r="G261" s="170" t="str">
        <f>IF(D261="","",IF('Base Bid'!K151&gt;0,'Base Bid'!K151,VLOOKUP(D261,'Phase Codes'!$A$9:$G$187,6)))</f>
        <v/>
      </c>
      <c r="H261" s="170">
        <f>'Base Bid'!M151</f>
        <v>0</v>
      </c>
      <c r="I261" s="282">
        <f>'Base Bid'!M151*'Base Bid'!H151</f>
        <v>0</v>
      </c>
    </row>
    <row r="262" spans="1:9" x14ac:dyDescent="0.15">
      <c r="A262" s="170" t="str">
        <f>IF(D262="","",VLOOKUP(D262,'Phase Codes'!$A$3:$N$187,7))</f>
        <v/>
      </c>
      <c r="C262" s="170" t="str">
        <f>IF(D262="","",VLOOKUP(D262,'Phase Codes'!$A$3:$N$187,8))</f>
        <v/>
      </c>
      <c r="D262" s="170" t="str">
        <f>IF('Base Bid'!G152="","",'Base Bid'!G152)</f>
        <v/>
      </c>
      <c r="E262" s="170" t="str">
        <f>IF(D262="","",VLOOKUP(D262,'Phase Codes'!$A$9:$C$187,3))</f>
        <v/>
      </c>
      <c r="F262" s="170" t="str">
        <f>IF(D262="","",IF('Base Bid'!J152&gt;0,'Base Bid'!J152,VLOOKUP(D262,'Phase Codes'!$A$9:$G$187,5)))</f>
        <v/>
      </c>
      <c r="G262" s="170" t="str">
        <f>IF(D262="","",IF('Base Bid'!K152&gt;0,'Base Bid'!K152,VLOOKUP(D262,'Phase Codes'!$A$9:$G$187,6)))</f>
        <v/>
      </c>
      <c r="H262" s="170">
        <f>'Base Bid'!M152</f>
        <v>0</v>
      </c>
      <c r="I262" s="282">
        <f>'Base Bid'!M152*'Base Bid'!H152</f>
        <v>0</v>
      </c>
    </row>
    <row r="263" spans="1:9" x14ac:dyDescent="0.15">
      <c r="A263" s="170" t="str">
        <f>IF(D263="","",VLOOKUP(D263,'Phase Codes'!$A$3:$N$187,7))</f>
        <v/>
      </c>
      <c r="C263" s="170" t="str">
        <f>IF(D263="","",VLOOKUP(D263,'Phase Codes'!$A$3:$N$187,8))</f>
        <v/>
      </c>
      <c r="D263" s="170" t="str">
        <f>IF('Base Bid'!G153="","",'Base Bid'!G153)</f>
        <v/>
      </c>
      <c r="E263" s="170" t="str">
        <f>IF(D263="","",VLOOKUP(D263,'Phase Codes'!$A$9:$C$187,3))</f>
        <v/>
      </c>
      <c r="F263" s="170" t="str">
        <f>IF(D263="","",IF('Base Bid'!J153&gt;0,'Base Bid'!J153,VLOOKUP(D263,'Phase Codes'!$A$9:$G$187,5)))</f>
        <v/>
      </c>
      <c r="G263" s="170" t="str">
        <f>IF(D263="","",IF('Base Bid'!K153&gt;0,'Base Bid'!K153,VLOOKUP(D263,'Phase Codes'!$A$9:$G$187,6)))</f>
        <v/>
      </c>
      <c r="H263" s="170">
        <f>'Base Bid'!M153</f>
        <v>0</v>
      </c>
      <c r="I263" s="282">
        <f>'Base Bid'!M153*'Base Bid'!H153</f>
        <v>0</v>
      </c>
    </row>
    <row r="264" spans="1:9" x14ac:dyDescent="0.15">
      <c r="A264" s="170" t="str">
        <f>IF(D264="","",VLOOKUP(D264,'Phase Codes'!$A$3:$N$187,7))</f>
        <v/>
      </c>
      <c r="C264" s="170" t="str">
        <f>IF(D264="","",VLOOKUP(D264,'Phase Codes'!$A$3:$N$187,8))</f>
        <v/>
      </c>
      <c r="D264" s="170" t="str">
        <f>IF('Base Bid'!G154="","",'Base Bid'!G154)</f>
        <v/>
      </c>
      <c r="E264" s="170" t="str">
        <f>IF(D264="","",VLOOKUP(D264,'Phase Codes'!$A$9:$C$187,3))</f>
        <v/>
      </c>
      <c r="F264" s="170" t="str">
        <f>IF(D264="","",IF('Base Bid'!J154&gt;0,'Base Bid'!J154,VLOOKUP(D264,'Phase Codes'!$A$9:$G$187,5)))</f>
        <v/>
      </c>
      <c r="G264" s="170" t="str">
        <f>IF(D264="","",IF('Base Bid'!K154&gt;0,'Base Bid'!K154,VLOOKUP(D264,'Phase Codes'!$A$9:$G$187,6)))</f>
        <v/>
      </c>
      <c r="H264" s="170">
        <f>'Base Bid'!M154</f>
        <v>0</v>
      </c>
      <c r="I264" s="282">
        <f>'Base Bid'!M154*'Base Bid'!H154</f>
        <v>0</v>
      </c>
    </row>
    <row r="265" spans="1:9" x14ac:dyDescent="0.15">
      <c r="A265" s="170" t="str">
        <f>IF(D265="","",VLOOKUP(D265,'Phase Codes'!$A$3:$N$187,7))</f>
        <v/>
      </c>
      <c r="C265" s="170" t="str">
        <f>IF(D265="","",VLOOKUP(D265,'Phase Codes'!$A$3:$N$187,8))</f>
        <v/>
      </c>
      <c r="D265" s="170" t="str">
        <f>IF('Base Bid'!G155="","",'Base Bid'!G155)</f>
        <v/>
      </c>
      <c r="E265" s="170" t="str">
        <f>IF(D265="","",VLOOKUP(D265,'Phase Codes'!$A$9:$C$187,3))</f>
        <v/>
      </c>
      <c r="F265" s="170" t="str">
        <f>IF(D265="","",IF('Base Bid'!J155&gt;0,'Base Bid'!J155,VLOOKUP(D265,'Phase Codes'!$A$9:$G$187,5)))</f>
        <v/>
      </c>
      <c r="G265" s="170" t="str">
        <f>IF(D265="","",IF('Base Bid'!K155&gt;0,'Base Bid'!K155,VLOOKUP(D265,'Phase Codes'!$A$9:$G$187,6)))</f>
        <v/>
      </c>
      <c r="H265" s="170">
        <f>'Base Bid'!M155</f>
        <v>0</v>
      </c>
      <c r="I265" s="282">
        <f>'Base Bid'!M155*'Base Bid'!H155</f>
        <v>0</v>
      </c>
    </row>
    <row r="266" spans="1:9" x14ac:dyDescent="0.15">
      <c r="A266" s="170" t="str">
        <f>IF(D266="","",VLOOKUP(D266,'Phase Codes'!$A$3:$N$187,7))</f>
        <v/>
      </c>
      <c r="C266" s="170" t="str">
        <f>IF(D266="","",VLOOKUP(D266,'Phase Codes'!$A$3:$N$187,8))</f>
        <v/>
      </c>
      <c r="D266" s="170" t="str">
        <f>IF('Base Bid'!G156="","",'Base Bid'!G156)</f>
        <v/>
      </c>
      <c r="E266" s="170" t="str">
        <f>IF(D266="","",VLOOKUP(D266,'Phase Codes'!$A$9:$C$187,3))</f>
        <v/>
      </c>
      <c r="F266" s="170" t="str">
        <f>IF(D266="","",IF('Base Bid'!J156&gt;0,'Base Bid'!J156,VLOOKUP(D266,'Phase Codes'!$A$9:$G$187,5)))</f>
        <v/>
      </c>
      <c r="G266" s="170" t="str">
        <f>IF(D266="","",IF('Base Bid'!K156&gt;0,'Base Bid'!K156,VLOOKUP(D266,'Phase Codes'!$A$9:$G$187,6)))</f>
        <v/>
      </c>
      <c r="H266" s="170">
        <f>'Base Bid'!M156</f>
        <v>0</v>
      </c>
      <c r="I266" s="282">
        <f>'Base Bid'!M156*'Base Bid'!H156</f>
        <v>0</v>
      </c>
    </row>
    <row r="267" spans="1:9" x14ac:dyDescent="0.15">
      <c r="A267" s="170" t="str">
        <f>IF(D267="","",VLOOKUP(D267,'Phase Codes'!$A$3:$N$187,7))</f>
        <v/>
      </c>
      <c r="C267" s="170" t="str">
        <f>IF(D267="","",VLOOKUP(D267,'Phase Codes'!$A$3:$N$187,8))</f>
        <v/>
      </c>
      <c r="D267" s="170" t="str">
        <f>IF('Base Bid'!G157="","",'Base Bid'!G157)</f>
        <v/>
      </c>
      <c r="E267" s="170" t="str">
        <f>IF(D267="","",VLOOKUP(D267,'Phase Codes'!$A$9:$C$187,3))</f>
        <v/>
      </c>
      <c r="F267" s="170" t="str">
        <f>IF(D267="","",IF('Base Bid'!J157&gt;0,'Base Bid'!J157,VLOOKUP(D267,'Phase Codes'!$A$9:$G$187,5)))</f>
        <v/>
      </c>
      <c r="G267" s="170" t="str">
        <f>IF(D267="","",IF('Base Bid'!K157&gt;0,'Base Bid'!K157,VLOOKUP(D267,'Phase Codes'!$A$9:$G$187,6)))</f>
        <v/>
      </c>
      <c r="H267" s="170">
        <f>'Base Bid'!M157</f>
        <v>0</v>
      </c>
      <c r="I267" s="282">
        <f>'Base Bid'!M157*'Base Bid'!H157</f>
        <v>0</v>
      </c>
    </row>
    <row r="268" spans="1:9" x14ac:dyDescent="0.15">
      <c r="A268" s="170" t="str">
        <f>IF(D268="","",VLOOKUP(D268,'Phase Codes'!$A$3:$N$187,7))</f>
        <v/>
      </c>
      <c r="C268" s="170" t="str">
        <f>IF(D268="","",VLOOKUP(D268,'Phase Codes'!$A$3:$N$187,8))</f>
        <v/>
      </c>
      <c r="D268" s="170" t="str">
        <f>IF('Base Bid'!G158="","",'Base Bid'!G158)</f>
        <v/>
      </c>
      <c r="E268" s="170" t="str">
        <f>IF(D268="","",VLOOKUP(D268,'Phase Codes'!$A$9:$C$187,3))</f>
        <v/>
      </c>
      <c r="F268" s="170" t="str">
        <f>IF(D268="","",IF('Base Bid'!J158&gt;0,'Base Bid'!J158,VLOOKUP(D268,'Phase Codes'!$A$9:$G$187,5)))</f>
        <v/>
      </c>
      <c r="G268" s="170" t="str">
        <f>IF(D268="","",IF('Base Bid'!K158&gt;0,'Base Bid'!K158,VLOOKUP(D268,'Phase Codes'!$A$9:$G$187,6)))</f>
        <v/>
      </c>
      <c r="H268" s="170">
        <f>'Base Bid'!M158</f>
        <v>0</v>
      </c>
      <c r="I268" s="282">
        <f>'Base Bid'!M158*'Base Bid'!H158</f>
        <v>0</v>
      </c>
    </row>
    <row r="269" spans="1:9" x14ac:dyDescent="0.15">
      <c r="A269" s="170" t="str">
        <f>IF(D269="","",VLOOKUP(D269,'Phase Codes'!$A$3:$N$187,7))</f>
        <v/>
      </c>
      <c r="C269" s="170" t="str">
        <f>IF(D269="","",VLOOKUP(D269,'Phase Codes'!$A$3:$N$187,8))</f>
        <v/>
      </c>
      <c r="D269" s="170" t="str">
        <f>IF('Base Bid'!G159="","",'Base Bid'!G159)</f>
        <v/>
      </c>
      <c r="E269" s="170" t="str">
        <f>IF(D269="","",VLOOKUP(D269,'Phase Codes'!$A$9:$C$187,3))</f>
        <v/>
      </c>
      <c r="F269" s="170" t="str">
        <f>IF(D269="","",IF('Base Bid'!J159&gt;0,'Base Bid'!J159,VLOOKUP(D269,'Phase Codes'!$A$9:$G$187,5)))</f>
        <v/>
      </c>
      <c r="G269" s="170" t="str">
        <f>IF(D269="","",IF('Base Bid'!K159&gt;0,'Base Bid'!K159,VLOOKUP(D269,'Phase Codes'!$A$9:$G$187,6)))</f>
        <v/>
      </c>
      <c r="H269" s="170">
        <f>'Base Bid'!M159</f>
        <v>0</v>
      </c>
      <c r="I269" s="282">
        <f>'Base Bid'!M159*'Base Bid'!H159</f>
        <v>0</v>
      </c>
    </row>
    <row r="270" spans="1:9" x14ac:dyDescent="0.15">
      <c r="A270" s="170" t="str">
        <f>IF(D270="","",VLOOKUP(D270,'Phase Codes'!$A$3:$N$187,7))</f>
        <v/>
      </c>
      <c r="C270" s="170" t="str">
        <f>IF(D270="","",VLOOKUP(D270,'Phase Codes'!$A$3:$N$187,8))</f>
        <v/>
      </c>
      <c r="D270" s="170" t="str">
        <f>IF('Base Bid'!G160="","",'Base Bid'!G160)</f>
        <v/>
      </c>
      <c r="E270" s="170" t="str">
        <f>IF(D270="","",VLOOKUP(D270,'Phase Codes'!$A$9:$C$187,3))</f>
        <v/>
      </c>
      <c r="F270" s="170" t="str">
        <f>IF(D270="","",IF('Base Bid'!J160&gt;0,'Base Bid'!J160,VLOOKUP(D270,'Phase Codes'!$A$9:$G$187,5)))</f>
        <v/>
      </c>
      <c r="G270" s="170" t="str">
        <f>IF(D270="","",IF('Base Bid'!K160&gt;0,'Base Bid'!K160,VLOOKUP(D270,'Phase Codes'!$A$9:$G$187,6)))</f>
        <v/>
      </c>
      <c r="H270" s="170">
        <f>'Base Bid'!M160</f>
        <v>0</v>
      </c>
      <c r="I270" s="282">
        <f>'Base Bid'!M160*'Base Bid'!H160</f>
        <v>0</v>
      </c>
    </row>
    <row r="271" spans="1:9" x14ac:dyDescent="0.15">
      <c r="A271" s="170" t="str">
        <f>IF(D271="","",VLOOKUP(D271,'Phase Codes'!$A$3:$N$187,7))</f>
        <v/>
      </c>
      <c r="C271" s="170" t="str">
        <f>IF(D271="","",VLOOKUP(D271,'Phase Codes'!$A$3:$N$187,8))</f>
        <v/>
      </c>
      <c r="D271" s="170" t="str">
        <f>IF('Base Bid'!G161="","",'Base Bid'!G161)</f>
        <v/>
      </c>
      <c r="E271" s="170" t="str">
        <f>IF(D271="","",VLOOKUP(D271,'Phase Codes'!$A$9:$C$187,3))</f>
        <v/>
      </c>
      <c r="F271" s="170" t="str">
        <f>IF(D271="","",IF('Base Bid'!J161&gt;0,'Base Bid'!J161,VLOOKUP(D271,'Phase Codes'!$A$9:$G$187,5)))</f>
        <v/>
      </c>
      <c r="G271" s="170" t="str">
        <f>IF(D271="","",IF('Base Bid'!K161&gt;0,'Base Bid'!K161,VLOOKUP(D271,'Phase Codes'!$A$9:$G$187,6)))</f>
        <v/>
      </c>
      <c r="H271" s="170">
        <f>'Base Bid'!M161</f>
        <v>0</v>
      </c>
      <c r="I271" s="282">
        <f>'Base Bid'!M161*'Base Bid'!H161</f>
        <v>0</v>
      </c>
    </row>
    <row r="272" spans="1:9" x14ac:dyDescent="0.15">
      <c r="A272" s="170" t="str">
        <f>IF(D272="","",VLOOKUP(D272,'Phase Codes'!$A$3:$N$187,7))</f>
        <v/>
      </c>
      <c r="C272" s="170" t="str">
        <f>IF(D272="","",VLOOKUP(D272,'Phase Codes'!$A$3:$N$187,8))</f>
        <v/>
      </c>
      <c r="D272" s="170" t="str">
        <f>IF('Base Bid'!G162="","",'Base Bid'!G162)</f>
        <v/>
      </c>
      <c r="E272" s="170" t="str">
        <f>IF(D272="","",VLOOKUP(D272,'Phase Codes'!$A$9:$C$187,3))</f>
        <v/>
      </c>
      <c r="F272" s="170" t="str">
        <f>IF(D272="","",IF('Base Bid'!J162&gt;0,'Base Bid'!J162,VLOOKUP(D272,'Phase Codes'!$A$9:$G$187,5)))</f>
        <v/>
      </c>
      <c r="G272" s="170" t="str">
        <f>IF(D272="","",IF('Base Bid'!K162&gt;0,'Base Bid'!K162,VLOOKUP(D272,'Phase Codes'!$A$9:$G$187,6)))</f>
        <v/>
      </c>
      <c r="H272" s="170">
        <f>'Base Bid'!M162</f>
        <v>0</v>
      </c>
      <c r="I272" s="282">
        <f>'Base Bid'!M162*'Base Bid'!H162</f>
        <v>0</v>
      </c>
    </row>
    <row r="273" spans="1:12" x14ac:dyDescent="0.15">
      <c r="A273" s="170" t="str">
        <f>IF(D273="","",VLOOKUP(D273,'Phase Codes'!$A$3:$N$187,7))</f>
        <v/>
      </c>
      <c r="C273" s="170" t="str">
        <f>IF(D273="","",VLOOKUP(D273,'Phase Codes'!$A$3:$N$187,8))</f>
        <v/>
      </c>
      <c r="D273" s="170" t="str">
        <f>IF('Base Bid'!G163="","",'Base Bid'!G163)</f>
        <v/>
      </c>
      <c r="E273" s="170" t="str">
        <f>IF(D273="","",VLOOKUP(D273,'Phase Codes'!$A$9:$C$187,3))</f>
        <v/>
      </c>
      <c r="F273" s="170" t="str">
        <f>IF(D273="","",IF('Base Bid'!J163&gt;0,'Base Bid'!J163,VLOOKUP(D273,'Phase Codes'!$A$9:$G$187,5)))</f>
        <v/>
      </c>
      <c r="G273" s="170" t="str">
        <f>IF(D273="","",IF('Base Bid'!K163&gt;0,'Base Bid'!K163,VLOOKUP(D273,'Phase Codes'!$A$9:$G$187,6)))</f>
        <v/>
      </c>
      <c r="H273" s="170">
        <f>'Base Bid'!M163</f>
        <v>0</v>
      </c>
      <c r="I273" s="282">
        <f>'Base Bid'!M163*'Base Bid'!H163</f>
        <v>0</v>
      </c>
    </row>
    <row r="274" spans="1:12" x14ac:dyDescent="0.15">
      <c r="A274" s="170" t="str">
        <f>IF(D274="","",VLOOKUP(D274,'Phase Codes'!$A$3:$N$187,7))</f>
        <v/>
      </c>
      <c r="C274" s="170" t="str">
        <f>IF(D274="","",VLOOKUP(D274,'Phase Codes'!$A$3:$N$187,8))</f>
        <v/>
      </c>
      <c r="D274" s="170" t="str">
        <f>IF('Base Bid'!G164="","",'Base Bid'!G164)</f>
        <v/>
      </c>
      <c r="E274" s="170" t="str">
        <f>IF(D274="","",VLOOKUP(D274,'Phase Codes'!$A$9:$C$187,3))</f>
        <v/>
      </c>
      <c r="F274" s="170" t="str">
        <f>IF(D274="","",IF('Base Bid'!J164&gt;0,'Base Bid'!J164,VLOOKUP(D274,'Phase Codes'!$A$9:$G$187,5)))</f>
        <v/>
      </c>
      <c r="G274" s="170" t="str">
        <f>IF(D274="","",IF('Base Bid'!K164&gt;0,'Base Bid'!K164,VLOOKUP(D274,'Phase Codes'!$A$9:$G$187,6)))</f>
        <v/>
      </c>
      <c r="H274" s="170">
        <f>'Base Bid'!M164</f>
        <v>0</v>
      </c>
      <c r="I274" s="282">
        <f>'Base Bid'!M164*'Base Bid'!H164</f>
        <v>0</v>
      </c>
    </row>
    <row r="275" spans="1:12" x14ac:dyDescent="0.15">
      <c r="A275" s="170" t="str">
        <f>IF(D275="","",VLOOKUP(D275,'Phase Codes'!$A$3:$N$187,7))</f>
        <v/>
      </c>
      <c r="C275" s="170" t="str">
        <f>IF(D275="","",VLOOKUP(D275,'Phase Codes'!$A$3:$N$187,8))</f>
        <v/>
      </c>
      <c r="D275" s="170" t="str">
        <f>IF('Base Bid'!G165="","",'Base Bid'!G165)</f>
        <v/>
      </c>
      <c r="E275" s="170" t="str">
        <f>IF(D275="","",VLOOKUP(D275,'Phase Codes'!$A$9:$C$187,3))</f>
        <v/>
      </c>
      <c r="F275" s="170" t="str">
        <f>IF(D275="","",IF('Base Bid'!J165&gt;0,'Base Bid'!J165,VLOOKUP(D275,'Phase Codes'!$A$9:$G$187,5)))</f>
        <v/>
      </c>
      <c r="G275" s="170" t="str">
        <f>IF(D275="","",IF('Base Bid'!K165&gt;0,'Base Bid'!K165,VLOOKUP(D275,'Phase Codes'!$A$9:$G$187,6)))</f>
        <v/>
      </c>
      <c r="H275" s="170">
        <f>'Base Bid'!M165</f>
        <v>0</v>
      </c>
      <c r="I275" s="282">
        <f>'Base Bid'!M165*'Base Bid'!H165</f>
        <v>0</v>
      </c>
    </row>
    <row r="276" spans="1:12" x14ac:dyDescent="0.15">
      <c r="A276" s="170" t="str">
        <f>IF(D276="","",VLOOKUP(D276,'Phase Codes'!$A$3:$N$187,7))</f>
        <v/>
      </c>
      <c r="C276" s="170" t="str">
        <f>IF(D276="","",VLOOKUP(D276,'Phase Codes'!$A$3:$N$187,8))</f>
        <v/>
      </c>
      <c r="D276" s="170" t="str">
        <f>IF('Base Bid'!G166="","",'Base Bid'!G166)</f>
        <v/>
      </c>
      <c r="E276" s="170" t="str">
        <f>IF(D276="","",VLOOKUP(D276,'Phase Codes'!$A$9:$C$187,3))</f>
        <v/>
      </c>
      <c r="F276" s="170" t="str">
        <f>IF(D276="","",IF('Base Bid'!J166&gt;0,'Base Bid'!J166,VLOOKUP(D276,'Phase Codes'!$A$9:$G$187,5)))</f>
        <v/>
      </c>
      <c r="G276" s="170" t="str">
        <f>IF(D276="","",IF('Base Bid'!K166&gt;0,'Base Bid'!K166,VLOOKUP(D276,'Phase Codes'!$A$9:$G$187,6)))</f>
        <v/>
      </c>
      <c r="H276" s="170">
        <f>'Base Bid'!M166</f>
        <v>0</v>
      </c>
      <c r="I276" s="282">
        <f>'Base Bid'!M166*'Base Bid'!H166</f>
        <v>0</v>
      </c>
    </row>
    <row r="277" spans="1:12" x14ac:dyDescent="0.15">
      <c r="A277" s="170" t="str">
        <f>IF(D277="","",VLOOKUP(D277,'Phase Codes'!$A$3:$N$187,7))</f>
        <v/>
      </c>
      <c r="C277" s="170" t="str">
        <f>IF(D277="","",VLOOKUP(D277,'Phase Codes'!$A$3:$N$187,8))</f>
        <v/>
      </c>
      <c r="D277" s="170" t="str">
        <f>IF('Base Bid'!G167="","",'Base Bid'!G167)</f>
        <v/>
      </c>
      <c r="E277" s="170" t="str">
        <f>IF(D277="","",VLOOKUP(D277,'Phase Codes'!$A$9:$C$187,3))</f>
        <v/>
      </c>
      <c r="F277" s="170" t="str">
        <f>IF(D277="","",IF('Base Bid'!J167&gt;0,'Base Bid'!J167,VLOOKUP(D277,'Phase Codes'!$A$9:$G$187,5)))</f>
        <v/>
      </c>
      <c r="G277" s="170" t="str">
        <f>IF(D277="","",IF('Base Bid'!K167&gt;0,'Base Bid'!K167,VLOOKUP(D277,'Phase Codes'!$A$9:$G$187,6)))</f>
        <v/>
      </c>
      <c r="H277" s="170">
        <f>'Base Bid'!M167</f>
        <v>0</v>
      </c>
      <c r="I277" s="282">
        <f>'Base Bid'!M167*'Base Bid'!H167</f>
        <v>0</v>
      </c>
    </row>
    <row r="278" spans="1:12" x14ac:dyDescent="0.15">
      <c r="A278" s="170" t="str">
        <f>IF(D278="","",VLOOKUP(D278,'Phase Codes'!$A$3:$N$187,7))</f>
        <v/>
      </c>
      <c r="C278" s="170" t="str">
        <f>IF(D278="","",VLOOKUP(D278,'Phase Codes'!$A$3:$N$187,8))</f>
        <v/>
      </c>
      <c r="D278" s="170" t="str">
        <f>IF('Base Bid'!G168="","",'Base Bid'!G168)</f>
        <v/>
      </c>
      <c r="E278" s="170" t="str">
        <f>IF(D278="","",VLOOKUP(D278,'Phase Codes'!$A$9:$C$187,3))</f>
        <v/>
      </c>
      <c r="F278" s="170" t="str">
        <f>IF(D278="","",IF('Base Bid'!J168&gt;0,'Base Bid'!J168,VLOOKUP(D278,'Phase Codes'!$A$9:$G$187,5)))</f>
        <v/>
      </c>
      <c r="G278" s="170" t="str">
        <f>IF(D278="","",IF('Base Bid'!K168&gt;0,'Base Bid'!K168,VLOOKUP(D278,'Phase Codes'!$A$9:$G$187,6)))</f>
        <v/>
      </c>
      <c r="H278" s="170">
        <f>'Base Bid'!M168</f>
        <v>0</v>
      </c>
      <c r="I278" s="282">
        <f>'Base Bid'!M168*'Base Bid'!H168</f>
        <v>0</v>
      </c>
    </row>
    <row r="279" spans="1:12" x14ac:dyDescent="0.15">
      <c r="A279" s="170" t="str">
        <f>IF(D279="","",VLOOKUP(D279,'Phase Codes'!$A$3:$N$187,7))</f>
        <v/>
      </c>
      <c r="C279" s="170" t="str">
        <f>IF(D279="","",VLOOKUP(D279,'Phase Codes'!$A$3:$N$187,8))</f>
        <v/>
      </c>
      <c r="D279" s="170" t="str">
        <f>IF('Base Bid'!G169="","",'Base Bid'!G169)</f>
        <v/>
      </c>
      <c r="E279" s="170" t="str">
        <f>IF(D279="","",VLOOKUP(D279,'Phase Codes'!$A$9:$C$187,3))</f>
        <v/>
      </c>
      <c r="F279" s="170" t="str">
        <f>IF(D279="","",IF('Base Bid'!J169&gt;0,'Base Bid'!J169,VLOOKUP(D279,'Phase Codes'!$A$9:$G$187,5)))</f>
        <v/>
      </c>
      <c r="G279" s="170" t="str">
        <f>IF(D279="","",IF('Base Bid'!K169&gt;0,'Base Bid'!K169,VLOOKUP(D279,'Phase Codes'!$A$9:$G$187,6)))</f>
        <v/>
      </c>
      <c r="H279" s="170">
        <f>'Base Bid'!M169</f>
        <v>0</v>
      </c>
      <c r="I279" s="282">
        <f>'Base Bid'!M169*'Base Bid'!H169</f>
        <v>0</v>
      </c>
    </row>
    <row r="280" spans="1:12" x14ac:dyDescent="0.15">
      <c r="A280" s="170" t="str">
        <f>IF(D280="","",VLOOKUP(D280,'Phase Codes'!$A$3:$N$187,7))</f>
        <v/>
      </c>
      <c r="C280" s="170" t="str">
        <f>IF(D280="","",VLOOKUP(D280,'Phase Codes'!$A$3:$N$187,8))</f>
        <v/>
      </c>
      <c r="D280" s="170" t="str">
        <f>IF('Base Bid'!G170="","",'Base Bid'!G170)</f>
        <v/>
      </c>
      <c r="E280" s="170" t="str">
        <f>IF(D280="","",VLOOKUP(D280,'Phase Codes'!$A$9:$C$187,3))</f>
        <v/>
      </c>
      <c r="F280" s="170" t="str">
        <f>IF(D280="","",IF('Base Bid'!J170&gt;0,'Base Bid'!J170,VLOOKUP(D280,'Phase Codes'!$A$9:$G$187,5)))</f>
        <v/>
      </c>
      <c r="G280" s="170" t="str">
        <f>IF(D280="","",IF('Base Bid'!K170&gt;0,'Base Bid'!K170,VLOOKUP(D280,'Phase Codes'!$A$9:$G$187,6)))</f>
        <v/>
      </c>
      <c r="H280" s="170">
        <f>'Base Bid'!M170</f>
        <v>0</v>
      </c>
      <c r="I280" s="282">
        <f>'Base Bid'!M170*'Base Bid'!H170</f>
        <v>0</v>
      </c>
    </row>
    <row r="281" spans="1:12" x14ac:dyDescent="0.15">
      <c r="A281" s="170" t="str">
        <f>IF(D281="","",VLOOKUP(D281,'Phase Codes'!$A$3:$N$187,7))</f>
        <v/>
      </c>
      <c r="C281" s="170" t="str">
        <f>IF(D281="","",VLOOKUP(D281,'Phase Codes'!$A$3:$N$187,8))</f>
        <v/>
      </c>
      <c r="D281" s="170" t="str">
        <f>IF('Base Bid'!G171="","",'Base Bid'!G171)</f>
        <v/>
      </c>
      <c r="E281" s="170" t="str">
        <f>IF(D281="","",VLOOKUP(D281,'Phase Codes'!$A$9:$C$187,3))</f>
        <v/>
      </c>
      <c r="F281" s="170" t="str">
        <f>IF(D281="","",IF('Base Bid'!J171&gt;0,'Base Bid'!J171,VLOOKUP(D281,'Phase Codes'!$A$9:$G$187,5)))</f>
        <v/>
      </c>
      <c r="G281" s="170" t="str">
        <f>IF(D281="","",IF('Base Bid'!K171&gt;0,'Base Bid'!K171,VLOOKUP(D281,'Phase Codes'!$A$9:$G$187,6)))</f>
        <v/>
      </c>
      <c r="H281" s="170">
        <f>'Base Bid'!M171</f>
        <v>0</v>
      </c>
      <c r="I281" s="282">
        <f>'Base Bid'!M171*'Base Bid'!H171</f>
        <v>0</v>
      </c>
    </row>
    <row r="282" spans="1:12" x14ac:dyDescent="0.15">
      <c r="A282" s="170" t="str">
        <f>IF(D282="","",VLOOKUP(D282,'Phase Codes'!$A$3:$N$187,7))</f>
        <v/>
      </c>
      <c r="C282" s="170" t="str">
        <f>IF(D282="","",VLOOKUP(D282,'Phase Codes'!$A$3:$N$187,8))</f>
        <v/>
      </c>
      <c r="D282" s="170" t="str">
        <f>IF('Base Bid'!G172="","",'Base Bid'!G172)</f>
        <v/>
      </c>
      <c r="E282" s="170" t="str">
        <f>IF(D282="","",VLOOKUP(D282,'Phase Codes'!$A$9:$C$187,3))</f>
        <v/>
      </c>
      <c r="F282" s="170" t="str">
        <f>IF(D282="","",IF('Base Bid'!J172&gt;0,'Base Bid'!J172,VLOOKUP(D282,'Phase Codes'!$A$9:$G$187,5)))</f>
        <v/>
      </c>
      <c r="G282" s="170" t="str">
        <f>IF(D282="","",IF('Base Bid'!K172&gt;0,'Base Bid'!K172,VLOOKUP(D282,'Phase Codes'!$A$9:$G$187,6)))</f>
        <v/>
      </c>
      <c r="H282" s="170">
        <f>'Base Bid'!M172</f>
        <v>0</v>
      </c>
      <c r="I282" s="282">
        <f>'Base Bid'!M172*'Base Bid'!H172</f>
        <v>0</v>
      </c>
    </row>
    <row r="283" spans="1:12" ht="9" thickBot="1" x14ac:dyDescent="0.2">
      <c r="A283" s="280" t="str">
        <f>IF(D283="","",VLOOKUP(D283,'Phase Codes'!$A$3:$N$187,7))</f>
        <v/>
      </c>
      <c r="B283" s="280"/>
      <c r="C283" s="280" t="str">
        <f>IF(D283="","",VLOOKUP(D283,'Phase Codes'!$A$3:$N$187,8))</f>
        <v/>
      </c>
      <c r="D283" s="280" t="str">
        <f>IF('Base Bid'!G173="","",'Base Bid'!G173)</f>
        <v/>
      </c>
      <c r="E283" s="280" t="str">
        <f>IF(D283="","",VLOOKUP(D283,'Phase Codes'!$A$9:$C$187,3))</f>
        <v/>
      </c>
      <c r="F283" s="280" t="str">
        <f>IF(D283="","",IF('Base Bid'!J173&gt;0,'Base Bid'!J173,VLOOKUP(D283,'Phase Codes'!$A$9:$G$187,5)))</f>
        <v/>
      </c>
      <c r="G283" s="280" t="str">
        <f>IF(D283="","",IF('Base Bid'!K173&gt;0,'Base Bid'!K173,VLOOKUP(D283,'Phase Codes'!$A$9:$G$187,6)))</f>
        <v/>
      </c>
      <c r="H283" s="280">
        <f>'Base Bid'!M173</f>
        <v>0</v>
      </c>
      <c r="I283" s="283">
        <f>'Base Bid'!M173*'Base Bid'!H173</f>
        <v>0</v>
      </c>
      <c r="J283" s="283"/>
      <c r="K283" s="280"/>
      <c r="L283" s="280"/>
    </row>
    <row r="284" spans="1:12" ht="9.75" thickTop="1" thickBot="1" x14ac:dyDescent="0.2">
      <c r="A284" s="280"/>
      <c r="B284" s="280" t="s">
        <v>992</v>
      </c>
      <c r="C284" s="280"/>
      <c r="D284" s="280"/>
      <c r="E284" s="280"/>
      <c r="F284" s="280"/>
      <c r="G284" s="280"/>
      <c r="H284" s="280"/>
      <c r="I284" s="283"/>
      <c r="J284" s="283"/>
      <c r="K284" s="280"/>
      <c r="L284" s="280"/>
    </row>
    <row r="285" spans="1:12" ht="9" thickTop="1" x14ac:dyDescent="0.15">
      <c r="A285" s="170" t="str">
        <f>IF(D285="","",VLOOKUP(D285,'Phase Codes'!$A$3:$N$187,7))</f>
        <v/>
      </c>
      <c r="C285" s="170" t="str">
        <f>IF(D285="","",VLOOKUP(D285,'Phase Codes'!$A$3:$N$187,8))</f>
        <v/>
      </c>
      <c r="D285" s="170" t="str">
        <f>IF('Base Bid'!G124="","","55-030-201")</f>
        <v/>
      </c>
      <c r="E285" s="170" t="str">
        <f>IF(D285="","",VLOOKUP(D285,'Phase Codes'!$A$9:$C$187,3))</f>
        <v/>
      </c>
      <c r="F285" s="170" t="str">
        <f>IF(D285="","",IF('Base Bid'!J124&gt;0,'Base Bid'!J124,VLOOKUP(D285,'Phase Codes'!$A$9:$G$187,5)))</f>
        <v/>
      </c>
      <c r="G285" s="170" t="str">
        <f>IF(D285="","",IF('Base Bid'!K124&gt;0,'Base Bid'!K124,VLOOKUP(D285,'Phase Codes'!$A$9:$G$187,6)))</f>
        <v/>
      </c>
      <c r="H285" s="170">
        <f>'Base Bid'!N124</f>
        <v>0</v>
      </c>
      <c r="I285" s="282">
        <f>'Base Bid'!N124*'Base Bid'!I124</f>
        <v>0</v>
      </c>
    </row>
    <row r="286" spans="1:12" x14ac:dyDescent="0.15">
      <c r="A286" s="170" t="str">
        <f>IF(D286="","",VLOOKUP(D286,'Phase Codes'!$A$3:$N$187,7))</f>
        <v/>
      </c>
      <c r="C286" s="170" t="str">
        <f>IF(D286="","",VLOOKUP(D286,'Phase Codes'!$A$3:$N$187,8))</f>
        <v/>
      </c>
      <c r="D286" s="170" t="str">
        <f>IF('Base Bid'!G125="","","55-030-202")</f>
        <v/>
      </c>
      <c r="E286" s="170" t="str">
        <f>IF(D286="","",VLOOKUP(D286,'Phase Codes'!$A$9:$C$187,3))</f>
        <v/>
      </c>
      <c r="F286" s="170" t="str">
        <f>IF(D286="","",IF('Base Bid'!J125&gt;0,'Base Bid'!J125,VLOOKUP(D286,'Phase Codes'!$A$9:$G$187,5)))</f>
        <v/>
      </c>
      <c r="G286" s="170" t="str">
        <f>IF(D286="","",IF('Base Bid'!K125&gt;0,'Base Bid'!K125,VLOOKUP(D286,'Phase Codes'!$A$9:$G$187,6)))</f>
        <v/>
      </c>
      <c r="H286" s="170">
        <f>'Base Bid'!N125</f>
        <v>0</v>
      </c>
      <c r="I286" s="282">
        <f>'Base Bid'!N125*'Base Bid'!I125</f>
        <v>0</v>
      </c>
    </row>
    <row r="287" spans="1:12" x14ac:dyDescent="0.15">
      <c r="A287" s="170" t="str">
        <f>IF(D287="","",VLOOKUP(D287,'Phase Codes'!$A$3:$N$187,7))</f>
        <v/>
      </c>
      <c r="C287" s="170" t="str">
        <f>IF(D287="","",VLOOKUP(D287,'Phase Codes'!$A$3:$N$187,8))</f>
        <v/>
      </c>
      <c r="D287" s="170" t="str">
        <f>IF('Base Bid'!G126="","","55-030-203")</f>
        <v/>
      </c>
      <c r="E287" s="170" t="str">
        <f>IF(D287="","",VLOOKUP(D287,'Phase Codes'!$A$9:$C$187,3))</f>
        <v/>
      </c>
      <c r="F287" s="170" t="str">
        <f>IF(D287="","",IF('Base Bid'!J126&gt;0,'Base Bid'!J126,VLOOKUP(D287,'Phase Codes'!$A$9:$G$187,5)))</f>
        <v/>
      </c>
      <c r="G287" s="170" t="str">
        <f>IF(D287="","",IF('Base Bid'!K126&gt;0,'Base Bid'!K126,VLOOKUP(D287,'Phase Codes'!$A$9:$G$187,6)))</f>
        <v/>
      </c>
      <c r="H287" s="170">
        <f>'Base Bid'!N126</f>
        <v>0</v>
      </c>
      <c r="I287" s="282">
        <f>'Base Bid'!N126*'Base Bid'!I126</f>
        <v>0</v>
      </c>
    </row>
    <row r="288" spans="1:12" x14ac:dyDescent="0.15">
      <c r="A288" s="170" t="str">
        <f>IF(D288="","",VLOOKUP(D288,'Phase Codes'!$A$3:$N$187,7))</f>
        <v/>
      </c>
      <c r="C288" s="170" t="str">
        <f>IF(D288="","",VLOOKUP(D288,'Phase Codes'!$A$3:$N$187,8))</f>
        <v/>
      </c>
      <c r="D288" s="170" t="str">
        <f>IF('Base Bid'!G127="","","55-030-204")</f>
        <v/>
      </c>
      <c r="E288" s="170" t="str">
        <f>IF(D288="","",VLOOKUP(D288,'Phase Codes'!$A$9:$C$187,3))</f>
        <v/>
      </c>
      <c r="F288" s="170" t="str">
        <f>IF(D288="","",IF('Base Bid'!J127&gt;0,'Base Bid'!J127,VLOOKUP(D288,'Phase Codes'!$A$9:$G$187,5)))</f>
        <v/>
      </c>
      <c r="G288" s="170" t="str">
        <f>IF(D288="","",IF('Base Bid'!K127&gt;0,'Base Bid'!K127,VLOOKUP(D288,'Phase Codes'!$A$9:$G$187,6)))</f>
        <v/>
      </c>
      <c r="H288" s="170">
        <f>'Base Bid'!N127</f>
        <v>0</v>
      </c>
      <c r="I288" s="282">
        <f>'Base Bid'!N127*'Base Bid'!I127</f>
        <v>0</v>
      </c>
    </row>
    <row r="289" spans="1:9" x14ac:dyDescent="0.15">
      <c r="A289" s="170" t="str">
        <f>IF(D289="","",VLOOKUP(D289,'Phase Codes'!$A$3:$N$187,7))</f>
        <v/>
      </c>
      <c r="C289" s="170" t="str">
        <f>IF(D289="","",VLOOKUP(D289,'Phase Codes'!$A$3:$N$187,8))</f>
        <v/>
      </c>
      <c r="D289" s="170" t="str">
        <f>IF('Base Bid'!G128="","","55-030-205")</f>
        <v/>
      </c>
      <c r="E289" s="170" t="str">
        <f>IF(D289="","",VLOOKUP(D289,'Phase Codes'!$A$9:$C$187,3))</f>
        <v/>
      </c>
      <c r="F289" s="170" t="str">
        <f>IF(D289="","",IF('Base Bid'!J128&gt;0,'Base Bid'!J128,VLOOKUP(D289,'Phase Codes'!$A$9:$G$187,5)))</f>
        <v/>
      </c>
      <c r="G289" s="170" t="str">
        <f>IF(D289="","",IF('Base Bid'!K128&gt;0,'Base Bid'!K128,VLOOKUP(D289,'Phase Codes'!$A$9:$G$187,6)))</f>
        <v/>
      </c>
      <c r="H289" s="170">
        <f>'Base Bid'!N128</f>
        <v>0</v>
      </c>
      <c r="I289" s="282">
        <f>'Base Bid'!N128*'Base Bid'!I128</f>
        <v>0</v>
      </c>
    </row>
    <row r="290" spans="1:9" x14ac:dyDescent="0.15">
      <c r="A290" s="170" t="str">
        <f>IF(D290="","",VLOOKUP(D290,'Phase Codes'!$A$3:$N$187,7))</f>
        <v/>
      </c>
      <c r="C290" s="170" t="str">
        <f>IF(D290="","",VLOOKUP(D290,'Phase Codes'!$A$3:$N$187,8))</f>
        <v/>
      </c>
      <c r="D290" s="170" t="str">
        <f>IF('Base Bid'!G129="","","55-030-206")</f>
        <v/>
      </c>
      <c r="E290" s="170" t="str">
        <f>IF(D290="","",VLOOKUP(D290,'Phase Codes'!$A$9:$C$187,3))</f>
        <v/>
      </c>
      <c r="F290" s="170" t="str">
        <f>IF(D290="","",IF('Base Bid'!J129&gt;0,'Base Bid'!J129,VLOOKUP(D290,'Phase Codes'!$A$9:$G$187,5)))</f>
        <v/>
      </c>
      <c r="G290" s="170" t="str">
        <f>IF(D290="","",IF('Base Bid'!K129&gt;0,'Base Bid'!K129,VLOOKUP(D290,'Phase Codes'!$A$9:$G$187,6)))</f>
        <v/>
      </c>
      <c r="H290" s="170">
        <f>'Base Bid'!N129</f>
        <v>0</v>
      </c>
      <c r="I290" s="282">
        <f>'Base Bid'!N129*'Base Bid'!I129</f>
        <v>0</v>
      </c>
    </row>
    <row r="291" spans="1:9" x14ac:dyDescent="0.15">
      <c r="A291" s="170" t="str">
        <f>IF(D291="","",VLOOKUP(D291,'Phase Codes'!$A$3:$N$187,7))</f>
        <v/>
      </c>
      <c r="C291" s="170" t="str">
        <f>IF(D291="","",VLOOKUP(D291,'Phase Codes'!$A$3:$N$187,8))</f>
        <v/>
      </c>
      <c r="D291" s="170" t="str">
        <f>IF('Base Bid'!G130="","","55-030-207")</f>
        <v/>
      </c>
      <c r="E291" s="170" t="str">
        <f>IF(D291="","",VLOOKUP(D291,'Phase Codes'!$A$9:$C$187,3))</f>
        <v/>
      </c>
      <c r="F291" s="170" t="str">
        <f>IF(D291="","",IF('Base Bid'!J130&gt;0,'Base Bid'!J130,VLOOKUP(D291,'Phase Codes'!$A$9:$G$187,5)))</f>
        <v/>
      </c>
      <c r="G291" s="170" t="str">
        <f>IF(D291="","",IF('Base Bid'!K130&gt;0,'Base Bid'!K130,VLOOKUP(D291,'Phase Codes'!$A$9:$G$187,6)))</f>
        <v/>
      </c>
      <c r="H291" s="170">
        <f>'Base Bid'!N130</f>
        <v>0</v>
      </c>
      <c r="I291" s="282">
        <f>'Base Bid'!N130*'Base Bid'!I130</f>
        <v>0</v>
      </c>
    </row>
    <row r="292" spans="1:9" x14ac:dyDescent="0.15">
      <c r="A292" s="170" t="str">
        <f>IF(D292="","",VLOOKUP(D292,'Phase Codes'!$A$3:$N$187,7))</f>
        <v/>
      </c>
      <c r="C292" s="170" t="str">
        <f>IF(D292="","",VLOOKUP(D292,'Phase Codes'!$A$3:$N$187,8))</f>
        <v/>
      </c>
      <c r="D292" s="170" t="str">
        <f>IF('Base Bid'!G131="","","55-030-208")</f>
        <v/>
      </c>
      <c r="E292" s="170" t="str">
        <f>IF(D292="","",VLOOKUP(D292,'Phase Codes'!$A$9:$C$187,3))</f>
        <v/>
      </c>
      <c r="F292" s="170" t="str">
        <f>IF(D292="","",IF('Base Bid'!J131&gt;0,'Base Bid'!J131,VLOOKUP(D292,'Phase Codes'!$A$9:$G$187,5)))</f>
        <v/>
      </c>
      <c r="G292" s="170" t="str">
        <f>IF(D292="","",IF('Base Bid'!K131&gt;0,'Base Bid'!K131,VLOOKUP(D292,'Phase Codes'!$A$9:$G$187,6)))</f>
        <v/>
      </c>
      <c r="H292" s="170">
        <f>'Base Bid'!N131</f>
        <v>0</v>
      </c>
      <c r="I292" s="282">
        <f>'Base Bid'!N131*'Base Bid'!I131</f>
        <v>0</v>
      </c>
    </row>
    <row r="293" spans="1:9" x14ac:dyDescent="0.15">
      <c r="A293" s="170" t="str">
        <f>IF(D293="","",VLOOKUP(D293,'Phase Codes'!$A$3:$N$187,7))</f>
        <v/>
      </c>
      <c r="C293" s="170" t="str">
        <f>IF(D293="","",VLOOKUP(D293,'Phase Codes'!$A$3:$N$187,8))</f>
        <v/>
      </c>
      <c r="D293" s="170" t="str">
        <f>IF('Base Bid'!G132="","","55-030-209")</f>
        <v/>
      </c>
      <c r="E293" s="170" t="str">
        <f>IF(D293="","",VLOOKUP(D293,'Phase Codes'!$A$9:$C$187,3))</f>
        <v/>
      </c>
      <c r="F293" s="170" t="str">
        <f>IF(D293="","",IF('Base Bid'!J132&gt;0,'Base Bid'!J132,VLOOKUP(D293,'Phase Codes'!$A$9:$G$187,5)))</f>
        <v/>
      </c>
      <c r="G293" s="170" t="str">
        <f>IF(D293="","",IF('Base Bid'!K132&gt;0,'Base Bid'!K132,VLOOKUP(D293,'Phase Codes'!$A$9:$G$187,6)))</f>
        <v/>
      </c>
      <c r="H293" s="170">
        <f>'Base Bid'!N132</f>
        <v>0</v>
      </c>
      <c r="I293" s="282">
        <f>'Base Bid'!N132*'Base Bid'!I132</f>
        <v>0</v>
      </c>
    </row>
    <row r="294" spans="1:9" x14ac:dyDescent="0.15">
      <c r="A294" s="170" t="str">
        <f>IF(D294="","",VLOOKUP(D294,'Phase Codes'!$A$3:$N$187,7))</f>
        <v/>
      </c>
      <c r="C294" s="170" t="str">
        <f>IF(D294="","",VLOOKUP(D294,'Phase Codes'!$A$3:$N$187,8))</f>
        <v/>
      </c>
      <c r="D294" s="170" t="str">
        <f>IF('Base Bid'!G133="","","55-030-210")</f>
        <v/>
      </c>
      <c r="E294" s="170" t="str">
        <f>IF(D294="","",VLOOKUP(D294,'Phase Codes'!$A$9:$C$187,3))</f>
        <v/>
      </c>
      <c r="F294" s="170" t="str">
        <f>IF(D294="","",IF('Base Bid'!J133&gt;0,'Base Bid'!J133,VLOOKUP(D294,'Phase Codes'!$A$9:$G$187,5)))</f>
        <v/>
      </c>
      <c r="G294" s="170" t="str">
        <f>IF(D294="","",IF('Base Bid'!K133&gt;0,'Base Bid'!K133,VLOOKUP(D294,'Phase Codes'!$A$9:$G$187,6)))</f>
        <v/>
      </c>
      <c r="H294" s="170">
        <f>'Base Bid'!N133</f>
        <v>0</v>
      </c>
      <c r="I294" s="282">
        <f>'Base Bid'!N133*'Base Bid'!I133</f>
        <v>0</v>
      </c>
    </row>
    <row r="295" spans="1:9" x14ac:dyDescent="0.15">
      <c r="A295" s="170" t="str">
        <f>IF(D295="","",VLOOKUP(D295,'Phase Codes'!$A$3:$N$187,7))</f>
        <v/>
      </c>
      <c r="C295" s="170" t="str">
        <f>IF(D295="","",VLOOKUP(D295,'Phase Codes'!$A$3:$N$187,8))</f>
        <v/>
      </c>
      <c r="D295" s="170" t="str">
        <f>IF('Base Bid'!G134="","","55-030-211")</f>
        <v/>
      </c>
      <c r="E295" s="170" t="str">
        <f>IF(D295="","",VLOOKUP(D295,'Phase Codes'!$A$9:$C$187,3))</f>
        <v/>
      </c>
      <c r="F295" s="170" t="str">
        <f>IF(D295="","",IF('Base Bid'!J134&gt;0,'Base Bid'!J134,VLOOKUP(D295,'Phase Codes'!$A$9:$G$187,5)))</f>
        <v/>
      </c>
      <c r="G295" s="170" t="str">
        <f>IF(D295="","",IF('Base Bid'!K134&gt;0,'Base Bid'!K134,VLOOKUP(D295,'Phase Codes'!$A$9:$G$187,6)))</f>
        <v/>
      </c>
      <c r="H295" s="170">
        <f>'Base Bid'!N134</f>
        <v>0</v>
      </c>
      <c r="I295" s="282">
        <f>'Base Bid'!N134*'Base Bid'!I134</f>
        <v>0</v>
      </c>
    </row>
    <row r="296" spans="1:9" x14ac:dyDescent="0.15">
      <c r="A296" s="170" t="str">
        <f>IF(D296="","",VLOOKUP(D296,'Phase Codes'!$A$3:$N$187,7))</f>
        <v/>
      </c>
      <c r="C296" s="170" t="str">
        <f>IF(D296="","",VLOOKUP(D296,'Phase Codes'!$A$3:$N$187,8))</f>
        <v/>
      </c>
      <c r="D296" s="170" t="str">
        <f>IF('Base Bid'!G135="","","55-030-212")</f>
        <v/>
      </c>
      <c r="E296" s="170" t="str">
        <f>IF(D296="","",VLOOKUP(D296,'Phase Codes'!$A$9:$C$187,3))</f>
        <v/>
      </c>
      <c r="F296" s="170" t="str">
        <f>IF(D296="","",IF('Base Bid'!J135&gt;0,'Base Bid'!J135,VLOOKUP(D296,'Phase Codes'!$A$9:$G$187,5)))</f>
        <v/>
      </c>
      <c r="G296" s="170" t="str">
        <f>IF(D296="","",IF('Base Bid'!K135&gt;0,'Base Bid'!K135,VLOOKUP(D296,'Phase Codes'!$A$9:$G$187,6)))</f>
        <v/>
      </c>
      <c r="H296" s="170">
        <f>'Base Bid'!N135</f>
        <v>0</v>
      </c>
      <c r="I296" s="282">
        <f>'Base Bid'!N135*'Base Bid'!I135</f>
        <v>0</v>
      </c>
    </row>
    <row r="297" spans="1:9" x14ac:dyDescent="0.15">
      <c r="A297" s="170" t="str">
        <f>IF(D297="","",VLOOKUP(D297,'Phase Codes'!$A$3:$N$187,7))</f>
        <v/>
      </c>
      <c r="C297" s="170" t="str">
        <f>IF(D297="","",VLOOKUP(D297,'Phase Codes'!$A$3:$N$187,8))</f>
        <v/>
      </c>
      <c r="D297" s="170" t="str">
        <f>IF('Base Bid'!G136="","","55-030-213")</f>
        <v/>
      </c>
      <c r="E297" s="170" t="str">
        <f>IF(D297="","",VLOOKUP(D297,'Phase Codes'!$A$9:$C$187,3))</f>
        <v/>
      </c>
      <c r="F297" s="170" t="str">
        <f>IF(D297="","",IF('Base Bid'!J136&gt;0,'Base Bid'!J136,VLOOKUP(D297,'Phase Codes'!$A$9:$G$187,5)))</f>
        <v/>
      </c>
      <c r="G297" s="170" t="str">
        <f>IF(D297="","",IF('Base Bid'!K136&gt;0,'Base Bid'!K136,VLOOKUP(D297,'Phase Codes'!$A$9:$G$187,6)))</f>
        <v/>
      </c>
      <c r="H297" s="170">
        <f>'Base Bid'!N136</f>
        <v>0</v>
      </c>
      <c r="I297" s="282">
        <f>'Base Bid'!N136*'Base Bid'!I136</f>
        <v>0</v>
      </c>
    </row>
    <row r="298" spans="1:9" x14ac:dyDescent="0.15">
      <c r="A298" s="170" t="str">
        <f>IF(D298="","",VLOOKUP(D298,'Phase Codes'!$A$3:$N$187,7))</f>
        <v/>
      </c>
      <c r="C298" s="170" t="str">
        <f>IF(D298="","",VLOOKUP(D298,'Phase Codes'!$A$3:$N$187,8))</f>
        <v/>
      </c>
      <c r="D298" s="170" t="str">
        <f>IF('Base Bid'!G137="","","55-030-214")</f>
        <v/>
      </c>
      <c r="E298" s="170" t="str">
        <f>IF(D298="","",VLOOKUP(D298,'Phase Codes'!$A$9:$C$187,3))</f>
        <v/>
      </c>
      <c r="F298" s="170" t="str">
        <f>IF(D298="","",IF('Base Bid'!J137&gt;0,'Base Bid'!J137,VLOOKUP(D298,'Phase Codes'!$A$9:$G$187,5)))</f>
        <v/>
      </c>
      <c r="G298" s="170" t="str">
        <f>IF(D298="","",IF('Base Bid'!K137&gt;0,'Base Bid'!K137,VLOOKUP(D298,'Phase Codes'!$A$9:$G$187,6)))</f>
        <v/>
      </c>
      <c r="H298" s="170">
        <f>'Base Bid'!N137</f>
        <v>0</v>
      </c>
      <c r="I298" s="282">
        <f>'Base Bid'!N137*'Base Bid'!I137</f>
        <v>0</v>
      </c>
    </row>
    <row r="299" spans="1:9" x14ac:dyDescent="0.15">
      <c r="A299" s="170" t="str">
        <f>IF(D299="","",VLOOKUP(D299,'Phase Codes'!$A$3:$N$187,7))</f>
        <v/>
      </c>
      <c r="C299" s="170" t="str">
        <f>IF(D299="","",VLOOKUP(D299,'Phase Codes'!$A$3:$N$187,8))</f>
        <v/>
      </c>
      <c r="D299" s="170" t="str">
        <f>IF('Base Bid'!G138="","","55-030-215")</f>
        <v/>
      </c>
      <c r="E299" s="170" t="str">
        <f>IF(D299="","",VLOOKUP(D299,'Phase Codes'!$A$9:$C$187,3))</f>
        <v/>
      </c>
      <c r="F299" s="170" t="str">
        <f>IF(D299="","",IF('Base Bid'!J138&gt;0,'Base Bid'!J138,VLOOKUP(D299,'Phase Codes'!$A$9:$G$187,5)))</f>
        <v/>
      </c>
      <c r="G299" s="170" t="str">
        <f>IF(D299="","",IF('Base Bid'!K138&gt;0,'Base Bid'!K138,VLOOKUP(D299,'Phase Codes'!$A$9:$G$187,6)))</f>
        <v/>
      </c>
      <c r="H299" s="170">
        <f>'Base Bid'!N138</f>
        <v>0</v>
      </c>
      <c r="I299" s="282">
        <f>'Base Bid'!N138*'Base Bid'!I138</f>
        <v>0</v>
      </c>
    </row>
    <row r="300" spans="1:9" x14ac:dyDescent="0.15">
      <c r="A300" s="170" t="str">
        <f>IF(D300="","",VLOOKUP(D300,'Phase Codes'!$A$3:$N$187,7))</f>
        <v/>
      </c>
      <c r="C300" s="170" t="str">
        <f>IF(D300="","",VLOOKUP(D300,'Phase Codes'!$A$3:$N$187,8))</f>
        <v/>
      </c>
      <c r="D300" s="170" t="str">
        <f>IF('Base Bid'!G139="","","55-030-216")</f>
        <v/>
      </c>
      <c r="E300" s="170" t="str">
        <f>IF(D300="","",VLOOKUP(D300,'Phase Codes'!$A$9:$C$187,3))</f>
        <v/>
      </c>
      <c r="F300" s="170" t="str">
        <f>IF(D300="","",IF('Base Bid'!J139&gt;0,'Base Bid'!J139,VLOOKUP(D300,'Phase Codes'!$A$9:$G$187,5)))</f>
        <v/>
      </c>
      <c r="G300" s="170" t="str">
        <f>IF(D300="","",IF('Base Bid'!K139&gt;0,'Base Bid'!K139,VLOOKUP(D300,'Phase Codes'!$A$9:$G$187,6)))</f>
        <v/>
      </c>
      <c r="H300" s="170">
        <f>'Base Bid'!N139</f>
        <v>0</v>
      </c>
      <c r="I300" s="282">
        <f>'Base Bid'!N139*'Base Bid'!I139</f>
        <v>0</v>
      </c>
    </row>
    <row r="301" spans="1:9" x14ac:dyDescent="0.15">
      <c r="A301" s="170" t="str">
        <f>IF(D301="","",VLOOKUP(D301,'Phase Codes'!$A$3:$N$187,7))</f>
        <v/>
      </c>
      <c r="C301" s="170" t="str">
        <f>IF(D301="","",VLOOKUP(D301,'Phase Codes'!$A$3:$N$187,8))</f>
        <v/>
      </c>
      <c r="D301" s="170" t="str">
        <f>IF('Base Bid'!G140="","","55-030-217")</f>
        <v/>
      </c>
      <c r="E301" s="170" t="str">
        <f>IF(D301="","",VLOOKUP(D301,'Phase Codes'!$A$9:$C$187,3))</f>
        <v/>
      </c>
      <c r="F301" s="170" t="str">
        <f>IF(D301="","",IF('Base Bid'!J140&gt;0,'Base Bid'!J140,VLOOKUP(D301,'Phase Codes'!$A$9:$G$187,5)))</f>
        <v/>
      </c>
      <c r="G301" s="170" t="str">
        <f>IF(D301="","",IF('Base Bid'!K140&gt;0,'Base Bid'!K140,VLOOKUP(D301,'Phase Codes'!$A$9:$G$187,6)))</f>
        <v/>
      </c>
      <c r="H301" s="170">
        <f>'Base Bid'!N140</f>
        <v>0</v>
      </c>
      <c r="I301" s="282">
        <f>'Base Bid'!N140*'Base Bid'!I140</f>
        <v>0</v>
      </c>
    </row>
    <row r="302" spans="1:9" x14ac:dyDescent="0.15">
      <c r="A302" s="170" t="str">
        <f>IF(D302="","",VLOOKUP(D302,'Phase Codes'!$A$3:$N$187,7))</f>
        <v/>
      </c>
      <c r="C302" s="170" t="str">
        <f>IF(D302="","",VLOOKUP(D302,'Phase Codes'!$A$3:$N$187,8))</f>
        <v/>
      </c>
      <c r="D302" s="170" t="str">
        <f>IF('Base Bid'!G141="","","55-030-218")</f>
        <v/>
      </c>
      <c r="E302" s="170" t="str">
        <f>IF(D302="","",VLOOKUP(D302,'Phase Codes'!$A$9:$C$187,3))</f>
        <v/>
      </c>
      <c r="F302" s="170" t="str">
        <f>IF(D302="","",IF('Base Bid'!J141&gt;0,'Base Bid'!J141,VLOOKUP(D302,'Phase Codes'!$A$9:$G$187,5)))</f>
        <v/>
      </c>
      <c r="G302" s="170" t="str">
        <f>IF(D302="","",IF('Base Bid'!K141&gt;0,'Base Bid'!K141,VLOOKUP(D302,'Phase Codes'!$A$9:$G$187,6)))</f>
        <v/>
      </c>
      <c r="H302" s="170">
        <f>'Base Bid'!N141</f>
        <v>0</v>
      </c>
      <c r="I302" s="282">
        <f>'Base Bid'!N141*'Base Bid'!I141</f>
        <v>0</v>
      </c>
    </row>
    <row r="303" spans="1:9" x14ac:dyDescent="0.15">
      <c r="A303" s="170" t="str">
        <f>IF(D303="","",VLOOKUP(D303,'Phase Codes'!$A$3:$N$187,7))</f>
        <v/>
      </c>
      <c r="C303" s="170" t="str">
        <f>IF(D303="","",VLOOKUP(D303,'Phase Codes'!$A$3:$N$187,8))</f>
        <v/>
      </c>
      <c r="D303" s="170" t="str">
        <f>IF('Base Bid'!G142="","","55-030-219")</f>
        <v/>
      </c>
      <c r="E303" s="170" t="str">
        <f>IF(D303="","",VLOOKUP(D303,'Phase Codes'!$A$9:$C$187,3))</f>
        <v/>
      </c>
      <c r="F303" s="170" t="str">
        <f>IF(D303="","",IF('Base Bid'!J142&gt;0,'Base Bid'!J142,VLOOKUP(D303,'Phase Codes'!$A$9:$G$187,5)))</f>
        <v/>
      </c>
      <c r="G303" s="170" t="str">
        <f>IF(D303="","",IF('Base Bid'!K142&gt;0,'Base Bid'!K142,VLOOKUP(D303,'Phase Codes'!$A$9:$G$187,6)))</f>
        <v/>
      </c>
      <c r="H303" s="170">
        <f>'Base Bid'!N142</f>
        <v>0</v>
      </c>
      <c r="I303" s="282">
        <f>'Base Bid'!N142*'Base Bid'!I142</f>
        <v>0</v>
      </c>
    </row>
    <row r="304" spans="1:9" x14ac:dyDescent="0.15">
      <c r="A304" s="170" t="str">
        <f>IF(D304="","",VLOOKUP(D304,'Phase Codes'!$A$3:$N$187,7))</f>
        <v/>
      </c>
      <c r="C304" s="170" t="str">
        <f>IF(D304="","",VLOOKUP(D304,'Phase Codes'!$A$3:$N$187,8))</f>
        <v/>
      </c>
      <c r="D304" s="170" t="str">
        <f>IF('Base Bid'!G143="","","55-030-220")</f>
        <v/>
      </c>
      <c r="E304" s="170" t="str">
        <f>IF(D304="","",VLOOKUP(D304,'Phase Codes'!$A$9:$C$187,3))</f>
        <v/>
      </c>
      <c r="F304" s="170" t="str">
        <f>IF(D304="","",IF('Base Bid'!J143&gt;0,'Base Bid'!J143,VLOOKUP(D304,'Phase Codes'!$A$9:$G$187,5)))</f>
        <v/>
      </c>
      <c r="G304" s="170" t="str">
        <f>IF(D304="","",IF('Base Bid'!K143&gt;0,'Base Bid'!K143,VLOOKUP(D304,'Phase Codes'!$A$9:$G$187,6)))</f>
        <v/>
      </c>
      <c r="H304" s="170">
        <f>'Base Bid'!N143</f>
        <v>0</v>
      </c>
      <c r="I304" s="282">
        <f>'Base Bid'!N143*'Base Bid'!I143</f>
        <v>0</v>
      </c>
    </row>
    <row r="305" spans="1:9" x14ac:dyDescent="0.15">
      <c r="A305" s="170" t="str">
        <f>IF(D305="","",VLOOKUP(D305,'Phase Codes'!$A$3:$N$187,7))</f>
        <v/>
      </c>
      <c r="C305" s="170" t="str">
        <f>IF(D305="","",VLOOKUP(D305,'Phase Codes'!$A$3:$N$187,8))</f>
        <v/>
      </c>
      <c r="D305" s="170" t="str">
        <f>IF('Base Bid'!G144="","","55-030-221")</f>
        <v/>
      </c>
      <c r="E305" s="170" t="str">
        <f>IF(D305="","",VLOOKUP(D305,'Phase Codes'!$A$9:$C$187,3))</f>
        <v/>
      </c>
      <c r="F305" s="170" t="str">
        <f>IF(D305="","",IF('Base Bid'!J144&gt;0,'Base Bid'!J144,VLOOKUP(D305,'Phase Codes'!$A$9:$G$187,5)))</f>
        <v/>
      </c>
      <c r="G305" s="170" t="str">
        <f>IF(D305="","",IF('Base Bid'!K144&gt;0,'Base Bid'!K144,VLOOKUP(D305,'Phase Codes'!$A$9:$G$187,6)))</f>
        <v/>
      </c>
      <c r="H305" s="170">
        <f>'Base Bid'!N144</f>
        <v>0</v>
      </c>
      <c r="I305" s="282">
        <f>'Base Bid'!N144*'Base Bid'!I144</f>
        <v>0</v>
      </c>
    </row>
    <row r="306" spans="1:9" x14ac:dyDescent="0.15">
      <c r="A306" s="170" t="str">
        <f>IF(D306="","",VLOOKUP(D306,'Phase Codes'!$A$3:$N$187,7))</f>
        <v/>
      </c>
      <c r="C306" s="170" t="str">
        <f>IF(D306="","",VLOOKUP(D306,'Phase Codes'!$A$3:$N$187,8))</f>
        <v/>
      </c>
      <c r="D306" s="170" t="str">
        <f>IF('Base Bid'!G145="","","55-030-222")</f>
        <v/>
      </c>
      <c r="E306" s="170" t="str">
        <f>IF(D306="","",VLOOKUP(D306,'Phase Codes'!$A$9:$C$187,3))</f>
        <v/>
      </c>
      <c r="F306" s="170" t="str">
        <f>IF(D306="","",IF('Base Bid'!J145&gt;0,'Base Bid'!J145,VLOOKUP(D306,'Phase Codes'!$A$9:$G$187,5)))</f>
        <v/>
      </c>
      <c r="G306" s="170" t="str">
        <f>IF(D306="","",IF('Base Bid'!K145&gt;0,'Base Bid'!K145,VLOOKUP(D306,'Phase Codes'!$A$9:$G$187,6)))</f>
        <v/>
      </c>
      <c r="H306" s="170">
        <f>'Base Bid'!N145</f>
        <v>0</v>
      </c>
      <c r="I306" s="282">
        <f>'Base Bid'!N145*'Base Bid'!I145</f>
        <v>0</v>
      </c>
    </row>
    <row r="307" spans="1:9" x14ac:dyDescent="0.15">
      <c r="A307" s="170" t="str">
        <f>IF(D307="","",VLOOKUP(D307,'Phase Codes'!$A$3:$N$187,7))</f>
        <v/>
      </c>
      <c r="C307" s="170" t="str">
        <f>IF(D307="","",VLOOKUP(D307,'Phase Codes'!$A$3:$N$187,8))</f>
        <v/>
      </c>
      <c r="D307" s="170" t="str">
        <f>IF('Base Bid'!G146="","","55-030-223")</f>
        <v/>
      </c>
      <c r="E307" s="170" t="str">
        <f>IF(D307="","",VLOOKUP(D307,'Phase Codes'!$A$9:$C$187,3))</f>
        <v/>
      </c>
      <c r="F307" s="170" t="str">
        <f>IF(D307="","",IF('Base Bid'!J146&gt;0,'Base Bid'!J146,VLOOKUP(D307,'Phase Codes'!$A$9:$G$187,5)))</f>
        <v/>
      </c>
      <c r="G307" s="170" t="str">
        <f>IF(D307="","",IF('Base Bid'!K146&gt;0,'Base Bid'!K146,VLOOKUP(D307,'Phase Codes'!$A$9:$G$187,6)))</f>
        <v/>
      </c>
      <c r="H307" s="170">
        <f>'Base Bid'!N146</f>
        <v>0</v>
      </c>
      <c r="I307" s="282">
        <f>'Base Bid'!N146*'Base Bid'!I146</f>
        <v>0</v>
      </c>
    </row>
    <row r="308" spans="1:9" x14ac:dyDescent="0.15">
      <c r="A308" s="170" t="str">
        <f>IF(D308="","",VLOOKUP(D308,'Phase Codes'!$A$3:$N$187,7))</f>
        <v/>
      </c>
      <c r="C308" s="170" t="str">
        <f>IF(D308="","",VLOOKUP(D308,'Phase Codes'!$A$3:$N$187,8))</f>
        <v/>
      </c>
      <c r="D308" s="170" t="str">
        <f>IF('Base Bid'!G147="","","55-030-224")</f>
        <v/>
      </c>
      <c r="E308" s="170" t="str">
        <f>IF(D308="","",VLOOKUP(D308,'Phase Codes'!$A$9:$C$187,3))</f>
        <v/>
      </c>
      <c r="F308" s="170" t="str">
        <f>IF(D308="","",IF('Base Bid'!J147&gt;0,'Base Bid'!J147,VLOOKUP(D308,'Phase Codes'!$A$9:$G$187,5)))</f>
        <v/>
      </c>
      <c r="G308" s="170" t="str">
        <f>IF(D308="","",IF('Base Bid'!K147&gt;0,'Base Bid'!K147,VLOOKUP(D308,'Phase Codes'!$A$9:$G$187,6)))</f>
        <v/>
      </c>
      <c r="H308" s="170">
        <f>'Base Bid'!N147</f>
        <v>0</v>
      </c>
      <c r="I308" s="282">
        <f>'Base Bid'!N147*'Base Bid'!I147</f>
        <v>0</v>
      </c>
    </row>
    <row r="309" spans="1:9" x14ac:dyDescent="0.15">
      <c r="A309" s="170" t="str">
        <f>IF(D309="","",VLOOKUP(D309,'Phase Codes'!$A$3:$N$187,7))</f>
        <v/>
      </c>
      <c r="C309" s="170" t="str">
        <f>IF(D309="","",VLOOKUP(D309,'Phase Codes'!$A$3:$N$187,8))</f>
        <v/>
      </c>
      <c r="D309" s="170" t="str">
        <f>IF('Base Bid'!G148="","","55-030-225")</f>
        <v/>
      </c>
      <c r="E309" s="170" t="str">
        <f>IF(D309="","",VLOOKUP(D309,'Phase Codes'!$A$9:$C$187,3))</f>
        <v/>
      </c>
      <c r="F309" s="170" t="str">
        <f>IF(D309="","",IF('Base Bid'!J148&gt;0,'Base Bid'!J148,VLOOKUP(D309,'Phase Codes'!$A$9:$G$187,5)))</f>
        <v/>
      </c>
      <c r="G309" s="170" t="str">
        <f>IF(D309="","",IF('Base Bid'!K148&gt;0,'Base Bid'!K148,VLOOKUP(D309,'Phase Codes'!$A$9:$G$187,6)))</f>
        <v/>
      </c>
      <c r="H309" s="170">
        <f>'Base Bid'!N148</f>
        <v>0</v>
      </c>
      <c r="I309" s="282">
        <f>'Base Bid'!N148*'Base Bid'!I148</f>
        <v>0</v>
      </c>
    </row>
    <row r="310" spans="1:9" x14ac:dyDescent="0.15">
      <c r="A310" s="170" t="str">
        <f>IF(D310="","",VLOOKUP(D310,'Phase Codes'!$A$3:$N$187,7))</f>
        <v/>
      </c>
      <c r="C310" s="170" t="str">
        <f>IF(D310="","",VLOOKUP(D310,'Phase Codes'!$A$3:$N$187,8))</f>
        <v/>
      </c>
      <c r="D310" s="170" t="str">
        <f>IF('Base Bid'!G149="","","55-030-226")</f>
        <v/>
      </c>
      <c r="E310" s="170" t="str">
        <f>IF(D310="","",VLOOKUP(D310,'Phase Codes'!$A$9:$C$187,3))</f>
        <v/>
      </c>
      <c r="F310" s="170" t="str">
        <f>IF(D310="","",IF('Base Bid'!J149&gt;0,'Base Bid'!J149,VLOOKUP(D310,'Phase Codes'!$A$9:$G$187,5)))</f>
        <v/>
      </c>
      <c r="G310" s="170" t="str">
        <f>IF(D310="","",IF('Base Bid'!K149&gt;0,'Base Bid'!K149,VLOOKUP(D310,'Phase Codes'!$A$9:$G$187,6)))</f>
        <v/>
      </c>
      <c r="H310" s="170">
        <f>'Base Bid'!N149</f>
        <v>0</v>
      </c>
      <c r="I310" s="282">
        <f>'Base Bid'!N149*'Base Bid'!I149</f>
        <v>0</v>
      </c>
    </row>
    <row r="311" spans="1:9" x14ac:dyDescent="0.15">
      <c r="A311" s="170" t="str">
        <f>IF(D311="","",VLOOKUP(D311,'Phase Codes'!$A$3:$N$187,7))</f>
        <v/>
      </c>
      <c r="C311" s="170" t="str">
        <f>IF(D311="","",VLOOKUP(D311,'Phase Codes'!$A$3:$N$187,8))</f>
        <v/>
      </c>
      <c r="D311" s="170" t="str">
        <f>IF('Base Bid'!G150="","","55-030-227")</f>
        <v/>
      </c>
      <c r="E311" s="170" t="str">
        <f>IF(D311="","",VLOOKUP(D311,'Phase Codes'!$A$9:$C$187,3))</f>
        <v/>
      </c>
      <c r="F311" s="170" t="str">
        <f>IF(D311="","",IF('Base Bid'!J150&gt;0,'Base Bid'!J150,VLOOKUP(D311,'Phase Codes'!$A$9:$G$187,5)))</f>
        <v/>
      </c>
      <c r="G311" s="170" t="str">
        <f>IF(D311="","",IF('Base Bid'!K150&gt;0,'Base Bid'!K150,VLOOKUP(D311,'Phase Codes'!$A$9:$G$187,6)))</f>
        <v/>
      </c>
      <c r="H311" s="170">
        <f>'Base Bid'!N150</f>
        <v>0</v>
      </c>
      <c r="I311" s="282">
        <f>'Base Bid'!N150*'Base Bid'!I150</f>
        <v>0</v>
      </c>
    </row>
    <row r="312" spans="1:9" x14ac:dyDescent="0.15">
      <c r="A312" s="170" t="str">
        <f>IF(D312="","",VLOOKUP(D312,'Phase Codes'!$A$3:$N$187,7))</f>
        <v/>
      </c>
      <c r="C312" s="170" t="str">
        <f>IF(D312="","",VLOOKUP(D312,'Phase Codes'!$A$3:$N$187,8))</f>
        <v/>
      </c>
      <c r="D312" s="170" t="str">
        <f>IF('Base Bid'!G151="","","55-030-228")</f>
        <v/>
      </c>
      <c r="E312" s="170" t="str">
        <f>IF(D312="","",VLOOKUP(D312,'Phase Codes'!$A$9:$C$187,3))</f>
        <v/>
      </c>
      <c r="F312" s="170" t="str">
        <f>IF(D312="","",IF('Base Bid'!J151&gt;0,'Base Bid'!J151,VLOOKUP(D312,'Phase Codes'!$A$9:$G$187,5)))</f>
        <v/>
      </c>
      <c r="G312" s="170" t="str">
        <f>IF(D312="","",IF('Base Bid'!K151&gt;0,'Base Bid'!K151,VLOOKUP(D312,'Phase Codes'!$A$9:$G$187,6)))</f>
        <v/>
      </c>
      <c r="H312" s="170">
        <f>'Base Bid'!N151</f>
        <v>0</v>
      </c>
      <c r="I312" s="282">
        <f>'Base Bid'!N151*'Base Bid'!I151</f>
        <v>0</v>
      </c>
    </row>
    <row r="313" spans="1:9" x14ac:dyDescent="0.15">
      <c r="A313" s="170" t="str">
        <f>IF(D313="","",VLOOKUP(D313,'Phase Codes'!$A$3:$N$187,7))</f>
        <v/>
      </c>
      <c r="C313" s="170" t="str">
        <f>IF(D313="","",VLOOKUP(D313,'Phase Codes'!$A$3:$N$187,8))</f>
        <v/>
      </c>
      <c r="D313" s="170" t="str">
        <f>IF('Base Bid'!G152="","","55-030-229")</f>
        <v/>
      </c>
      <c r="E313" s="170" t="str">
        <f>IF(D313="","",VLOOKUP(D313,'Phase Codes'!$A$9:$C$187,3))</f>
        <v/>
      </c>
      <c r="F313" s="170" t="str">
        <f>IF(D313="","",IF('Base Bid'!J152&gt;0,'Base Bid'!J152,VLOOKUP(D313,'Phase Codes'!$A$9:$G$187,5)))</f>
        <v/>
      </c>
      <c r="G313" s="170" t="str">
        <f>IF(D313="","",IF('Base Bid'!K152&gt;0,'Base Bid'!K152,VLOOKUP(D313,'Phase Codes'!$A$9:$G$187,6)))</f>
        <v/>
      </c>
      <c r="H313" s="170">
        <f>'Base Bid'!N152</f>
        <v>0</v>
      </c>
      <c r="I313" s="282">
        <f>'Base Bid'!N152*'Base Bid'!I152</f>
        <v>0</v>
      </c>
    </row>
    <row r="314" spans="1:9" x14ac:dyDescent="0.15">
      <c r="A314" s="170" t="str">
        <f>IF(D314="","",VLOOKUP(D314,'Phase Codes'!$A$3:$N$187,7))</f>
        <v/>
      </c>
      <c r="C314" s="170" t="str">
        <f>IF(D314="","",VLOOKUP(D314,'Phase Codes'!$A$3:$N$187,8))</f>
        <v/>
      </c>
      <c r="D314" s="170" t="str">
        <f>IF('Base Bid'!G153="","","55-030-230")</f>
        <v/>
      </c>
      <c r="E314" s="170" t="str">
        <f>IF(D314="","",VLOOKUP(D314,'Phase Codes'!$A$9:$C$187,3))</f>
        <v/>
      </c>
      <c r="F314" s="170" t="str">
        <f>IF(D314="","",IF('Base Bid'!J153&gt;0,'Base Bid'!J153,VLOOKUP(D314,'Phase Codes'!$A$9:$G$187,5)))</f>
        <v/>
      </c>
      <c r="G314" s="170" t="str">
        <f>IF(D314="","",IF('Base Bid'!K153&gt;0,'Base Bid'!K153,VLOOKUP(D314,'Phase Codes'!$A$9:$G$187,6)))</f>
        <v/>
      </c>
      <c r="H314" s="170">
        <f>'Base Bid'!N153</f>
        <v>0</v>
      </c>
      <c r="I314" s="282">
        <f>'Base Bid'!N153*'Base Bid'!I153</f>
        <v>0</v>
      </c>
    </row>
    <row r="315" spans="1:9" x14ac:dyDescent="0.15">
      <c r="A315" s="170" t="str">
        <f>IF(D315="","",VLOOKUP(D315,'Phase Codes'!$A$3:$N$187,7))</f>
        <v/>
      </c>
      <c r="C315" s="170" t="str">
        <f>IF(D315="","",VLOOKUP(D315,'Phase Codes'!$A$3:$N$187,8))</f>
        <v/>
      </c>
      <c r="D315" s="170" t="str">
        <f>IF('Base Bid'!G154="","","55-030-231")</f>
        <v/>
      </c>
      <c r="E315" s="170" t="str">
        <f>IF(D315="","",VLOOKUP(D315,'Phase Codes'!$A$9:$C$187,3))</f>
        <v/>
      </c>
      <c r="F315" s="170" t="str">
        <f>IF(D315="","",IF('Base Bid'!J154&gt;0,'Base Bid'!J154,VLOOKUP(D315,'Phase Codes'!$A$9:$G$187,5)))</f>
        <v/>
      </c>
      <c r="G315" s="170" t="str">
        <f>IF(D315="","",IF('Base Bid'!K154&gt;0,'Base Bid'!K154,VLOOKUP(D315,'Phase Codes'!$A$9:$G$187,6)))</f>
        <v/>
      </c>
      <c r="H315" s="170">
        <f>'Base Bid'!N154</f>
        <v>0</v>
      </c>
      <c r="I315" s="282">
        <f>'Base Bid'!N154*'Base Bid'!I154</f>
        <v>0</v>
      </c>
    </row>
    <row r="316" spans="1:9" x14ac:dyDescent="0.15">
      <c r="A316" s="170" t="str">
        <f>IF(D316="","",VLOOKUP(D316,'Phase Codes'!$A$3:$N$187,7))</f>
        <v/>
      </c>
      <c r="C316" s="170" t="str">
        <f>IF(D316="","",VLOOKUP(D316,'Phase Codes'!$A$3:$N$187,8))</f>
        <v/>
      </c>
      <c r="D316" s="170" t="str">
        <f>IF('Base Bid'!G155="","","55-030-232")</f>
        <v/>
      </c>
      <c r="E316" s="170" t="str">
        <f>IF(D316="","",VLOOKUP(D316,'Phase Codes'!$A$9:$C$187,3))</f>
        <v/>
      </c>
      <c r="F316" s="170" t="str">
        <f>IF(D316="","",IF('Base Bid'!J155&gt;0,'Base Bid'!J155,VLOOKUP(D316,'Phase Codes'!$A$9:$G$187,5)))</f>
        <v/>
      </c>
      <c r="G316" s="170" t="str">
        <f>IF(D316="","",IF('Base Bid'!K155&gt;0,'Base Bid'!K155,VLOOKUP(D316,'Phase Codes'!$A$9:$G$187,6)))</f>
        <v/>
      </c>
      <c r="H316" s="170">
        <f>'Base Bid'!N155</f>
        <v>0</v>
      </c>
      <c r="I316" s="282">
        <f>'Base Bid'!N155*'Base Bid'!I155</f>
        <v>0</v>
      </c>
    </row>
    <row r="317" spans="1:9" x14ac:dyDescent="0.15">
      <c r="A317" s="170" t="str">
        <f>IF(D317="","",VLOOKUP(D317,'Phase Codes'!$A$3:$N$187,7))</f>
        <v/>
      </c>
      <c r="C317" s="170" t="str">
        <f>IF(D317="","",VLOOKUP(D317,'Phase Codes'!$A$3:$N$187,8))</f>
        <v/>
      </c>
      <c r="D317" s="170" t="str">
        <f>IF('Base Bid'!G156="","","55-030-233")</f>
        <v/>
      </c>
      <c r="E317" s="170" t="str">
        <f>IF(D317="","",VLOOKUP(D317,'Phase Codes'!$A$9:$C$187,3))</f>
        <v/>
      </c>
      <c r="F317" s="170" t="str">
        <f>IF(D317="","",IF('Base Bid'!J156&gt;0,'Base Bid'!J156,VLOOKUP(D317,'Phase Codes'!$A$9:$G$187,5)))</f>
        <v/>
      </c>
      <c r="G317" s="170" t="str">
        <f>IF(D317="","",IF('Base Bid'!K156&gt;0,'Base Bid'!K156,VLOOKUP(D317,'Phase Codes'!$A$9:$G$187,6)))</f>
        <v/>
      </c>
      <c r="H317" s="170">
        <f>'Base Bid'!N156</f>
        <v>0</v>
      </c>
      <c r="I317" s="282">
        <f>'Base Bid'!N156*'Base Bid'!I156</f>
        <v>0</v>
      </c>
    </row>
    <row r="318" spans="1:9" x14ac:dyDescent="0.15">
      <c r="A318" s="170" t="str">
        <f>IF(D318="","",VLOOKUP(D318,'Phase Codes'!$A$3:$N$187,7))</f>
        <v/>
      </c>
      <c r="C318" s="170" t="str">
        <f>IF(D318="","",VLOOKUP(D318,'Phase Codes'!$A$3:$N$187,8))</f>
        <v/>
      </c>
      <c r="D318" s="170" t="str">
        <f>IF('Base Bid'!G157="","","55-030-234")</f>
        <v/>
      </c>
      <c r="E318" s="170" t="str">
        <f>IF(D318="","",VLOOKUP(D318,'Phase Codes'!$A$9:$C$187,3))</f>
        <v/>
      </c>
      <c r="F318" s="170" t="str">
        <f>IF(D318="","",IF('Base Bid'!J157&gt;0,'Base Bid'!J157,VLOOKUP(D318,'Phase Codes'!$A$9:$G$187,5)))</f>
        <v/>
      </c>
      <c r="G318" s="170" t="str">
        <f>IF(D318="","",IF('Base Bid'!K157&gt;0,'Base Bid'!K157,VLOOKUP(D318,'Phase Codes'!$A$9:$G$187,6)))</f>
        <v/>
      </c>
      <c r="H318" s="170">
        <f>'Base Bid'!N157</f>
        <v>0</v>
      </c>
      <c r="I318" s="282">
        <f>'Base Bid'!N157*'Base Bid'!I157</f>
        <v>0</v>
      </c>
    </row>
    <row r="319" spans="1:9" x14ac:dyDescent="0.15">
      <c r="A319" s="170" t="str">
        <f>IF(D319="","",VLOOKUP(D319,'Phase Codes'!$A$3:$N$187,7))</f>
        <v/>
      </c>
      <c r="C319" s="170" t="str">
        <f>IF(D319="","",VLOOKUP(D319,'Phase Codes'!$A$3:$N$187,8))</f>
        <v/>
      </c>
      <c r="D319" s="170" t="str">
        <f>IF('Base Bid'!G158="","","55-030-235")</f>
        <v/>
      </c>
      <c r="E319" s="170" t="str">
        <f>IF(D319="","",VLOOKUP(D319,'Phase Codes'!$A$9:$C$187,3))</f>
        <v/>
      </c>
      <c r="F319" s="170" t="str">
        <f>IF(D319="","",IF('Base Bid'!J158&gt;0,'Base Bid'!J158,VLOOKUP(D319,'Phase Codes'!$A$9:$G$187,5)))</f>
        <v/>
      </c>
      <c r="G319" s="170" t="str">
        <f>IF(D319="","",IF('Base Bid'!K158&gt;0,'Base Bid'!K158,VLOOKUP(D319,'Phase Codes'!$A$9:$G$187,6)))</f>
        <v/>
      </c>
      <c r="H319" s="170">
        <f>'Base Bid'!N158</f>
        <v>0</v>
      </c>
      <c r="I319" s="282">
        <f>'Base Bid'!N158*'Base Bid'!I158</f>
        <v>0</v>
      </c>
    </row>
    <row r="320" spans="1:9" x14ac:dyDescent="0.15">
      <c r="A320" s="170" t="str">
        <f>IF(D320="","",VLOOKUP(D320,'Phase Codes'!$A$3:$N$187,7))</f>
        <v/>
      </c>
      <c r="C320" s="170" t="str">
        <f>IF(D320="","",VLOOKUP(D320,'Phase Codes'!$A$3:$N$187,8))</f>
        <v/>
      </c>
      <c r="D320" s="170" t="str">
        <f>IF('Base Bid'!G159="","","55-030-236")</f>
        <v/>
      </c>
      <c r="E320" s="170" t="str">
        <f>IF(D320="","",VLOOKUP(D320,'Phase Codes'!$A$9:$C$187,3))</f>
        <v/>
      </c>
      <c r="F320" s="170" t="str">
        <f>IF(D320="","",IF('Base Bid'!J159&gt;0,'Base Bid'!J159,VLOOKUP(D320,'Phase Codes'!$A$9:$G$187,5)))</f>
        <v/>
      </c>
      <c r="G320" s="170" t="str">
        <f>IF(D320="","",IF('Base Bid'!K159&gt;0,'Base Bid'!K159,VLOOKUP(D320,'Phase Codes'!$A$9:$G$187,6)))</f>
        <v/>
      </c>
      <c r="H320" s="170">
        <f>'Base Bid'!N159</f>
        <v>0</v>
      </c>
      <c r="I320" s="282">
        <f>'Base Bid'!N159*'Base Bid'!I159</f>
        <v>0</v>
      </c>
    </row>
    <row r="321" spans="1:12" x14ac:dyDescent="0.15">
      <c r="A321" s="170" t="str">
        <f>IF(D321="","",VLOOKUP(D321,'Phase Codes'!$A$3:$N$187,7))</f>
        <v/>
      </c>
      <c r="C321" s="170" t="str">
        <f>IF(D321="","",VLOOKUP(D321,'Phase Codes'!$A$3:$N$187,8))</f>
        <v/>
      </c>
      <c r="D321" s="170" t="str">
        <f>IF('Base Bid'!G160="","","55-030-237")</f>
        <v/>
      </c>
      <c r="E321" s="170" t="str">
        <f>IF(D321="","",VLOOKUP(D321,'Phase Codes'!$A$9:$C$187,3))</f>
        <v/>
      </c>
      <c r="F321" s="170" t="str">
        <f>IF(D321="","",IF('Base Bid'!J160&gt;0,'Base Bid'!J160,VLOOKUP(D321,'Phase Codes'!$A$9:$G$187,5)))</f>
        <v/>
      </c>
      <c r="G321" s="170" t="str">
        <f>IF(D321="","",IF('Base Bid'!K160&gt;0,'Base Bid'!K160,VLOOKUP(D321,'Phase Codes'!$A$9:$G$187,6)))</f>
        <v/>
      </c>
      <c r="H321" s="170">
        <f>'Base Bid'!N160</f>
        <v>0</v>
      </c>
      <c r="I321" s="282">
        <f>'Base Bid'!N160*'Base Bid'!I160</f>
        <v>0</v>
      </c>
    </row>
    <row r="322" spans="1:12" x14ac:dyDescent="0.15">
      <c r="A322" s="170" t="str">
        <f>IF(D322="","",VLOOKUP(D322,'Phase Codes'!$A$3:$N$187,7))</f>
        <v/>
      </c>
      <c r="C322" s="170" t="str">
        <f>IF(D322="","",VLOOKUP(D322,'Phase Codes'!$A$3:$N$187,8))</f>
        <v/>
      </c>
      <c r="D322" s="170" t="str">
        <f>IF('Base Bid'!G161="","","55-030-238")</f>
        <v/>
      </c>
      <c r="E322" s="170" t="str">
        <f>IF(D322="","",VLOOKUP(D322,'Phase Codes'!$A$9:$C$187,3))</f>
        <v/>
      </c>
      <c r="F322" s="170" t="str">
        <f>IF(D322="","",IF('Base Bid'!J161&gt;0,'Base Bid'!J161,VLOOKUP(D322,'Phase Codes'!$A$9:$G$187,5)))</f>
        <v/>
      </c>
      <c r="G322" s="170" t="str">
        <f>IF(D322="","",IF('Base Bid'!K161&gt;0,'Base Bid'!K161,VLOOKUP(D322,'Phase Codes'!$A$9:$G$187,6)))</f>
        <v/>
      </c>
      <c r="H322" s="170">
        <f>'Base Bid'!N161</f>
        <v>0</v>
      </c>
      <c r="I322" s="282">
        <f>'Base Bid'!N161*'Base Bid'!I161</f>
        <v>0</v>
      </c>
    </row>
    <row r="323" spans="1:12" x14ac:dyDescent="0.15">
      <c r="A323" s="170" t="str">
        <f>IF(D323="","",VLOOKUP(D323,'Phase Codes'!$A$3:$N$187,7))</f>
        <v/>
      </c>
      <c r="C323" s="170" t="str">
        <f>IF(D323="","",VLOOKUP(D323,'Phase Codes'!$A$3:$N$187,8))</f>
        <v/>
      </c>
      <c r="D323" s="170" t="str">
        <f>IF('Base Bid'!G162="","","55-030-239")</f>
        <v/>
      </c>
      <c r="E323" s="170" t="str">
        <f>IF(D323="","",VLOOKUP(D323,'Phase Codes'!$A$9:$C$187,3))</f>
        <v/>
      </c>
      <c r="F323" s="170" t="str">
        <f>IF(D323="","",IF('Base Bid'!J162&gt;0,'Base Bid'!J162,VLOOKUP(D323,'Phase Codes'!$A$9:$G$187,5)))</f>
        <v/>
      </c>
      <c r="G323" s="170" t="str">
        <f>IF(D323="","",IF('Base Bid'!K162&gt;0,'Base Bid'!K162,VLOOKUP(D323,'Phase Codes'!$A$9:$G$187,6)))</f>
        <v/>
      </c>
      <c r="H323" s="170">
        <f>'Base Bid'!N162</f>
        <v>0</v>
      </c>
      <c r="I323" s="282">
        <f>'Base Bid'!N162*'Base Bid'!I162</f>
        <v>0</v>
      </c>
    </row>
    <row r="324" spans="1:12" x14ac:dyDescent="0.15">
      <c r="A324" s="170" t="str">
        <f>IF(D324="","",VLOOKUP(D324,'Phase Codes'!$A$3:$N$187,7))</f>
        <v/>
      </c>
      <c r="C324" s="170" t="str">
        <f>IF(D324="","",VLOOKUP(D324,'Phase Codes'!$A$3:$N$187,8))</f>
        <v/>
      </c>
      <c r="D324" s="170" t="str">
        <f>IF('Base Bid'!G163="","","55-030-240")</f>
        <v/>
      </c>
      <c r="E324" s="170" t="str">
        <f>IF(D324="","",VLOOKUP(D324,'Phase Codes'!$A$9:$C$187,3))</f>
        <v/>
      </c>
      <c r="F324" s="170" t="str">
        <f>IF(D324="","",IF('Base Bid'!J163&gt;0,'Base Bid'!J163,VLOOKUP(D324,'Phase Codes'!$A$9:$G$187,5)))</f>
        <v/>
      </c>
      <c r="G324" s="170" t="str">
        <f>IF(D324="","",IF('Base Bid'!K163&gt;0,'Base Bid'!K163,VLOOKUP(D324,'Phase Codes'!$A$9:$G$187,6)))</f>
        <v/>
      </c>
      <c r="H324" s="170">
        <f>'Base Bid'!N163</f>
        <v>0</v>
      </c>
      <c r="I324" s="282">
        <f>'Base Bid'!N163*'Base Bid'!I163</f>
        <v>0</v>
      </c>
    </row>
    <row r="325" spans="1:12" x14ac:dyDescent="0.15">
      <c r="A325" s="170" t="str">
        <f>IF(D325="","",VLOOKUP(D325,'Phase Codes'!$A$3:$N$187,7))</f>
        <v/>
      </c>
      <c r="C325" s="170" t="str">
        <f>IF(D325="","",VLOOKUP(D325,'Phase Codes'!$A$3:$N$187,8))</f>
        <v/>
      </c>
      <c r="D325" s="170" t="str">
        <f>IF('Base Bid'!G164="","","55-030-241")</f>
        <v/>
      </c>
      <c r="E325" s="170" t="str">
        <f>IF(D325="","",VLOOKUP(D325,'Phase Codes'!$A$9:$C$187,3))</f>
        <v/>
      </c>
      <c r="F325" s="170" t="str">
        <f>IF(D325="","",IF('Base Bid'!J164&gt;0,'Base Bid'!J164,VLOOKUP(D325,'Phase Codes'!$A$9:$G$187,5)))</f>
        <v/>
      </c>
      <c r="G325" s="170" t="str">
        <f>IF(D325="","",IF('Base Bid'!K164&gt;0,'Base Bid'!K164,VLOOKUP(D325,'Phase Codes'!$A$9:$G$187,6)))</f>
        <v/>
      </c>
      <c r="H325" s="170">
        <f>'Base Bid'!N164</f>
        <v>0</v>
      </c>
      <c r="I325" s="282">
        <f>'Base Bid'!N164*'Base Bid'!I164</f>
        <v>0</v>
      </c>
    </row>
    <row r="326" spans="1:12" x14ac:dyDescent="0.15">
      <c r="A326" s="170" t="str">
        <f>IF(D326="","",VLOOKUP(D326,'Phase Codes'!$A$3:$N$187,7))</f>
        <v/>
      </c>
      <c r="C326" s="170" t="str">
        <f>IF(D326="","",VLOOKUP(D326,'Phase Codes'!$A$3:$N$187,8))</f>
        <v/>
      </c>
      <c r="D326" s="170" t="str">
        <f>IF('Base Bid'!G165="","","55-030-242")</f>
        <v/>
      </c>
      <c r="E326" s="170" t="str">
        <f>IF(D326="","",VLOOKUP(D326,'Phase Codes'!$A$9:$C$187,3))</f>
        <v/>
      </c>
      <c r="F326" s="170" t="str">
        <f>IF(D326="","",IF('Base Bid'!J165&gt;0,'Base Bid'!J165,VLOOKUP(D326,'Phase Codes'!$A$9:$G$187,5)))</f>
        <v/>
      </c>
      <c r="G326" s="170" t="str">
        <f>IF(D326="","",IF('Base Bid'!K165&gt;0,'Base Bid'!K165,VLOOKUP(D326,'Phase Codes'!$A$9:$G$187,6)))</f>
        <v/>
      </c>
      <c r="H326" s="170">
        <f>'Base Bid'!N165</f>
        <v>0</v>
      </c>
      <c r="I326" s="282">
        <f>'Base Bid'!N165*'Base Bid'!I165</f>
        <v>0</v>
      </c>
    </row>
    <row r="327" spans="1:12" x14ac:dyDescent="0.15">
      <c r="A327" s="170" t="str">
        <f>IF(D327="","",VLOOKUP(D327,'Phase Codes'!$A$3:$N$187,7))</f>
        <v/>
      </c>
      <c r="C327" s="170" t="str">
        <f>IF(D327="","",VLOOKUP(D327,'Phase Codes'!$A$3:$N$187,8))</f>
        <v/>
      </c>
      <c r="D327" s="170" t="str">
        <f>IF('Base Bid'!G166="","","55-030-243")</f>
        <v/>
      </c>
      <c r="E327" s="170" t="str">
        <f>IF(D327="","",VLOOKUP(D327,'Phase Codes'!$A$9:$C$187,3))</f>
        <v/>
      </c>
      <c r="F327" s="170" t="str">
        <f>IF(D327="","",IF('Base Bid'!J166&gt;0,'Base Bid'!J166,VLOOKUP(D327,'Phase Codes'!$A$9:$G$187,5)))</f>
        <v/>
      </c>
      <c r="G327" s="170" t="str">
        <f>IF(D327="","",IF('Base Bid'!K166&gt;0,'Base Bid'!K166,VLOOKUP(D327,'Phase Codes'!$A$9:$G$187,6)))</f>
        <v/>
      </c>
      <c r="H327" s="170">
        <f>'Base Bid'!N166</f>
        <v>0</v>
      </c>
      <c r="I327" s="282">
        <f>'Base Bid'!N166*'Base Bid'!I166</f>
        <v>0</v>
      </c>
    </row>
    <row r="328" spans="1:12" x14ac:dyDescent="0.15">
      <c r="A328" s="170" t="str">
        <f>IF(D328="","",VLOOKUP(D328,'Phase Codes'!$A$3:$N$187,7))</f>
        <v/>
      </c>
      <c r="C328" s="170" t="str">
        <f>IF(D328="","",VLOOKUP(D328,'Phase Codes'!$A$3:$N$187,8))</f>
        <v/>
      </c>
      <c r="D328" s="170" t="str">
        <f>IF('Base Bid'!G167="","","55-030-244")</f>
        <v/>
      </c>
      <c r="E328" s="170" t="str">
        <f>IF(D328="","",VLOOKUP(D328,'Phase Codes'!$A$9:$C$187,3))</f>
        <v/>
      </c>
      <c r="F328" s="170" t="str">
        <f>IF(D328="","",IF('Base Bid'!J167&gt;0,'Base Bid'!J167,VLOOKUP(D328,'Phase Codes'!$A$9:$G$187,5)))</f>
        <v/>
      </c>
      <c r="G328" s="170" t="str">
        <f>IF(D328="","",IF('Base Bid'!K167&gt;0,'Base Bid'!K167,VLOOKUP(D328,'Phase Codes'!$A$9:$G$187,6)))</f>
        <v/>
      </c>
      <c r="H328" s="170">
        <f>'Base Bid'!N167</f>
        <v>0</v>
      </c>
      <c r="I328" s="282">
        <f>'Base Bid'!N167*'Base Bid'!I167</f>
        <v>0</v>
      </c>
    </row>
    <row r="329" spans="1:12" x14ac:dyDescent="0.15">
      <c r="A329" s="170" t="str">
        <f>IF(D329="","",VLOOKUP(D329,'Phase Codes'!$A$3:$N$187,7))</f>
        <v/>
      </c>
      <c r="C329" s="170" t="str">
        <f>IF(D329="","",VLOOKUP(D329,'Phase Codes'!$A$3:$N$187,8))</f>
        <v/>
      </c>
      <c r="D329" s="170" t="str">
        <f>IF('Base Bid'!G168="","","55-030-245")</f>
        <v/>
      </c>
      <c r="E329" s="170" t="str">
        <f>IF(D329="","",VLOOKUP(D329,'Phase Codes'!$A$9:$C$187,3))</f>
        <v/>
      </c>
      <c r="F329" s="170" t="str">
        <f>IF(D329="","",IF('Base Bid'!J168&gt;0,'Base Bid'!J168,VLOOKUP(D329,'Phase Codes'!$A$9:$G$187,5)))</f>
        <v/>
      </c>
      <c r="G329" s="170" t="str">
        <f>IF(D329="","",IF('Base Bid'!K168&gt;0,'Base Bid'!K168,VLOOKUP(D329,'Phase Codes'!$A$9:$G$187,6)))</f>
        <v/>
      </c>
      <c r="H329" s="170">
        <f>'Base Bid'!N168</f>
        <v>0</v>
      </c>
      <c r="I329" s="282">
        <f>'Base Bid'!N168*'Base Bid'!I168</f>
        <v>0</v>
      </c>
    </row>
    <row r="330" spans="1:12" x14ac:dyDescent="0.15">
      <c r="A330" s="170" t="str">
        <f>IF(D330="","",VLOOKUP(D330,'Phase Codes'!$A$3:$N$187,7))</f>
        <v/>
      </c>
      <c r="C330" s="170" t="str">
        <f>IF(D330="","",VLOOKUP(D330,'Phase Codes'!$A$3:$N$187,8))</f>
        <v/>
      </c>
      <c r="D330" s="170" t="str">
        <f>IF('Base Bid'!G169="","","55-030-246")</f>
        <v/>
      </c>
      <c r="E330" s="170" t="str">
        <f>IF(D330="","",VLOOKUP(D330,'Phase Codes'!$A$9:$C$187,3))</f>
        <v/>
      </c>
      <c r="F330" s="170" t="str">
        <f>IF(D330="","",IF('Base Bid'!J169&gt;0,'Base Bid'!J169,VLOOKUP(D330,'Phase Codes'!$A$9:$G$187,5)))</f>
        <v/>
      </c>
      <c r="G330" s="170" t="str">
        <f>IF(D330="","",IF('Base Bid'!K169&gt;0,'Base Bid'!K169,VLOOKUP(D330,'Phase Codes'!$A$9:$G$187,6)))</f>
        <v/>
      </c>
      <c r="H330" s="170">
        <f>'Base Bid'!N169</f>
        <v>0</v>
      </c>
      <c r="I330" s="282">
        <f>'Base Bid'!N169*'Base Bid'!I169</f>
        <v>0</v>
      </c>
    </row>
    <row r="331" spans="1:12" x14ac:dyDescent="0.15">
      <c r="A331" s="170" t="str">
        <f>IF(D331="","",VLOOKUP(D331,'Phase Codes'!$A$3:$N$187,7))</f>
        <v/>
      </c>
      <c r="C331" s="170" t="str">
        <f>IF(D331="","",VLOOKUP(D331,'Phase Codes'!$A$3:$N$187,8))</f>
        <v/>
      </c>
      <c r="D331" s="170" t="str">
        <f>IF('Base Bid'!G170="","","55-030-247")</f>
        <v/>
      </c>
      <c r="E331" s="170" t="str">
        <f>IF(D331="","",VLOOKUP(D331,'Phase Codes'!$A$9:$C$187,3))</f>
        <v/>
      </c>
      <c r="F331" s="170" t="str">
        <f>IF(D331="","",IF('Base Bid'!J170&gt;0,'Base Bid'!J170,VLOOKUP(D331,'Phase Codes'!$A$9:$G$187,5)))</f>
        <v/>
      </c>
      <c r="G331" s="170" t="str">
        <f>IF(D331="","",IF('Base Bid'!K170&gt;0,'Base Bid'!K170,VLOOKUP(D331,'Phase Codes'!$A$9:$G$187,6)))</f>
        <v/>
      </c>
      <c r="H331" s="170">
        <f>'Base Bid'!N170</f>
        <v>0</v>
      </c>
      <c r="I331" s="282">
        <f>'Base Bid'!N170*'Base Bid'!I170</f>
        <v>0</v>
      </c>
    </row>
    <row r="332" spans="1:12" x14ac:dyDescent="0.15">
      <c r="A332" s="170" t="str">
        <f>IF(D332="","",VLOOKUP(D332,'Phase Codes'!$A$3:$N$187,7))</f>
        <v/>
      </c>
      <c r="C332" s="170" t="str">
        <f>IF(D332="","",VLOOKUP(D332,'Phase Codes'!$A$3:$N$187,8))</f>
        <v/>
      </c>
      <c r="D332" s="170" t="str">
        <f>IF('Base Bid'!G171="","","55-030-248")</f>
        <v/>
      </c>
      <c r="E332" s="170" t="str">
        <f>IF(D332="","",VLOOKUP(D332,'Phase Codes'!$A$9:$C$187,3))</f>
        <v/>
      </c>
      <c r="F332" s="170" t="str">
        <f>IF(D332="","",IF('Base Bid'!J171&gt;0,'Base Bid'!J171,VLOOKUP(D332,'Phase Codes'!$A$9:$G$187,5)))</f>
        <v/>
      </c>
      <c r="G332" s="170" t="str">
        <f>IF(D332="","",IF('Base Bid'!K171&gt;0,'Base Bid'!K171,VLOOKUP(D332,'Phase Codes'!$A$9:$G$187,6)))</f>
        <v/>
      </c>
      <c r="H332" s="170">
        <f>'Base Bid'!N171</f>
        <v>0</v>
      </c>
      <c r="I332" s="282">
        <f>'Base Bid'!N171*'Base Bid'!I171</f>
        <v>0</v>
      </c>
    </row>
    <row r="333" spans="1:12" x14ac:dyDescent="0.15">
      <c r="A333" s="170" t="str">
        <f>IF(D333="","",VLOOKUP(D333,'Phase Codes'!$A$3:$N$187,7))</f>
        <v/>
      </c>
      <c r="C333" s="170" t="str">
        <f>IF(D333="","",VLOOKUP(D333,'Phase Codes'!$A$3:$N$187,8))</f>
        <v/>
      </c>
      <c r="D333" s="170" t="str">
        <f>IF('Base Bid'!G172="","","55-030-249")</f>
        <v/>
      </c>
      <c r="E333" s="170" t="str">
        <f>IF(D333="","",VLOOKUP(D333,'Phase Codes'!$A$9:$C$187,3))</f>
        <v/>
      </c>
      <c r="F333" s="170" t="str">
        <f>IF(D333="","",IF('Base Bid'!J172&gt;0,'Base Bid'!J172,VLOOKUP(D333,'Phase Codes'!$A$9:$G$187,5)))</f>
        <v/>
      </c>
      <c r="G333" s="170" t="str">
        <f>IF(D333="","",IF('Base Bid'!K172&gt;0,'Base Bid'!K172,VLOOKUP(D333,'Phase Codes'!$A$9:$G$187,6)))</f>
        <v/>
      </c>
      <c r="H333" s="170">
        <f>'Base Bid'!N172</f>
        <v>0</v>
      </c>
      <c r="I333" s="282">
        <f>'Base Bid'!N172*'Base Bid'!I172</f>
        <v>0</v>
      </c>
    </row>
    <row r="334" spans="1:12" ht="9" thickBot="1" x14ac:dyDescent="0.2">
      <c r="A334" s="280" t="str">
        <f>IF(D334="","",VLOOKUP(D334,'Phase Codes'!$A$3:$N$187,7))</f>
        <v/>
      </c>
      <c r="B334" s="280"/>
      <c r="C334" s="280" t="str">
        <f>IF(D334="","",VLOOKUP(D334,'Phase Codes'!$A$3:$N$187,8))</f>
        <v/>
      </c>
      <c r="D334" s="280" t="str">
        <f>IF('Base Bid'!G173="","","55-030-250")</f>
        <v/>
      </c>
      <c r="E334" s="280" t="str">
        <f>IF(D334="","",VLOOKUP(D334,'Phase Codes'!$A$9:$C$187,3))</f>
        <v/>
      </c>
      <c r="F334" s="280" t="str">
        <f>IF(D334="","",IF('Base Bid'!J173&gt;0,'Base Bid'!J173,VLOOKUP(D334,'Phase Codes'!$A$9:$G$187,5)))</f>
        <v/>
      </c>
      <c r="G334" s="280" t="str">
        <f>IF(D334="","",IF('Base Bid'!K173&gt;0,'Base Bid'!K173,VLOOKUP(D334,'Phase Codes'!$A$9:$G$187,6)))</f>
        <v/>
      </c>
      <c r="H334" s="280">
        <f>'Base Bid'!N173</f>
        <v>0</v>
      </c>
      <c r="I334" s="283">
        <f>'Base Bid'!N173*'Base Bid'!I173</f>
        <v>0</v>
      </c>
      <c r="J334" s="283"/>
      <c r="K334" s="280"/>
      <c r="L334" s="280"/>
    </row>
    <row r="335" spans="1:12" ht="9" thickTop="1" x14ac:dyDescent="0.15">
      <c r="A335" s="170" t="str">
        <f>IF(D335="","",VLOOKUP(D335,'Phase Codes'!$A$3:$N$187,7))</f>
        <v/>
      </c>
      <c r="C335" s="170" t="str">
        <f>IF(D335="","",VLOOKUP(D335,'Phase Codes'!$A$3:$N$187,8))</f>
        <v/>
      </c>
      <c r="E335" s="170" t="str">
        <f>IF(D335="","",VLOOKUP(D335,'Phase Codes'!$A$9:$C$187,3))</f>
        <v/>
      </c>
      <c r="F335" s="170" t="str">
        <f>IF(D335="","",VLOOKUP(D335,'Phase Codes'!$A$9:$G$187,5))</f>
        <v/>
      </c>
    </row>
    <row r="336" spans="1:12" ht="9" thickBot="1" x14ac:dyDescent="0.2">
      <c r="A336" s="280" t="str">
        <f>IF(D336="","",VLOOKUP(D336,'Phase Codes'!$A$3:$N$187,7))</f>
        <v/>
      </c>
      <c r="B336" s="280" t="s">
        <v>198</v>
      </c>
      <c r="C336" s="280" t="str">
        <f>IF(D336="","",VLOOKUP(D336,'Phase Codes'!$A$3:$N$187,8))</f>
        <v/>
      </c>
      <c r="D336" s="280"/>
      <c r="E336" s="280" t="str">
        <f>IF(D336="","",VLOOKUP(D336,'Phase Codes'!$A$9:$C$187,3))</f>
        <v/>
      </c>
      <c r="F336" s="280" t="str">
        <f>IF(D336="","",VLOOKUP(D336,'Phase Codes'!$A$9:$G$187,5))</f>
        <v/>
      </c>
      <c r="G336" s="280"/>
      <c r="H336" s="280"/>
      <c r="I336" s="283"/>
      <c r="J336" s="283"/>
      <c r="K336" s="280"/>
      <c r="L336" s="280"/>
    </row>
    <row r="337" spans="1:12" ht="9" thickTop="1" x14ac:dyDescent="0.15">
      <c r="A337" s="170">
        <f>IF(D337="","",VLOOKUP(D337,'Phase Codes'!$A$3:$N$187,7))</f>
        <v>3</v>
      </c>
      <c r="C337" s="170">
        <f>IF(D337="","",VLOOKUP(D337,'Phase Codes'!$A$3:$N$187,8))</f>
        <v>20</v>
      </c>
      <c r="D337" s="170" t="str">
        <f>IF('Base Bid'!G176="","",'Base Bid'!G176)</f>
        <v xml:space="preserve"> 14-750-   -</v>
      </c>
      <c r="E337" s="170">
        <f>IF(D337="","",VLOOKUP(D337,'Phase Codes'!$A$9:$C$187,3))</f>
        <v>4</v>
      </c>
      <c r="F337" s="170">
        <f>IF(D337="","",VLOOKUP(D337,'Phase Codes'!$A$9:$G$187,5))</f>
        <v>100</v>
      </c>
      <c r="G337" s="170" t="str">
        <f>IF(D337="","",VLOOKUP(D337,'Phase Codes'!$A$9:$G$187,6))</f>
        <v>PCT</v>
      </c>
      <c r="I337" s="282">
        <f>'Base Bid'!AD176</f>
        <v>841.53120000000013</v>
      </c>
    </row>
    <row r="338" spans="1:12" x14ac:dyDescent="0.15">
      <c r="A338" s="170">
        <f>IF(D338="","",VLOOKUP(D338,'Phase Codes'!$A$3:$N$187,7))</f>
        <v>3</v>
      </c>
      <c r="C338" s="170">
        <f>IF(D338="","",VLOOKUP(D338,'Phase Codes'!$A$3:$N$187,8))</f>
        <v>20</v>
      </c>
      <c r="D338" s="170" t="str">
        <f>IF('Base Bid'!G177="","",'Base Bid'!G177)</f>
        <v xml:space="preserve"> 14-751-   -</v>
      </c>
      <c r="E338" s="170">
        <f>IF(D338="","",VLOOKUP(D338,'Phase Codes'!$A$9:$C$187,3))</f>
        <v>4</v>
      </c>
      <c r="F338" s="170">
        <f>IF(D338="","",VLOOKUP(D338,'Phase Codes'!$A$9:$G$187,5))</f>
        <v>100</v>
      </c>
      <c r="G338" s="170" t="str">
        <f>IF(D338="","",VLOOKUP(D338,'Phase Codes'!$A$9:$G$187,6))</f>
        <v>PCT</v>
      </c>
      <c r="I338" s="282">
        <f>'Base Bid'!AD177</f>
        <v>2400</v>
      </c>
    </row>
    <row r="339" spans="1:12" x14ac:dyDescent="0.15">
      <c r="A339" s="170">
        <f>IF(D339="","",VLOOKUP(D339,'Phase Codes'!$A$3:$N$187,7))</f>
        <v>3</v>
      </c>
      <c r="C339" s="170">
        <f>IF(D339="","",VLOOKUP(D339,'Phase Codes'!$A$3:$N$187,8))</f>
        <v>20</v>
      </c>
      <c r="D339" s="170" t="str">
        <f>IF('Base Bid'!G178="","",'Base Bid'!G178)</f>
        <v xml:space="preserve"> 14-700-   -</v>
      </c>
      <c r="E339" s="170">
        <f>IF(D339="","",VLOOKUP(D339,'Phase Codes'!$A$9:$C$187,3))</f>
        <v>4</v>
      </c>
      <c r="F339" s="170">
        <f>IF(D339="","",VLOOKUP(D339,'Phase Codes'!$A$9:$G$187,5))</f>
        <v>100</v>
      </c>
      <c r="G339" s="170" t="str">
        <f>IF(D339="","",VLOOKUP(D339,'Phase Codes'!$A$9:$G$187,6))</f>
        <v>PCT</v>
      </c>
      <c r="I339" s="282">
        <f>'Base Bid'!AD178</f>
        <v>0</v>
      </c>
    </row>
    <row r="340" spans="1:12" x14ac:dyDescent="0.15">
      <c r="A340" s="170" t="str">
        <f>IF(D340="","",VLOOKUP(D340,'Phase Codes'!$A$3:$N$187,7))</f>
        <v/>
      </c>
      <c r="C340" s="170" t="str">
        <f>IF(D340="","",VLOOKUP(D340,'Phase Codes'!$A$3:$N$187,8))</f>
        <v/>
      </c>
      <c r="D340" s="170" t="str">
        <f>IF('Base Bid'!G179="","",'Base Bid'!G179)</f>
        <v/>
      </c>
      <c r="E340" s="170" t="str">
        <f>IF(D340="","",VLOOKUP(D340,'Phase Codes'!$A$9:$C$187,3))</f>
        <v/>
      </c>
      <c r="F340" s="170" t="str">
        <f>IF(D340="","",VLOOKUP(D340,'Phase Codes'!$A$9:$G$187,5))</f>
        <v/>
      </c>
      <c r="G340" s="170" t="str">
        <f>IF(D340="","",VLOOKUP(D340,'Phase Codes'!$A$9:$G$187,6))</f>
        <v/>
      </c>
      <c r="I340" s="282">
        <f>'Base Bid'!AD179</f>
        <v>0</v>
      </c>
    </row>
    <row r="341" spans="1:12" x14ac:dyDescent="0.15">
      <c r="A341" s="170" t="str">
        <f>IF(D341="","",VLOOKUP(D341,'Phase Codes'!$A$3:$N$187,7))</f>
        <v/>
      </c>
      <c r="C341" s="170" t="str">
        <f>IF(D341="","",VLOOKUP(D341,'Phase Codes'!$A$3:$N$187,8))</f>
        <v/>
      </c>
      <c r="D341" s="170" t="str">
        <f>IF('Base Bid'!G180="","",'Base Bid'!G180)</f>
        <v/>
      </c>
      <c r="E341" s="170" t="str">
        <f>IF(D341="","",VLOOKUP(D341,'Phase Codes'!$A$9:$C$187,3))</f>
        <v/>
      </c>
      <c r="F341" s="170" t="str">
        <f>IF(D341="","",VLOOKUP(D341,'Phase Codes'!$A$9:$G$187,5))</f>
        <v/>
      </c>
      <c r="G341" s="170" t="str">
        <f>IF(D341="","",VLOOKUP(D341,'Phase Codes'!$A$9:$G$187,6))</f>
        <v/>
      </c>
      <c r="I341" s="282">
        <f>'Base Bid'!AD180</f>
        <v>0</v>
      </c>
    </row>
    <row r="342" spans="1:12" x14ac:dyDescent="0.15">
      <c r="A342" s="170" t="str">
        <f>IF(D342="","",VLOOKUP(D342,'Phase Codes'!$A$3:$N$187,7))</f>
        <v/>
      </c>
      <c r="C342" s="170" t="str">
        <f>IF(D342="","",VLOOKUP(D342,'Phase Codes'!$A$3:$N$187,8))</f>
        <v/>
      </c>
      <c r="D342" s="170" t="str">
        <f>IF('Base Bid'!G181="","",'Base Bid'!G181)</f>
        <v/>
      </c>
      <c r="E342" s="170" t="str">
        <f>IF(D342="","",VLOOKUP(D342,'Phase Codes'!$A$9:$C$187,3))</f>
        <v/>
      </c>
      <c r="F342" s="170" t="str">
        <f>IF(D342="","",VLOOKUP(D342,'Phase Codes'!$A$9:$G$187,5))</f>
        <v/>
      </c>
      <c r="G342" s="170" t="str">
        <f>IF(D342="","",VLOOKUP(D342,'Phase Codes'!$A$9:$G$187,6))</f>
        <v/>
      </c>
      <c r="I342" s="282">
        <f>'Base Bid'!AD181</f>
        <v>0</v>
      </c>
    </row>
    <row r="343" spans="1:12" x14ac:dyDescent="0.15">
      <c r="A343" s="170" t="str">
        <f>IF(D343="","",VLOOKUP(D343,'Phase Codes'!$A$3:$N$187,7))</f>
        <v/>
      </c>
      <c r="C343" s="170" t="str">
        <f>IF(D343="","",VLOOKUP(D343,'Phase Codes'!$A$3:$N$187,8))</f>
        <v/>
      </c>
      <c r="D343" s="170" t="str">
        <f>IF('Base Bid'!G182="","",'Base Bid'!G182)</f>
        <v/>
      </c>
      <c r="E343" s="170" t="str">
        <f>IF(D343="","",VLOOKUP(D343,'Phase Codes'!$A$9:$C$187,3))</f>
        <v/>
      </c>
      <c r="F343" s="170" t="str">
        <f>IF(D343="","",VLOOKUP(D343,'Phase Codes'!$A$9:$G$187,5))</f>
        <v/>
      </c>
      <c r="G343" s="170" t="str">
        <f>IF(D343="","",VLOOKUP(D343,'Phase Codes'!$A$9:$G$187,6))</f>
        <v/>
      </c>
      <c r="I343" s="282">
        <f>'Base Bid'!AD182</f>
        <v>0</v>
      </c>
    </row>
    <row r="344" spans="1:12" x14ac:dyDescent="0.15">
      <c r="A344" s="170" t="str">
        <f>IF(D344="","",VLOOKUP(D344,'Phase Codes'!$A$3:$N$187,7))</f>
        <v/>
      </c>
      <c r="C344" s="170" t="str">
        <f>IF(D344="","",VLOOKUP(D344,'Phase Codes'!$A$3:$N$187,8))</f>
        <v/>
      </c>
      <c r="D344" s="170" t="str">
        <f>IF('Base Bid'!G183="","",'Base Bid'!G183)</f>
        <v/>
      </c>
      <c r="E344" s="170" t="str">
        <f>IF(D344="","",VLOOKUP(D344,'Phase Codes'!$A$9:$C$187,3))</f>
        <v/>
      </c>
      <c r="F344" s="170" t="str">
        <f>IF(D344="","",VLOOKUP(D344,'Phase Codes'!$A$9:$G$187,5))</f>
        <v/>
      </c>
      <c r="G344" s="170" t="str">
        <f>IF(D344="","",VLOOKUP(D344,'Phase Codes'!$A$9:$G$187,6))</f>
        <v/>
      </c>
      <c r="I344" s="282">
        <f>'Base Bid'!AD183</f>
        <v>0</v>
      </c>
    </row>
    <row r="345" spans="1:12" x14ac:dyDescent="0.15">
      <c r="A345" s="170" t="str">
        <f>IF(D345="","",VLOOKUP(D345,'Phase Codes'!$A$3:$N$187,7))</f>
        <v/>
      </c>
      <c r="C345" s="170" t="str">
        <f>IF(D345="","",VLOOKUP(D345,'Phase Codes'!$A$3:$N$187,8))</f>
        <v/>
      </c>
      <c r="D345" s="170" t="str">
        <f>IF('Base Bid'!G184="","",'Base Bid'!G184)</f>
        <v/>
      </c>
      <c r="E345" s="170" t="str">
        <f>IF(D345="","",VLOOKUP(D345,'Phase Codes'!$A$9:$C$187,3))</f>
        <v/>
      </c>
      <c r="F345" s="170" t="str">
        <f>IF(D345="","",VLOOKUP(D345,'Phase Codes'!$A$9:$G$187,5))</f>
        <v/>
      </c>
      <c r="G345" s="170" t="str">
        <f>IF(D345="","",VLOOKUP(D345,'Phase Codes'!$A$9:$G$187,6))</f>
        <v/>
      </c>
      <c r="I345" s="282">
        <f>'Base Bid'!AD184</f>
        <v>0</v>
      </c>
    </row>
    <row r="346" spans="1:12" ht="9" thickBot="1" x14ac:dyDescent="0.2">
      <c r="A346" s="280" t="str">
        <f>IF(D346="","",VLOOKUP(D346,'Phase Codes'!$A$3:$N$187,7))</f>
        <v/>
      </c>
      <c r="B346" s="280"/>
      <c r="C346" s="280" t="str">
        <f>IF(D346="","",VLOOKUP(D346,'Phase Codes'!$A$3:$N$187,8))</f>
        <v/>
      </c>
      <c r="D346" s="280" t="str">
        <f>IF('Base Bid'!G185="","",'Base Bid'!G185)</f>
        <v/>
      </c>
      <c r="E346" s="280" t="str">
        <f>IF(D346="","",VLOOKUP(D346,'Phase Codes'!$A$9:$C$187,3))</f>
        <v/>
      </c>
      <c r="F346" s="280" t="str">
        <f>IF(D346="","",VLOOKUP(D346,'Phase Codes'!$A$9:$G$187,5))</f>
        <v/>
      </c>
      <c r="G346" s="280" t="str">
        <f>IF(D346="","",VLOOKUP(D346,'Phase Codes'!$A$9:$G$187,6))</f>
        <v/>
      </c>
      <c r="H346" s="280"/>
      <c r="I346" s="283">
        <f>'Base Bid'!AD185</f>
        <v>0</v>
      </c>
      <c r="J346" s="283"/>
      <c r="K346" s="280"/>
      <c r="L346" s="280"/>
    </row>
    <row r="347" spans="1:12" ht="9" thickTop="1" x14ac:dyDescent="0.15"/>
    <row r="348" spans="1:12" ht="9" thickBot="1" x14ac:dyDescent="0.2">
      <c r="A348" s="280"/>
      <c r="B348" s="280" t="s">
        <v>801</v>
      </c>
      <c r="C348" s="280"/>
      <c r="D348" s="280"/>
      <c r="E348" s="280"/>
      <c r="F348" s="280"/>
      <c r="G348" s="280"/>
      <c r="H348" s="280"/>
      <c r="I348" s="283"/>
      <c r="J348" s="283"/>
      <c r="K348" s="280"/>
      <c r="L348" s="280"/>
    </row>
    <row r="349" spans="1:12" ht="9" thickTop="1" x14ac:dyDescent="0.15">
      <c r="A349" s="170">
        <f>IF(D349="","",VLOOKUP(D349,'Phase Codes'!$A$3:$N$187,7))</f>
        <v>3</v>
      </c>
      <c r="C349" s="170">
        <f>IF(D349="","",VLOOKUP(D349,'Phase Codes'!$A$3:$N$187,8))</f>
        <v>20</v>
      </c>
      <c r="D349" s="170" t="str">
        <f>IF('Base Bid'!G188="","",'Base Bid'!G188)</f>
        <v xml:space="preserve"> 16-960-   -</v>
      </c>
      <c r="E349" s="170">
        <f>IF(D349="","",VLOOKUP(D349,'Phase Codes'!$A$9:$C$187,3))</f>
        <v>6</v>
      </c>
      <c r="F349" s="170">
        <f>IF(D349="","",VLOOKUP(D349,'Phase Codes'!$A$9:$G$187,5))</f>
        <v>100</v>
      </c>
      <c r="G349" s="170" t="str">
        <f>IF(D349="","",VLOOKUP(D349,'Phase Codes'!$A$9:$G$187,6))</f>
        <v>PCT</v>
      </c>
      <c r="I349" s="282">
        <f>'Base Bid'!AD188</f>
        <v>1827.8057664000003</v>
      </c>
    </row>
    <row r="350" spans="1:12" x14ac:dyDescent="0.15">
      <c r="A350" s="170">
        <f>IF(D350="","",VLOOKUP(D350,'Phase Codes'!$A$3:$N$187,7))</f>
        <v>3</v>
      </c>
      <c r="C350" s="170">
        <f>IF(D350="","",VLOOKUP(D350,'Phase Codes'!$A$3:$N$187,8))</f>
        <v>20</v>
      </c>
      <c r="D350" s="170" t="str">
        <f>IF('Base Bid'!G189="","",'Base Bid'!G189)</f>
        <v xml:space="preserve"> 16-983-   -</v>
      </c>
      <c r="E350" s="170">
        <f>IF(D350="","",VLOOKUP(D350,'Phase Codes'!$A$9:$C$187,3))</f>
        <v>6</v>
      </c>
      <c r="F350" s="170">
        <f>IF(D350="","",VLOOKUP(D350,'Phase Codes'!$A$9:$G$187,5))</f>
        <v>100</v>
      </c>
      <c r="G350" s="170" t="str">
        <f>IF(D350="","",VLOOKUP(D350,'Phase Codes'!$A$9:$G$187,6))</f>
        <v>PCT</v>
      </c>
      <c r="I350" s="282">
        <f>'Base Bid'!AD189</f>
        <v>182.78057664000002</v>
      </c>
    </row>
    <row r="351" spans="1:12" x14ac:dyDescent="0.15">
      <c r="A351" s="170">
        <f>IF(D351="","",VLOOKUP(D351,'Phase Codes'!$A$3:$N$187,7))</f>
        <v>3</v>
      </c>
      <c r="C351" s="170">
        <f>IF(D351="","",VLOOKUP(D351,'Phase Codes'!$A$3:$N$187,8))</f>
        <v>10</v>
      </c>
      <c r="D351" s="170" t="str">
        <f>IF('Base Bid'!G190="","",'Base Bid'!G190)</f>
        <v xml:space="preserve"> 70-100-   -</v>
      </c>
      <c r="E351" s="170">
        <f>IF(D351="","",VLOOKUP(D351,'Phase Codes'!$A$9:$C$187,3))</f>
        <v>1</v>
      </c>
      <c r="F351" s="170">
        <f>IF(D351="","",VLOOKUP(D351,'Phase Codes'!$A$9:$G$187,5))</f>
        <v>100</v>
      </c>
      <c r="G351" s="170" t="str">
        <f>IF(D351="","",VLOOKUP(D351,'Phase Codes'!$A$9:$G$187,6))</f>
        <v>PCT</v>
      </c>
      <c r="I351" s="282">
        <f>'Base Bid'!AD190</f>
        <v>91.39028832000001</v>
      </c>
    </row>
    <row r="352" spans="1:12" x14ac:dyDescent="0.15">
      <c r="A352" s="170">
        <f>IF(D352="","",VLOOKUP(D352,'Phase Codes'!$A$3:$N$187,7))</f>
        <v>3</v>
      </c>
      <c r="C352" s="170">
        <f>IF(D352="","",VLOOKUP(D352,'Phase Codes'!$A$3:$N$187,8))</f>
        <v>10</v>
      </c>
      <c r="D352" s="170" t="str">
        <f>IF('Base Bid'!G191="","",'Base Bid'!G191)</f>
        <v xml:space="preserve"> 70-101-   -</v>
      </c>
      <c r="E352" s="170">
        <f>IF(D352="","",VLOOKUP(D352,'Phase Codes'!$A$9:$C$187,3))</f>
        <v>1</v>
      </c>
      <c r="F352" s="170">
        <f>IF(D352="","",VLOOKUP(D352,'Phase Codes'!$A$9:$G$187,5))</f>
        <v>100</v>
      </c>
      <c r="G352" s="170" t="str">
        <f>IF(D352="","",VLOOKUP(D352,'Phase Codes'!$A$9:$G$187,6))</f>
        <v>PCT</v>
      </c>
      <c r="I352" s="282">
        <f>'Base Bid'!AD191</f>
        <v>91.39028832000001</v>
      </c>
    </row>
    <row r="353" spans="1:12" x14ac:dyDescent="0.15">
      <c r="A353" s="170" t="str">
        <f>IF(D353="","",VLOOKUP(D353,'Phase Codes'!$A$3:$N$187,7))</f>
        <v/>
      </c>
      <c r="C353" s="170" t="str">
        <f>IF(D353="","",VLOOKUP(D353,'Phase Codes'!$A$3:$N$187,8))</f>
        <v/>
      </c>
      <c r="D353" s="170" t="str">
        <f>IF('Base Bid'!G192="","",'Base Bid'!G192)</f>
        <v/>
      </c>
      <c r="E353" s="170" t="str">
        <f>IF(D353="","",VLOOKUP(D353,'Phase Codes'!$A$9:$C$187,3))</f>
        <v/>
      </c>
      <c r="F353" s="170" t="str">
        <f>IF(D353="","",VLOOKUP(D353,'Phase Codes'!$A$9:$G$187,5))</f>
        <v/>
      </c>
      <c r="G353" s="170" t="str">
        <f>IF(D353="","",VLOOKUP(D353,'Phase Codes'!$A$9:$G$187,6))</f>
        <v/>
      </c>
      <c r="I353" s="282">
        <f>'Base Bid'!AD192</f>
        <v>0</v>
      </c>
    </row>
    <row r="354" spans="1:12" x14ac:dyDescent="0.15">
      <c r="A354" s="170" t="str">
        <f>IF(D354="","",VLOOKUP(D354,'Phase Codes'!$A$3:$N$187,7))</f>
        <v/>
      </c>
      <c r="C354" s="170" t="str">
        <f>IF(D354="","",VLOOKUP(D354,'Phase Codes'!$A$3:$N$187,8))</f>
        <v/>
      </c>
      <c r="D354" s="170" t="str">
        <f>IF('Base Bid'!G193="","",'Base Bid'!G193)</f>
        <v/>
      </c>
      <c r="E354" s="170" t="str">
        <f>IF(D354="","",VLOOKUP(D354,'Phase Codes'!$A$9:$C$187,3))</f>
        <v/>
      </c>
      <c r="F354" s="170" t="str">
        <f>IF(D354="","",VLOOKUP(D354,'Phase Codes'!$A$9:$G$187,5))</f>
        <v/>
      </c>
      <c r="G354" s="170" t="str">
        <f>IF(D354="","",VLOOKUP(D354,'Phase Codes'!$A$9:$G$187,6))</f>
        <v/>
      </c>
      <c r="I354" s="282">
        <f>'Base Bid'!AD193</f>
        <v>0</v>
      </c>
    </row>
    <row r="355" spans="1:12" x14ac:dyDescent="0.15">
      <c r="A355" s="170" t="str">
        <f>IF(D355="","",VLOOKUP(D355,'Phase Codes'!$A$3:$N$187,7))</f>
        <v/>
      </c>
      <c r="C355" s="170" t="str">
        <f>IF(D355="","",VLOOKUP(D355,'Phase Codes'!$A$3:$N$187,8))</f>
        <v/>
      </c>
      <c r="D355" s="170" t="str">
        <f>IF('Base Bid'!G194="","",'Base Bid'!G194)</f>
        <v/>
      </c>
      <c r="E355" s="170" t="str">
        <f>IF(D355="","",VLOOKUP(D355,'Phase Codes'!$A$9:$C$187,3))</f>
        <v/>
      </c>
      <c r="F355" s="170" t="str">
        <f>IF(D355="","",VLOOKUP(D355,'Phase Codes'!$A$9:$G$187,5))</f>
        <v/>
      </c>
      <c r="G355" s="170" t="str">
        <f>IF(D355="","",VLOOKUP(D355,'Phase Codes'!$A$9:$G$187,6))</f>
        <v/>
      </c>
      <c r="I355" s="282">
        <f>'Base Bid'!AD194</f>
        <v>0</v>
      </c>
    </row>
    <row r="356" spans="1:12" x14ac:dyDescent="0.15">
      <c r="A356" s="170" t="str">
        <f>IF(D356="","",VLOOKUP(D356,'Phase Codes'!$A$3:$N$187,7))</f>
        <v/>
      </c>
      <c r="C356" s="170" t="str">
        <f>IF(D356="","",VLOOKUP(D356,'Phase Codes'!$A$3:$N$187,8))</f>
        <v/>
      </c>
      <c r="D356" s="170" t="str">
        <f>IF('Base Bid'!G195="","",'Base Bid'!G195)</f>
        <v/>
      </c>
      <c r="E356" s="170" t="str">
        <f>IF(D356="","",VLOOKUP(D356,'Phase Codes'!$A$9:$C$187,3))</f>
        <v/>
      </c>
      <c r="F356" s="170" t="str">
        <f>IF(D356="","",VLOOKUP(D356,'Phase Codes'!$A$9:$G$187,5))</f>
        <v/>
      </c>
      <c r="G356" s="170" t="str">
        <f>IF(D356="","",VLOOKUP(D356,'Phase Codes'!$A$9:$G$187,6))</f>
        <v/>
      </c>
      <c r="I356" s="282">
        <f>'Base Bid'!AD195</f>
        <v>0</v>
      </c>
    </row>
    <row r="357" spans="1:12" x14ac:dyDescent="0.15">
      <c r="A357" s="170" t="str">
        <f>IF(D357="","",VLOOKUP(D357,'Phase Codes'!$A$3:$N$187,7))</f>
        <v/>
      </c>
      <c r="C357" s="170" t="str">
        <f>IF(D357="","",VLOOKUP(D357,'Phase Codes'!$A$3:$N$187,8))</f>
        <v/>
      </c>
      <c r="D357" s="170" t="str">
        <f>IF('Base Bid'!G196="","",'Base Bid'!G196)</f>
        <v/>
      </c>
      <c r="E357" s="170" t="str">
        <f>IF(D357="","",VLOOKUP(D357,'Phase Codes'!$A$9:$C$187,3))</f>
        <v/>
      </c>
      <c r="F357" s="170" t="str">
        <f>IF(D357="","",VLOOKUP(D357,'Phase Codes'!$A$9:$G$187,5))</f>
        <v/>
      </c>
      <c r="G357" s="170" t="str">
        <f>IF(D357="","",VLOOKUP(D357,'Phase Codes'!$A$9:$G$187,6))</f>
        <v/>
      </c>
      <c r="I357" s="282">
        <f>'Base Bid'!AD196</f>
        <v>0</v>
      </c>
    </row>
    <row r="358" spans="1:12" ht="9" thickBot="1" x14ac:dyDescent="0.2">
      <c r="A358" s="280" t="str">
        <f>IF(D358="","",VLOOKUP(D358,'Phase Codes'!$A$3:$N$187,7))</f>
        <v/>
      </c>
      <c r="B358" s="280"/>
      <c r="C358" s="280" t="str">
        <f>IF(D358="","",VLOOKUP(D358,'Phase Codes'!$A$3:$N$187,8))</f>
        <v/>
      </c>
      <c r="D358" s="280" t="str">
        <f>IF('Base Bid'!G197="","",'Base Bid'!G197)</f>
        <v/>
      </c>
      <c r="E358" s="280" t="str">
        <f>IF(D358="","",VLOOKUP(D358,'Phase Codes'!$A$9:$C$187,3))</f>
        <v/>
      </c>
      <c r="F358" s="280" t="str">
        <f>IF(D358="","",VLOOKUP(D358,'Phase Codes'!$A$9:$G$187,5))</f>
        <v/>
      </c>
      <c r="G358" s="280" t="str">
        <f>IF(D358="","",VLOOKUP(D358,'Phase Codes'!$A$9:$G$187,6))</f>
        <v/>
      </c>
      <c r="H358" s="280"/>
      <c r="I358" s="283">
        <f>'Base Bid'!AD197</f>
        <v>0</v>
      </c>
      <c r="J358" s="283"/>
      <c r="K358" s="280"/>
      <c r="L358" s="280"/>
    </row>
    <row r="359" spans="1:12" ht="9" thickTop="1" x14ac:dyDescent="0.15"/>
    <row r="360" spans="1:12" ht="9" thickBot="1" x14ac:dyDescent="0.2">
      <c r="A360" s="280"/>
      <c r="B360" s="280" t="s">
        <v>136</v>
      </c>
      <c r="C360" s="280"/>
      <c r="D360" s="280"/>
      <c r="E360" s="280"/>
      <c r="F360" s="280"/>
      <c r="G360" s="280"/>
      <c r="H360" s="280"/>
      <c r="I360" s="283"/>
      <c r="J360" s="283"/>
      <c r="K360" s="280"/>
      <c r="L360" s="280"/>
    </row>
    <row r="361" spans="1:12" ht="9" thickTop="1" x14ac:dyDescent="0.15">
      <c r="A361" s="170">
        <f>IF(D361="","",VLOOKUP(D361,'Phase Codes'!$A$3:$N$187,7))</f>
        <v>3</v>
      </c>
      <c r="C361" s="170">
        <f>IF(D361="","",VLOOKUP(D361,'Phase Codes'!$A$3:$N$187,8))</f>
        <v>30</v>
      </c>
      <c r="D361" s="170" t="str">
        <f>IF('Base Bid'!G200="","",'Base Bid'!G200)</f>
        <v xml:space="preserve"> 13-910-   -</v>
      </c>
      <c r="E361" s="170">
        <f>IF(D361="","",VLOOKUP(D361,'Phase Codes'!$A$9:$C$187,3))</f>
        <v>3</v>
      </c>
      <c r="F361" s="170">
        <f>IF(D361="","",VLOOKUP(D361,'Phase Codes'!$A$9:$G$187,5))</f>
        <v>1</v>
      </c>
      <c r="G361" s="170" t="str">
        <f>IF(D361="","",VLOOKUP(D361,'Phase Codes'!$A$9:$G$187,6))</f>
        <v>LS</v>
      </c>
      <c r="I361" s="282">
        <f>'Base Bid'!AD200</f>
        <v>0</v>
      </c>
    </row>
    <row r="362" spans="1:12" x14ac:dyDescent="0.15">
      <c r="A362" s="170">
        <f>IF(D362="","",VLOOKUP(D362,'Phase Codes'!$A$3:$N$187,7))</f>
        <v>3</v>
      </c>
      <c r="C362" s="170">
        <f>IF(D362="","",VLOOKUP(D362,'Phase Codes'!$A$3:$N$187,8))</f>
        <v>30</v>
      </c>
      <c r="D362" s="170" t="str">
        <f>IF('Base Bid'!G201="","",'Base Bid'!G201)</f>
        <v xml:space="preserve"> 13-925-   -</v>
      </c>
      <c r="E362" s="170">
        <f>IF(D362="","",VLOOKUP(D362,'Phase Codes'!$A$9:$C$187,3))</f>
        <v>3</v>
      </c>
      <c r="F362" s="170">
        <f>IF(D362="","",VLOOKUP(D362,'Phase Codes'!$A$9:$G$187,5))</f>
        <v>1</v>
      </c>
      <c r="G362" s="170" t="str">
        <f>IF(D362="","",VLOOKUP(D362,'Phase Codes'!$A$9:$G$187,6))</f>
        <v>LS</v>
      </c>
      <c r="I362" s="282">
        <f>'Base Bid'!AD201</f>
        <v>2000</v>
      </c>
    </row>
    <row r="363" spans="1:12" x14ac:dyDescent="0.15">
      <c r="A363" s="170" t="str">
        <f>IF(D363="","",VLOOKUP(D363,'Phase Codes'!$A$3:$N$187,7))</f>
        <v/>
      </c>
      <c r="C363" s="170" t="str">
        <f>IF(D363="","",VLOOKUP(D363,'Phase Codes'!$A$3:$N$187,8))</f>
        <v/>
      </c>
      <c r="D363" s="170" t="str">
        <f>IF('Base Bid'!G202="","",'Base Bid'!G202)</f>
        <v/>
      </c>
      <c r="E363" s="170" t="str">
        <f>IF(D363="","",VLOOKUP(D363,'Phase Codes'!$A$9:$C$187,3))</f>
        <v/>
      </c>
      <c r="F363" s="170" t="str">
        <f>IF(D363="","",VLOOKUP(D363,'Phase Codes'!$A$9:$G$187,5))</f>
        <v/>
      </c>
      <c r="G363" s="170" t="str">
        <f>IF(D363="","",VLOOKUP(D363,'Phase Codes'!$A$9:$G$187,6))</f>
        <v/>
      </c>
      <c r="I363" s="282">
        <f>'Base Bid'!AD202</f>
        <v>0</v>
      </c>
    </row>
    <row r="364" spans="1:12" x14ac:dyDescent="0.15">
      <c r="A364" s="170" t="str">
        <f>IF(D364="","",VLOOKUP(D364,'Phase Codes'!$A$3:$N$187,7))</f>
        <v/>
      </c>
      <c r="C364" s="170" t="str">
        <f>IF(D364="","",VLOOKUP(D364,'Phase Codes'!$A$3:$N$187,8))</f>
        <v/>
      </c>
      <c r="D364" s="170" t="str">
        <f>IF('Base Bid'!G203="","",'Base Bid'!G203)</f>
        <v/>
      </c>
      <c r="E364" s="170" t="str">
        <f>IF(D364="","",VLOOKUP(D364,'Phase Codes'!$A$9:$C$187,3))</f>
        <v/>
      </c>
      <c r="F364" s="170" t="str">
        <f>IF(D364="","",VLOOKUP(D364,'Phase Codes'!$A$9:$G$187,5))</f>
        <v/>
      </c>
      <c r="G364" s="170" t="str">
        <f>IF(D364="","",VLOOKUP(D364,'Phase Codes'!$A$9:$G$187,6))</f>
        <v/>
      </c>
      <c r="I364" s="282">
        <f>'Base Bid'!AD203</f>
        <v>0</v>
      </c>
    </row>
    <row r="365" spans="1:12" x14ac:dyDescent="0.15">
      <c r="A365" s="170" t="str">
        <f>IF(D365="","",VLOOKUP(D365,'Phase Codes'!$A$3:$N$187,7))</f>
        <v/>
      </c>
      <c r="C365" s="170" t="str">
        <f>IF(D365="","",VLOOKUP(D365,'Phase Codes'!$A$3:$N$187,8))</f>
        <v/>
      </c>
      <c r="D365" s="170" t="str">
        <f>IF('Base Bid'!G204="","",'Base Bid'!G204)</f>
        <v/>
      </c>
      <c r="E365" s="170" t="str">
        <f>IF(D365="","",VLOOKUP(D365,'Phase Codes'!$A$9:$C$187,3))</f>
        <v/>
      </c>
      <c r="F365" s="170" t="str">
        <f>IF(D365="","",VLOOKUP(D365,'Phase Codes'!$A$9:$G$187,5))</f>
        <v/>
      </c>
      <c r="G365" s="170" t="str">
        <f>IF(D365="","",VLOOKUP(D365,'Phase Codes'!$A$9:$G$187,6))</f>
        <v/>
      </c>
      <c r="I365" s="282">
        <f>'Base Bid'!AD204</f>
        <v>0</v>
      </c>
    </row>
    <row r="366" spans="1:12" x14ac:dyDescent="0.15">
      <c r="A366" s="170" t="str">
        <f>IF(D366="","",VLOOKUP(D366,'Phase Codes'!$A$3:$N$187,7))</f>
        <v/>
      </c>
      <c r="C366" s="170" t="str">
        <f>IF(D366="","",VLOOKUP(D366,'Phase Codes'!$A$3:$N$187,8))</f>
        <v/>
      </c>
      <c r="D366" s="170" t="str">
        <f>IF('Base Bid'!G205="","",'Base Bid'!G205)</f>
        <v/>
      </c>
      <c r="E366" s="170" t="str">
        <f>IF(D366="","",VLOOKUP(D366,'Phase Codes'!$A$9:$C$187,3))</f>
        <v/>
      </c>
      <c r="F366" s="170" t="str">
        <f>IF(D366="","",VLOOKUP(D366,'Phase Codes'!$A$9:$G$187,5))</f>
        <v/>
      </c>
      <c r="G366" s="170" t="str">
        <f>IF(D366="","",VLOOKUP(D366,'Phase Codes'!$A$9:$G$187,6))</f>
        <v/>
      </c>
      <c r="I366" s="282">
        <f>'Base Bid'!AD205</f>
        <v>0</v>
      </c>
    </row>
    <row r="367" spans="1:12" x14ac:dyDescent="0.15">
      <c r="A367" s="170" t="str">
        <f>IF(D367="","",VLOOKUP(D367,'Phase Codes'!$A$3:$N$187,7))</f>
        <v/>
      </c>
      <c r="C367" s="170" t="str">
        <f>IF(D367="","",VLOOKUP(D367,'Phase Codes'!$A$3:$N$187,8))</f>
        <v/>
      </c>
      <c r="D367" s="170" t="str">
        <f>IF('Base Bid'!G206="","",'Base Bid'!G206)</f>
        <v/>
      </c>
      <c r="E367" s="170" t="str">
        <f>IF(D367="","",VLOOKUP(D367,'Phase Codes'!$A$9:$C$187,3))</f>
        <v/>
      </c>
      <c r="F367" s="170" t="str">
        <f>IF(D367="","",VLOOKUP(D367,'Phase Codes'!$A$9:$G$187,5))</f>
        <v/>
      </c>
      <c r="G367" s="170" t="str">
        <f>IF(D367="","",VLOOKUP(D367,'Phase Codes'!$A$9:$G$187,6))</f>
        <v/>
      </c>
      <c r="I367" s="282">
        <f>'Base Bid'!AD206</f>
        <v>0</v>
      </c>
    </row>
    <row r="368" spans="1:12" x14ac:dyDescent="0.15">
      <c r="A368" s="170" t="str">
        <f>IF(D368="","",VLOOKUP(D368,'Phase Codes'!$A$3:$N$187,7))</f>
        <v/>
      </c>
      <c r="C368" s="170" t="str">
        <f>IF(D368="","",VLOOKUP(D368,'Phase Codes'!$A$3:$N$187,8))</f>
        <v/>
      </c>
      <c r="D368" s="170" t="str">
        <f>IF('Base Bid'!G207="","",'Base Bid'!G207)</f>
        <v/>
      </c>
      <c r="E368" s="170" t="str">
        <f>IF(D368="","",VLOOKUP(D368,'Phase Codes'!$A$9:$C$187,3))</f>
        <v/>
      </c>
      <c r="F368" s="170" t="str">
        <f>IF(D368="","",VLOOKUP(D368,'Phase Codes'!$A$9:$G$187,5))</f>
        <v/>
      </c>
      <c r="G368" s="170" t="str">
        <f>IF(D368="","",VLOOKUP(D368,'Phase Codes'!$A$9:$G$187,6))</f>
        <v/>
      </c>
      <c r="I368" s="282">
        <f>'Base Bid'!AD207</f>
        <v>0</v>
      </c>
    </row>
    <row r="369" spans="1:12" x14ac:dyDescent="0.15">
      <c r="A369" s="170" t="str">
        <f>IF(D369="","",VLOOKUP(D369,'Phase Codes'!$A$3:$N$187,7))</f>
        <v/>
      </c>
      <c r="C369" s="170" t="str">
        <f>IF(D369="","",VLOOKUP(D369,'Phase Codes'!$A$3:$N$187,8))</f>
        <v/>
      </c>
      <c r="D369" s="170" t="str">
        <f>IF('Base Bid'!G208="","",'Base Bid'!G208)</f>
        <v/>
      </c>
      <c r="E369" s="170" t="str">
        <f>IF(D369="","",VLOOKUP(D369,'Phase Codes'!$A$9:$C$187,3))</f>
        <v/>
      </c>
      <c r="F369" s="170" t="str">
        <f>IF(D369="","",VLOOKUP(D369,'Phase Codes'!$A$9:$G$187,5))</f>
        <v/>
      </c>
      <c r="G369" s="170" t="str">
        <f>IF(D369="","",VLOOKUP(D369,'Phase Codes'!$A$9:$G$187,6))</f>
        <v/>
      </c>
      <c r="I369" s="282">
        <f>'Base Bid'!AD208</f>
        <v>0</v>
      </c>
    </row>
    <row r="370" spans="1:12" ht="9" thickBot="1" x14ac:dyDescent="0.2">
      <c r="A370" s="280" t="str">
        <f>IF(D370="","",VLOOKUP(D370,'Phase Codes'!$A$3:$N$187,7))</f>
        <v/>
      </c>
      <c r="B370" s="280"/>
      <c r="C370" s="280" t="str">
        <f>IF(D370="","",VLOOKUP(D370,'Phase Codes'!$A$3:$N$187,8))</f>
        <v/>
      </c>
      <c r="D370" s="280" t="str">
        <f>IF('Base Bid'!G209="","",'Base Bid'!G209)</f>
        <v/>
      </c>
      <c r="E370" s="280" t="str">
        <f>IF(D370="","",VLOOKUP(D370,'Phase Codes'!$A$9:$C$187,3))</f>
        <v/>
      </c>
      <c r="F370" s="280" t="str">
        <f>IF(D370="","",VLOOKUP(D370,'Phase Codes'!$A$9:$G$187,5))</f>
        <v/>
      </c>
      <c r="G370" s="280" t="str">
        <f>IF(D370="","",VLOOKUP(D370,'Phase Codes'!$A$9:$G$187,6))</f>
        <v/>
      </c>
      <c r="H370" s="280"/>
      <c r="I370" s="283">
        <f>'Base Bid'!AD209</f>
        <v>0</v>
      </c>
      <c r="J370" s="283"/>
      <c r="K370" s="280"/>
      <c r="L370" s="280"/>
    </row>
    <row r="371" spans="1:12" ht="9" thickTop="1" x14ac:dyDescent="0.15">
      <c r="A371" s="475"/>
      <c r="B371" s="475"/>
      <c r="C371" s="475"/>
      <c r="D371" s="475"/>
      <c r="E371" s="475"/>
      <c r="F371" s="475"/>
      <c r="G371" s="475"/>
      <c r="H371" s="475"/>
      <c r="I371" s="476"/>
      <c r="J371" s="476"/>
      <c r="K371" s="475"/>
      <c r="L371" s="475"/>
    </row>
    <row r="372" spans="1:12" ht="9" thickBot="1" x14ac:dyDescent="0.2">
      <c r="A372" s="280"/>
      <c r="B372" s="280" t="s">
        <v>985</v>
      </c>
      <c r="C372" s="280"/>
      <c r="D372" s="280"/>
      <c r="E372" s="280"/>
      <c r="F372" s="280"/>
      <c r="G372" s="280"/>
      <c r="H372" s="280"/>
      <c r="I372" s="283"/>
      <c r="J372" s="283"/>
      <c r="K372" s="280"/>
      <c r="L372" s="280"/>
    </row>
    <row r="373" spans="1:12" ht="9" thickTop="1" x14ac:dyDescent="0.15">
      <c r="A373" s="170" t="str">
        <f>IF(D373="","","2")</f>
        <v>2</v>
      </c>
      <c r="C373" s="170" t="str">
        <f>IF(D373="","","10")</f>
        <v>10</v>
      </c>
      <c r="D373" s="170" t="str">
        <f>IF('Base Bid'!G20="","",'Base Bid'!G20)</f>
        <v>30-030-101</v>
      </c>
      <c r="E373" s="170" t="str">
        <f>IF('Base Bid'!B20="","",'Base Bid'!B20)</f>
        <v>Sheet metal Forean setting coils</v>
      </c>
    </row>
    <row r="374" spans="1:12" x14ac:dyDescent="0.15">
      <c r="A374" s="170" t="str">
        <f t="shared" ref="A374:A422" si="0">IF(D374="","","2")</f>
        <v>2</v>
      </c>
      <c r="C374" s="170" t="str">
        <f t="shared" ref="C374:C422" si="1">IF(D374="","","10")</f>
        <v>10</v>
      </c>
      <c r="D374" s="170" t="str">
        <f>IF('Base Bid'!G21="","",'Base Bid'!G21)</f>
        <v>30-030-102</v>
      </c>
      <c r="E374" s="170" t="str">
        <f>IF('Base Bid'!B21="","",'Base Bid'!B21)</f>
        <v>Sheet metal JM setting Coils</v>
      </c>
    </row>
    <row r="375" spans="1:12" x14ac:dyDescent="0.15">
      <c r="A375" s="170" t="str">
        <f t="shared" si="0"/>
        <v>2</v>
      </c>
      <c r="C375" s="170" t="str">
        <f t="shared" si="1"/>
        <v>10</v>
      </c>
      <c r="D375" s="170" t="str">
        <f>IF('Base Bid'!G22="","",'Base Bid'!G22)</f>
        <v>30-030-103</v>
      </c>
      <c r="E375" s="170" t="str">
        <f>IF('Base Bid'!B22="","",'Base Bid'!B22)</f>
        <v>Non working foreman time</v>
      </c>
    </row>
    <row r="376" spans="1:12" x14ac:dyDescent="0.15">
      <c r="A376" s="170" t="str">
        <f t="shared" si="0"/>
        <v/>
      </c>
      <c r="C376" s="170" t="str">
        <f t="shared" si="1"/>
        <v/>
      </c>
      <c r="D376" s="170" t="str">
        <f>IF('Base Bid'!G23="","",'Base Bid'!G23)</f>
        <v/>
      </c>
      <c r="E376" s="170" t="str">
        <f>IF('Base Bid'!B23="","",'Base Bid'!B23)</f>
        <v/>
      </c>
    </row>
    <row r="377" spans="1:12" x14ac:dyDescent="0.15">
      <c r="A377" s="170" t="str">
        <f t="shared" si="0"/>
        <v/>
      </c>
      <c r="C377" s="170" t="str">
        <f t="shared" si="1"/>
        <v/>
      </c>
      <c r="D377" s="170" t="str">
        <f>IF('Base Bid'!G24="","",'Base Bid'!G24)</f>
        <v/>
      </c>
      <c r="E377" s="170" t="str">
        <f>IF('Base Bid'!B24="","",'Base Bid'!B24)</f>
        <v/>
      </c>
    </row>
    <row r="378" spans="1:12" x14ac:dyDescent="0.15">
      <c r="A378" s="170" t="str">
        <f t="shared" si="0"/>
        <v/>
      </c>
      <c r="C378" s="170" t="str">
        <f t="shared" si="1"/>
        <v/>
      </c>
      <c r="D378" s="170" t="str">
        <f>IF('Base Bid'!G25="","",'Base Bid'!G25)</f>
        <v/>
      </c>
      <c r="E378" s="170" t="str">
        <f>IF('Base Bid'!B25="","",'Base Bid'!B25)</f>
        <v/>
      </c>
    </row>
    <row r="379" spans="1:12" x14ac:dyDescent="0.15">
      <c r="A379" s="170" t="str">
        <f t="shared" si="0"/>
        <v/>
      </c>
      <c r="C379" s="170" t="str">
        <f t="shared" si="1"/>
        <v/>
      </c>
      <c r="D379" s="170" t="str">
        <f>IF('Base Bid'!G26="","",'Base Bid'!G26)</f>
        <v/>
      </c>
      <c r="E379" s="170" t="str">
        <f>IF('Base Bid'!B26="","",'Base Bid'!B26)</f>
        <v/>
      </c>
    </row>
    <row r="380" spans="1:12" x14ac:dyDescent="0.15">
      <c r="A380" s="170" t="str">
        <f t="shared" si="0"/>
        <v/>
      </c>
      <c r="C380" s="170" t="str">
        <f t="shared" si="1"/>
        <v/>
      </c>
      <c r="D380" s="170" t="str">
        <f>IF('Base Bid'!G27="","",'Base Bid'!G27)</f>
        <v/>
      </c>
      <c r="E380" s="170" t="str">
        <f>IF('Base Bid'!B27="","",'Base Bid'!B27)</f>
        <v/>
      </c>
    </row>
    <row r="381" spans="1:12" x14ac:dyDescent="0.15">
      <c r="A381" s="170" t="str">
        <f t="shared" si="0"/>
        <v/>
      </c>
      <c r="C381" s="170" t="str">
        <f t="shared" si="1"/>
        <v/>
      </c>
      <c r="D381" s="170" t="str">
        <f>IF('Base Bid'!G28="","",'Base Bid'!G28)</f>
        <v/>
      </c>
      <c r="E381" s="170" t="str">
        <f>IF('Base Bid'!B28="","",'Base Bid'!B28)</f>
        <v/>
      </c>
    </row>
    <row r="382" spans="1:12" x14ac:dyDescent="0.15">
      <c r="A382" s="170" t="str">
        <f t="shared" si="0"/>
        <v/>
      </c>
      <c r="C382" s="170" t="str">
        <f t="shared" si="1"/>
        <v/>
      </c>
      <c r="D382" s="170" t="str">
        <f>IF('Base Bid'!G29="","",'Base Bid'!G29)</f>
        <v/>
      </c>
      <c r="E382" s="170" t="str">
        <f>IF('Base Bid'!B29="","",'Base Bid'!B29)</f>
        <v/>
      </c>
    </row>
    <row r="383" spans="1:12" x14ac:dyDescent="0.15">
      <c r="A383" s="170" t="str">
        <f t="shared" si="0"/>
        <v/>
      </c>
      <c r="C383" s="170" t="str">
        <f t="shared" si="1"/>
        <v/>
      </c>
      <c r="D383" s="170" t="str">
        <f>IF('Base Bid'!G30="","",'Base Bid'!G30)</f>
        <v/>
      </c>
      <c r="E383" s="170" t="str">
        <f>IF('Base Bid'!B30="","",'Base Bid'!B30)</f>
        <v/>
      </c>
    </row>
    <row r="384" spans="1:12" x14ac:dyDescent="0.15">
      <c r="A384" s="170" t="str">
        <f t="shared" si="0"/>
        <v/>
      </c>
      <c r="C384" s="170" t="str">
        <f t="shared" si="1"/>
        <v/>
      </c>
      <c r="D384" s="170" t="str">
        <f>IF('Base Bid'!G31="","",'Base Bid'!G31)</f>
        <v/>
      </c>
      <c r="E384" s="170" t="str">
        <f>IF('Base Bid'!B31="","",'Base Bid'!B31)</f>
        <v/>
      </c>
    </row>
    <row r="385" spans="1:5" x14ac:dyDescent="0.15">
      <c r="A385" s="170" t="str">
        <f t="shared" si="0"/>
        <v/>
      </c>
      <c r="C385" s="170" t="str">
        <f t="shared" si="1"/>
        <v/>
      </c>
      <c r="D385" s="170" t="str">
        <f>IF('Base Bid'!G32="","",'Base Bid'!G32)</f>
        <v/>
      </c>
      <c r="E385" s="170" t="str">
        <f>IF('Base Bid'!B32="","",'Base Bid'!B32)</f>
        <v/>
      </c>
    </row>
    <row r="386" spans="1:5" x14ac:dyDescent="0.15">
      <c r="A386" s="170" t="str">
        <f t="shared" si="0"/>
        <v/>
      </c>
      <c r="C386" s="170" t="str">
        <f t="shared" si="1"/>
        <v/>
      </c>
      <c r="D386" s="170" t="str">
        <f>IF('Base Bid'!G33="","",'Base Bid'!G33)</f>
        <v/>
      </c>
      <c r="E386" s="170" t="str">
        <f>IF('Base Bid'!B33="","",'Base Bid'!B33)</f>
        <v/>
      </c>
    </row>
    <row r="387" spans="1:5" x14ac:dyDescent="0.15">
      <c r="A387" s="170" t="str">
        <f t="shared" si="0"/>
        <v/>
      </c>
      <c r="C387" s="170" t="str">
        <f t="shared" si="1"/>
        <v/>
      </c>
      <c r="D387" s="170" t="str">
        <f>IF('Base Bid'!G34="","",'Base Bid'!G34)</f>
        <v/>
      </c>
      <c r="E387" s="170" t="str">
        <f>IF('Base Bid'!B34="","",'Base Bid'!B34)</f>
        <v/>
      </c>
    </row>
    <row r="388" spans="1:5" x14ac:dyDescent="0.15">
      <c r="A388" s="170" t="str">
        <f t="shared" si="0"/>
        <v/>
      </c>
      <c r="C388" s="170" t="str">
        <f t="shared" si="1"/>
        <v/>
      </c>
      <c r="D388" s="170" t="str">
        <f>IF('Base Bid'!G35="","",'Base Bid'!G35)</f>
        <v/>
      </c>
      <c r="E388" s="170" t="str">
        <f>IF('Base Bid'!B35="","",'Base Bid'!B35)</f>
        <v/>
      </c>
    </row>
    <row r="389" spans="1:5" x14ac:dyDescent="0.15">
      <c r="A389" s="170" t="str">
        <f t="shared" si="0"/>
        <v/>
      </c>
      <c r="C389" s="170" t="str">
        <f t="shared" si="1"/>
        <v/>
      </c>
      <c r="D389" s="170" t="str">
        <f>IF('Base Bid'!G36="","",'Base Bid'!G36)</f>
        <v/>
      </c>
      <c r="E389" s="170" t="str">
        <f>IF('Base Bid'!B36="","",'Base Bid'!B36)</f>
        <v/>
      </c>
    </row>
    <row r="390" spans="1:5" x14ac:dyDescent="0.15">
      <c r="A390" s="170" t="str">
        <f t="shared" si="0"/>
        <v/>
      </c>
      <c r="C390" s="170" t="str">
        <f t="shared" si="1"/>
        <v/>
      </c>
      <c r="D390" s="170" t="str">
        <f>IF('Base Bid'!G37="","",'Base Bid'!G37)</f>
        <v/>
      </c>
      <c r="E390" s="170" t="str">
        <f>IF('Base Bid'!B37="","",'Base Bid'!B37)</f>
        <v/>
      </c>
    </row>
    <row r="391" spans="1:5" x14ac:dyDescent="0.15">
      <c r="A391" s="170" t="str">
        <f t="shared" si="0"/>
        <v/>
      </c>
      <c r="C391" s="170" t="str">
        <f t="shared" si="1"/>
        <v/>
      </c>
      <c r="D391" s="170" t="str">
        <f>IF('Base Bid'!G38="","",'Base Bid'!G38)</f>
        <v/>
      </c>
      <c r="E391" s="170" t="str">
        <f>IF('Base Bid'!B38="","",'Base Bid'!B38)</f>
        <v/>
      </c>
    </row>
    <row r="392" spans="1:5" x14ac:dyDescent="0.15">
      <c r="A392" s="170" t="str">
        <f t="shared" si="0"/>
        <v/>
      </c>
      <c r="C392" s="170" t="str">
        <f t="shared" si="1"/>
        <v/>
      </c>
      <c r="D392" s="170" t="str">
        <f>IF('Base Bid'!G39="","",'Base Bid'!G39)</f>
        <v/>
      </c>
      <c r="E392" s="170" t="str">
        <f>IF('Base Bid'!B39="","",'Base Bid'!B39)</f>
        <v/>
      </c>
    </row>
    <row r="393" spans="1:5" x14ac:dyDescent="0.15">
      <c r="A393" s="170" t="str">
        <f t="shared" si="0"/>
        <v/>
      </c>
      <c r="C393" s="170" t="str">
        <f t="shared" si="1"/>
        <v/>
      </c>
      <c r="D393" s="170" t="str">
        <f>IF('Base Bid'!G40="","",'Base Bid'!G40)</f>
        <v/>
      </c>
      <c r="E393" s="170" t="str">
        <f>IF('Base Bid'!B40="","",'Base Bid'!B40)</f>
        <v/>
      </c>
    </row>
    <row r="394" spans="1:5" x14ac:dyDescent="0.15">
      <c r="A394" s="170" t="str">
        <f t="shared" si="0"/>
        <v/>
      </c>
      <c r="C394" s="170" t="str">
        <f t="shared" si="1"/>
        <v/>
      </c>
      <c r="D394" s="170" t="str">
        <f>IF('Base Bid'!G41="","",'Base Bid'!G41)</f>
        <v/>
      </c>
      <c r="E394" s="170" t="str">
        <f>IF('Base Bid'!B41="","",'Base Bid'!B41)</f>
        <v/>
      </c>
    </row>
    <row r="395" spans="1:5" x14ac:dyDescent="0.15">
      <c r="A395" s="170" t="str">
        <f t="shared" si="0"/>
        <v/>
      </c>
      <c r="C395" s="170" t="str">
        <f t="shared" si="1"/>
        <v/>
      </c>
      <c r="D395" s="170" t="str">
        <f>IF('Base Bid'!G42="","",'Base Bid'!G42)</f>
        <v/>
      </c>
      <c r="E395" s="170" t="str">
        <f>IF('Base Bid'!B42="","",'Base Bid'!B42)</f>
        <v/>
      </c>
    </row>
    <row r="396" spans="1:5" x14ac:dyDescent="0.15">
      <c r="A396" s="170" t="str">
        <f t="shared" si="0"/>
        <v/>
      </c>
      <c r="C396" s="170" t="str">
        <f t="shared" si="1"/>
        <v/>
      </c>
      <c r="D396" s="170" t="str">
        <f>IF('Base Bid'!G43="","",'Base Bid'!G43)</f>
        <v/>
      </c>
      <c r="E396" s="170" t="str">
        <f>IF('Base Bid'!B43="","",'Base Bid'!B43)</f>
        <v/>
      </c>
    </row>
    <row r="397" spans="1:5" x14ac:dyDescent="0.15">
      <c r="A397" s="170" t="str">
        <f t="shared" si="0"/>
        <v/>
      </c>
      <c r="C397" s="170" t="str">
        <f t="shared" si="1"/>
        <v/>
      </c>
      <c r="D397" s="170" t="str">
        <f>IF('Base Bid'!G44="","",'Base Bid'!G44)</f>
        <v/>
      </c>
      <c r="E397" s="170" t="str">
        <f>IF('Base Bid'!B44="","",'Base Bid'!B44)</f>
        <v/>
      </c>
    </row>
    <row r="398" spans="1:5" x14ac:dyDescent="0.15">
      <c r="A398" s="170" t="str">
        <f t="shared" si="0"/>
        <v/>
      </c>
      <c r="C398" s="170" t="str">
        <f t="shared" si="1"/>
        <v/>
      </c>
      <c r="D398" s="170" t="str">
        <f>IF('Base Bid'!G45="","",'Base Bid'!G45)</f>
        <v/>
      </c>
      <c r="E398" s="170" t="str">
        <f>IF('Base Bid'!B45="","",'Base Bid'!B45)</f>
        <v/>
      </c>
    </row>
    <row r="399" spans="1:5" x14ac:dyDescent="0.15">
      <c r="A399" s="170" t="str">
        <f t="shared" si="0"/>
        <v/>
      </c>
      <c r="C399" s="170" t="str">
        <f t="shared" si="1"/>
        <v/>
      </c>
      <c r="D399" s="170" t="str">
        <f>IF('Base Bid'!G46="","",'Base Bid'!G46)</f>
        <v/>
      </c>
      <c r="E399" s="170" t="str">
        <f>IF('Base Bid'!B46="","",'Base Bid'!B46)</f>
        <v/>
      </c>
    </row>
    <row r="400" spans="1:5" x14ac:dyDescent="0.15">
      <c r="A400" s="170" t="str">
        <f t="shared" si="0"/>
        <v/>
      </c>
      <c r="C400" s="170" t="str">
        <f t="shared" si="1"/>
        <v/>
      </c>
      <c r="D400" s="170" t="str">
        <f>IF('Base Bid'!G47="","",'Base Bid'!G47)</f>
        <v/>
      </c>
      <c r="E400" s="170" t="str">
        <f>IF('Base Bid'!B47="","",'Base Bid'!B47)</f>
        <v/>
      </c>
    </row>
    <row r="401" spans="1:5" x14ac:dyDescent="0.15">
      <c r="A401" s="170" t="str">
        <f t="shared" si="0"/>
        <v/>
      </c>
      <c r="C401" s="170" t="str">
        <f t="shared" si="1"/>
        <v/>
      </c>
      <c r="D401" s="170" t="str">
        <f>IF('Base Bid'!G48="","",'Base Bid'!G48)</f>
        <v/>
      </c>
      <c r="E401" s="170" t="str">
        <f>IF('Base Bid'!B48="","",'Base Bid'!B48)</f>
        <v/>
      </c>
    </row>
    <row r="402" spans="1:5" x14ac:dyDescent="0.15">
      <c r="A402" s="170" t="str">
        <f t="shared" si="0"/>
        <v/>
      </c>
      <c r="C402" s="170" t="str">
        <f t="shared" si="1"/>
        <v/>
      </c>
      <c r="D402" s="170" t="str">
        <f>IF('Base Bid'!G49="","",'Base Bid'!G49)</f>
        <v/>
      </c>
      <c r="E402" s="170" t="str">
        <f>IF('Base Bid'!B49="","",'Base Bid'!B49)</f>
        <v/>
      </c>
    </row>
    <row r="403" spans="1:5" x14ac:dyDescent="0.15">
      <c r="A403" s="170" t="str">
        <f t="shared" si="0"/>
        <v/>
      </c>
      <c r="C403" s="170" t="str">
        <f t="shared" si="1"/>
        <v/>
      </c>
      <c r="D403" s="170" t="str">
        <f>IF('Base Bid'!G50="","",'Base Bid'!G50)</f>
        <v/>
      </c>
      <c r="E403" s="170" t="str">
        <f>IF('Base Bid'!B50="","",'Base Bid'!B50)</f>
        <v/>
      </c>
    </row>
    <row r="404" spans="1:5" x14ac:dyDescent="0.15">
      <c r="A404" s="170" t="str">
        <f t="shared" si="0"/>
        <v/>
      </c>
      <c r="C404" s="170" t="str">
        <f t="shared" si="1"/>
        <v/>
      </c>
      <c r="D404" s="170" t="str">
        <f>IF('Base Bid'!G51="","",'Base Bid'!G51)</f>
        <v/>
      </c>
      <c r="E404" s="170" t="str">
        <f>IF('Base Bid'!B51="","",'Base Bid'!B51)</f>
        <v/>
      </c>
    </row>
    <row r="405" spans="1:5" x14ac:dyDescent="0.15">
      <c r="A405" s="170" t="str">
        <f t="shared" si="0"/>
        <v/>
      </c>
      <c r="C405" s="170" t="str">
        <f t="shared" si="1"/>
        <v/>
      </c>
      <c r="D405" s="170" t="str">
        <f>IF('Base Bid'!G52="","",'Base Bid'!G52)</f>
        <v/>
      </c>
      <c r="E405" s="170" t="str">
        <f>IF('Base Bid'!B52="","",'Base Bid'!B52)</f>
        <v/>
      </c>
    </row>
    <row r="406" spans="1:5" x14ac:dyDescent="0.15">
      <c r="A406" s="170" t="str">
        <f t="shared" si="0"/>
        <v/>
      </c>
      <c r="C406" s="170" t="str">
        <f t="shared" si="1"/>
        <v/>
      </c>
      <c r="D406" s="170" t="str">
        <f>IF('Base Bid'!G53="","",'Base Bid'!G53)</f>
        <v/>
      </c>
      <c r="E406" s="170" t="str">
        <f>IF('Base Bid'!B53="","",'Base Bid'!B53)</f>
        <v/>
      </c>
    </row>
    <row r="407" spans="1:5" x14ac:dyDescent="0.15">
      <c r="A407" s="170" t="str">
        <f t="shared" si="0"/>
        <v/>
      </c>
      <c r="C407" s="170" t="str">
        <f t="shared" si="1"/>
        <v/>
      </c>
      <c r="D407" s="170" t="str">
        <f>IF('Base Bid'!G54="","",'Base Bid'!G54)</f>
        <v/>
      </c>
      <c r="E407" s="170" t="str">
        <f>IF('Base Bid'!B54="","",'Base Bid'!B54)</f>
        <v/>
      </c>
    </row>
    <row r="408" spans="1:5" x14ac:dyDescent="0.15">
      <c r="A408" s="170" t="str">
        <f t="shared" si="0"/>
        <v/>
      </c>
      <c r="C408" s="170" t="str">
        <f t="shared" si="1"/>
        <v/>
      </c>
      <c r="D408" s="170" t="str">
        <f>IF('Base Bid'!G55="","",'Base Bid'!G55)</f>
        <v/>
      </c>
      <c r="E408" s="170" t="str">
        <f>IF('Base Bid'!B55="","",'Base Bid'!B55)</f>
        <v/>
      </c>
    </row>
    <row r="409" spans="1:5" x14ac:dyDescent="0.15">
      <c r="A409" s="170" t="str">
        <f t="shared" si="0"/>
        <v/>
      </c>
      <c r="C409" s="170" t="str">
        <f t="shared" si="1"/>
        <v/>
      </c>
      <c r="D409" s="170" t="str">
        <f>IF('Base Bid'!G56="","",'Base Bid'!G56)</f>
        <v/>
      </c>
      <c r="E409" s="170" t="str">
        <f>IF('Base Bid'!B56="","",'Base Bid'!B56)</f>
        <v/>
      </c>
    </row>
    <row r="410" spans="1:5" x14ac:dyDescent="0.15">
      <c r="A410" s="170" t="str">
        <f t="shared" si="0"/>
        <v/>
      </c>
      <c r="C410" s="170" t="str">
        <f t="shared" si="1"/>
        <v/>
      </c>
      <c r="D410" s="170" t="str">
        <f>IF('Base Bid'!G57="","",'Base Bid'!G57)</f>
        <v/>
      </c>
      <c r="E410" s="170" t="str">
        <f>IF('Base Bid'!B57="","",'Base Bid'!B57)</f>
        <v/>
      </c>
    </row>
    <row r="411" spans="1:5" x14ac:dyDescent="0.15">
      <c r="A411" s="170" t="str">
        <f t="shared" si="0"/>
        <v/>
      </c>
      <c r="C411" s="170" t="str">
        <f t="shared" si="1"/>
        <v/>
      </c>
      <c r="D411" s="170" t="str">
        <f>IF('Base Bid'!G58="","",'Base Bid'!G58)</f>
        <v/>
      </c>
      <c r="E411" s="170" t="str">
        <f>IF('Base Bid'!B58="","",'Base Bid'!B58)</f>
        <v/>
      </c>
    </row>
    <row r="412" spans="1:5" x14ac:dyDescent="0.15">
      <c r="A412" s="170" t="str">
        <f t="shared" si="0"/>
        <v/>
      </c>
      <c r="C412" s="170" t="str">
        <f t="shared" si="1"/>
        <v/>
      </c>
      <c r="D412" s="170" t="str">
        <f>IF('Base Bid'!G59="","",'Base Bid'!G59)</f>
        <v/>
      </c>
      <c r="E412" s="170" t="str">
        <f>IF('Base Bid'!B59="","",'Base Bid'!B59)</f>
        <v/>
      </c>
    </row>
    <row r="413" spans="1:5" x14ac:dyDescent="0.15">
      <c r="A413" s="170" t="str">
        <f t="shared" si="0"/>
        <v/>
      </c>
      <c r="C413" s="170" t="str">
        <f t="shared" si="1"/>
        <v/>
      </c>
      <c r="D413" s="170" t="str">
        <f>IF('Base Bid'!G60="","",'Base Bid'!G60)</f>
        <v/>
      </c>
      <c r="E413" s="170" t="str">
        <f>IF('Base Bid'!B60="","",'Base Bid'!B60)</f>
        <v/>
      </c>
    </row>
    <row r="414" spans="1:5" x14ac:dyDescent="0.15">
      <c r="A414" s="170" t="str">
        <f t="shared" si="0"/>
        <v/>
      </c>
      <c r="C414" s="170" t="str">
        <f t="shared" si="1"/>
        <v/>
      </c>
      <c r="D414" s="170" t="str">
        <f>IF('Base Bid'!G61="","",'Base Bid'!G61)</f>
        <v/>
      </c>
      <c r="E414" s="170" t="str">
        <f>IF('Base Bid'!B61="","",'Base Bid'!B61)</f>
        <v/>
      </c>
    </row>
    <row r="415" spans="1:5" x14ac:dyDescent="0.15">
      <c r="A415" s="170" t="str">
        <f t="shared" si="0"/>
        <v/>
      </c>
      <c r="C415" s="170" t="str">
        <f t="shared" si="1"/>
        <v/>
      </c>
      <c r="D415" s="170" t="str">
        <f>IF('Base Bid'!G62="","",'Base Bid'!G62)</f>
        <v/>
      </c>
      <c r="E415" s="170" t="str">
        <f>IF('Base Bid'!B62="","",'Base Bid'!B62)</f>
        <v/>
      </c>
    </row>
    <row r="416" spans="1:5" x14ac:dyDescent="0.15">
      <c r="A416" s="170" t="str">
        <f t="shared" si="0"/>
        <v/>
      </c>
      <c r="C416" s="170" t="str">
        <f t="shared" si="1"/>
        <v/>
      </c>
      <c r="D416" s="170" t="str">
        <f>IF('Base Bid'!G63="","",'Base Bid'!G63)</f>
        <v/>
      </c>
      <c r="E416" s="170" t="str">
        <f>IF('Base Bid'!B63="","",'Base Bid'!B63)</f>
        <v/>
      </c>
    </row>
    <row r="417" spans="1:12" x14ac:dyDescent="0.15">
      <c r="A417" s="170" t="str">
        <f t="shared" si="0"/>
        <v/>
      </c>
      <c r="C417" s="170" t="str">
        <f t="shared" si="1"/>
        <v/>
      </c>
      <c r="D417" s="170" t="str">
        <f>IF('Base Bid'!G64="","",'Base Bid'!G64)</f>
        <v/>
      </c>
      <c r="E417" s="170" t="str">
        <f>IF('Base Bid'!B64="","",'Base Bid'!B64)</f>
        <v/>
      </c>
    </row>
    <row r="418" spans="1:12" x14ac:dyDescent="0.15">
      <c r="A418" s="170" t="str">
        <f t="shared" si="0"/>
        <v/>
      </c>
      <c r="C418" s="170" t="str">
        <f t="shared" si="1"/>
        <v/>
      </c>
      <c r="D418" s="170" t="str">
        <f>IF('Base Bid'!G65="","",'Base Bid'!G65)</f>
        <v/>
      </c>
      <c r="E418" s="170" t="str">
        <f>IF('Base Bid'!B65="","",'Base Bid'!B65)</f>
        <v/>
      </c>
    </row>
    <row r="419" spans="1:12" x14ac:dyDescent="0.15">
      <c r="A419" s="170" t="str">
        <f t="shared" si="0"/>
        <v/>
      </c>
      <c r="C419" s="170" t="str">
        <f t="shared" si="1"/>
        <v/>
      </c>
      <c r="D419" s="170" t="str">
        <f>IF('Base Bid'!G66="","",'Base Bid'!G66)</f>
        <v/>
      </c>
      <c r="E419" s="170" t="str">
        <f>IF('Base Bid'!B66="","",'Base Bid'!B66)</f>
        <v/>
      </c>
    </row>
    <row r="420" spans="1:12" x14ac:dyDescent="0.15">
      <c r="A420" s="170" t="str">
        <f t="shared" si="0"/>
        <v/>
      </c>
      <c r="C420" s="170" t="str">
        <f t="shared" si="1"/>
        <v/>
      </c>
      <c r="D420" s="170" t="str">
        <f>IF('Base Bid'!G67="","",'Base Bid'!G67)</f>
        <v/>
      </c>
      <c r="E420" s="170" t="str">
        <f>IF('Base Bid'!B67="","",'Base Bid'!B67)</f>
        <v/>
      </c>
    </row>
    <row r="421" spans="1:12" x14ac:dyDescent="0.15">
      <c r="A421" s="170" t="str">
        <f t="shared" si="0"/>
        <v/>
      </c>
      <c r="C421" s="170" t="str">
        <f t="shared" si="1"/>
        <v/>
      </c>
      <c r="D421" s="170" t="str">
        <f>IF('Base Bid'!G68="","",'Base Bid'!G68)</f>
        <v/>
      </c>
      <c r="E421" s="170" t="str">
        <f>IF('Base Bid'!B68="","",'Base Bid'!B68)</f>
        <v/>
      </c>
    </row>
    <row r="422" spans="1:12" ht="9" thickBot="1" x14ac:dyDescent="0.2">
      <c r="A422" s="280" t="str">
        <f t="shared" si="0"/>
        <v/>
      </c>
      <c r="B422" s="280"/>
      <c r="C422" s="280" t="str">
        <f t="shared" si="1"/>
        <v/>
      </c>
      <c r="D422" s="280" t="str">
        <f>IF('Base Bid'!G69="","",'Base Bid'!G69)</f>
        <v/>
      </c>
      <c r="E422" s="280" t="str">
        <f>IF('Base Bid'!B69="","",'Base Bid'!B69)</f>
        <v/>
      </c>
      <c r="F422" s="280"/>
      <c r="G422" s="280"/>
      <c r="H422" s="280"/>
      <c r="I422" s="283"/>
      <c r="J422" s="283"/>
      <c r="K422" s="280"/>
      <c r="L422" s="280"/>
    </row>
    <row r="423" spans="1:12" ht="9" thickTop="1" x14ac:dyDescent="0.15">
      <c r="A423" s="475"/>
      <c r="B423" s="475"/>
      <c r="C423" s="475"/>
      <c r="D423" s="475"/>
      <c r="E423" s="475"/>
      <c r="F423" s="475"/>
      <c r="G423" s="475"/>
      <c r="H423" s="475"/>
      <c r="I423" s="476"/>
      <c r="J423" s="476"/>
      <c r="K423" s="475"/>
      <c r="L423" s="475"/>
    </row>
    <row r="424" spans="1:12" ht="9" thickBot="1" x14ac:dyDescent="0.2">
      <c r="A424" s="280"/>
      <c r="B424" s="280" t="s">
        <v>986</v>
      </c>
      <c r="C424" s="280"/>
      <c r="D424" s="280"/>
      <c r="E424" s="280"/>
      <c r="F424" s="280"/>
      <c r="G424" s="280"/>
      <c r="H424" s="280"/>
      <c r="I424" s="283"/>
      <c r="J424" s="283"/>
      <c r="K424" s="280"/>
      <c r="L424" s="280"/>
    </row>
    <row r="425" spans="1:12" ht="9" thickTop="1" x14ac:dyDescent="0.15">
      <c r="A425" s="170" t="str">
        <f>IF(D425="","","2")</f>
        <v>2</v>
      </c>
      <c r="C425" s="170" t="str">
        <f>IF(D425="","","10")</f>
        <v>10</v>
      </c>
      <c r="D425" s="170" t="str">
        <f>IF('Base Bid'!G20="","",D79)</f>
        <v>35-030-101</v>
      </c>
      <c r="E425" s="170" t="str">
        <f>IF('Base Bid'!B20="","",'Base Bid'!B20)</f>
        <v>Sheet metal Forean setting coils</v>
      </c>
    </row>
    <row r="426" spans="1:12" x14ac:dyDescent="0.15">
      <c r="A426" s="170" t="str">
        <f t="shared" ref="A426:A474" si="2">IF(D426="","","2")</f>
        <v>2</v>
      </c>
      <c r="C426" s="170" t="str">
        <f t="shared" ref="C426:C474" si="3">IF(D426="","","10")</f>
        <v>10</v>
      </c>
      <c r="D426" s="170" t="str">
        <f>IF('Base Bid'!G21="","",D80)</f>
        <v>35-030-102</v>
      </c>
      <c r="E426" s="170" t="str">
        <f>IF('Base Bid'!B21="","",'Base Bid'!B21)</f>
        <v>Sheet metal JM setting Coils</v>
      </c>
    </row>
    <row r="427" spans="1:12" x14ac:dyDescent="0.15">
      <c r="A427" s="170" t="str">
        <f t="shared" si="2"/>
        <v>2</v>
      </c>
      <c r="C427" s="170" t="str">
        <f t="shared" si="3"/>
        <v>10</v>
      </c>
      <c r="D427" s="170" t="str">
        <f>IF('Base Bid'!G22="","",D81)</f>
        <v>35-030-103</v>
      </c>
      <c r="E427" s="170" t="str">
        <f>IF('Base Bid'!B22="","",'Base Bid'!B22)</f>
        <v>Non working foreman time</v>
      </c>
    </row>
    <row r="428" spans="1:12" x14ac:dyDescent="0.15">
      <c r="A428" s="170" t="str">
        <f t="shared" si="2"/>
        <v/>
      </c>
      <c r="C428" s="170" t="str">
        <f t="shared" si="3"/>
        <v/>
      </c>
      <c r="D428" s="170" t="str">
        <f>IF('Base Bid'!G23="","",D82)</f>
        <v/>
      </c>
      <c r="E428" s="170" t="str">
        <f>IF('Base Bid'!B23="","",'Base Bid'!B23)</f>
        <v/>
      </c>
    </row>
    <row r="429" spans="1:12" x14ac:dyDescent="0.15">
      <c r="A429" s="170" t="str">
        <f t="shared" si="2"/>
        <v/>
      </c>
      <c r="C429" s="170" t="str">
        <f t="shared" si="3"/>
        <v/>
      </c>
      <c r="D429" s="170" t="str">
        <f>IF('Base Bid'!G24="","",D83)</f>
        <v/>
      </c>
      <c r="E429" s="170" t="str">
        <f>IF('Base Bid'!B24="","",'Base Bid'!B24)</f>
        <v/>
      </c>
    </row>
    <row r="430" spans="1:12" x14ac:dyDescent="0.15">
      <c r="A430" s="170" t="str">
        <f t="shared" si="2"/>
        <v/>
      </c>
      <c r="C430" s="170" t="str">
        <f t="shared" si="3"/>
        <v/>
      </c>
      <c r="D430" s="170" t="str">
        <f>IF('Base Bid'!G25="","",D84)</f>
        <v/>
      </c>
      <c r="E430" s="170" t="str">
        <f>IF('Base Bid'!B25="","",'Base Bid'!B25)</f>
        <v/>
      </c>
    </row>
    <row r="431" spans="1:12" x14ac:dyDescent="0.15">
      <c r="A431" s="170" t="str">
        <f t="shared" si="2"/>
        <v/>
      </c>
      <c r="C431" s="170" t="str">
        <f t="shared" si="3"/>
        <v/>
      </c>
      <c r="D431" s="170" t="str">
        <f>IF('Base Bid'!G26="","",D85)</f>
        <v/>
      </c>
      <c r="E431" s="170" t="str">
        <f>IF('Base Bid'!B26="","",'Base Bid'!B26)</f>
        <v/>
      </c>
    </row>
    <row r="432" spans="1:12" x14ac:dyDescent="0.15">
      <c r="A432" s="170" t="str">
        <f t="shared" si="2"/>
        <v/>
      </c>
      <c r="C432" s="170" t="str">
        <f t="shared" si="3"/>
        <v/>
      </c>
      <c r="D432" s="170" t="str">
        <f>IF('Base Bid'!G27="","",D86)</f>
        <v/>
      </c>
      <c r="E432" s="170" t="str">
        <f>IF('Base Bid'!B27="","",'Base Bid'!B27)</f>
        <v/>
      </c>
    </row>
    <row r="433" spans="1:5" x14ac:dyDescent="0.15">
      <c r="A433" s="170" t="str">
        <f t="shared" si="2"/>
        <v/>
      </c>
      <c r="C433" s="170" t="str">
        <f t="shared" si="3"/>
        <v/>
      </c>
      <c r="D433" s="170" t="str">
        <f>IF('Base Bid'!G28="","",D87)</f>
        <v/>
      </c>
      <c r="E433" s="170" t="str">
        <f>IF('Base Bid'!B28="","",'Base Bid'!B28)</f>
        <v/>
      </c>
    </row>
    <row r="434" spans="1:5" x14ac:dyDescent="0.15">
      <c r="A434" s="170" t="str">
        <f t="shared" si="2"/>
        <v/>
      </c>
      <c r="C434" s="170" t="str">
        <f t="shared" si="3"/>
        <v/>
      </c>
      <c r="D434" s="170" t="str">
        <f>IF('Base Bid'!G29="","",D88)</f>
        <v/>
      </c>
      <c r="E434" s="170" t="str">
        <f>IF('Base Bid'!B29="","",'Base Bid'!B29)</f>
        <v/>
      </c>
    </row>
    <row r="435" spans="1:5" x14ac:dyDescent="0.15">
      <c r="A435" s="170" t="str">
        <f t="shared" si="2"/>
        <v/>
      </c>
      <c r="C435" s="170" t="str">
        <f t="shared" si="3"/>
        <v/>
      </c>
      <c r="D435" s="170" t="str">
        <f>IF('Base Bid'!G30="","",D89)</f>
        <v/>
      </c>
      <c r="E435" s="170" t="str">
        <f>IF('Base Bid'!B30="","",'Base Bid'!B30)</f>
        <v/>
      </c>
    </row>
    <row r="436" spans="1:5" x14ac:dyDescent="0.15">
      <c r="A436" s="170" t="str">
        <f t="shared" si="2"/>
        <v/>
      </c>
      <c r="C436" s="170" t="str">
        <f t="shared" si="3"/>
        <v/>
      </c>
      <c r="D436" s="170" t="str">
        <f>IF('Base Bid'!G31="","",D90)</f>
        <v/>
      </c>
      <c r="E436" s="170" t="str">
        <f>IF('Base Bid'!B31="","",'Base Bid'!B31)</f>
        <v/>
      </c>
    </row>
    <row r="437" spans="1:5" x14ac:dyDescent="0.15">
      <c r="A437" s="170" t="str">
        <f t="shared" si="2"/>
        <v/>
      </c>
      <c r="C437" s="170" t="str">
        <f t="shared" si="3"/>
        <v/>
      </c>
      <c r="D437" s="170" t="str">
        <f>IF('Base Bid'!G32="","",D91)</f>
        <v/>
      </c>
      <c r="E437" s="170" t="str">
        <f>IF('Base Bid'!B32="","",'Base Bid'!B32)</f>
        <v/>
      </c>
    </row>
    <row r="438" spans="1:5" x14ac:dyDescent="0.15">
      <c r="A438" s="170" t="str">
        <f t="shared" si="2"/>
        <v/>
      </c>
      <c r="C438" s="170" t="str">
        <f t="shared" si="3"/>
        <v/>
      </c>
      <c r="D438" s="170" t="str">
        <f>IF('Base Bid'!G33="","",D92)</f>
        <v/>
      </c>
      <c r="E438" s="170" t="str">
        <f>IF('Base Bid'!B33="","",'Base Bid'!B33)</f>
        <v/>
      </c>
    </row>
    <row r="439" spans="1:5" x14ac:dyDescent="0.15">
      <c r="A439" s="170" t="str">
        <f t="shared" si="2"/>
        <v/>
      </c>
      <c r="C439" s="170" t="str">
        <f t="shared" si="3"/>
        <v/>
      </c>
      <c r="D439" s="170" t="str">
        <f>IF('Base Bid'!G34="","",D93)</f>
        <v/>
      </c>
      <c r="E439" s="170" t="str">
        <f>IF('Base Bid'!B34="","",'Base Bid'!B34)</f>
        <v/>
      </c>
    </row>
    <row r="440" spans="1:5" x14ac:dyDescent="0.15">
      <c r="A440" s="170" t="str">
        <f t="shared" si="2"/>
        <v/>
      </c>
      <c r="C440" s="170" t="str">
        <f t="shared" si="3"/>
        <v/>
      </c>
      <c r="D440" s="170" t="str">
        <f>IF('Base Bid'!G35="","",D94)</f>
        <v/>
      </c>
      <c r="E440" s="170" t="str">
        <f>IF('Base Bid'!B35="","",'Base Bid'!B35)</f>
        <v/>
      </c>
    </row>
    <row r="441" spans="1:5" x14ac:dyDescent="0.15">
      <c r="A441" s="170" t="str">
        <f t="shared" si="2"/>
        <v/>
      </c>
      <c r="C441" s="170" t="str">
        <f t="shared" si="3"/>
        <v/>
      </c>
      <c r="D441" s="170" t="str">
        <f>IF('Base Bid'!G36="","",D95)</f>
        <v/>
      </c>
      <c r="E441" s="170" t="str">
        <f>IF('Base Bid'!B36="","",'Base Bid'!B36)</f>
        <v/>
      </c>
    </row>
    <row r="442" spans="1:5" x14ac:dyDescent="0.15">
      <c r="A442" s="170" t="str">
        <f t="shared" si="2"/>
        <v/>
      </c>
      <c r="C442" s="170" t="str">
        <f t="shared" si="3"/>
        <v/>
      </c>
      <c r="D442" s="170" t="str">
        <f>IF('Base Bid'!G37="","",D96)</f>
        <v/>
      </c>
      <c r="E442" s="170" t="str">
        <f>IF('Base Bid'!B37="","",'Base Bid'!B37)</f>
        <v/>
      </c>
    </row>
    <row r="443" spans="1:5" x14ac:dyDescent="0.15">
      <c r="A443" s="170" t="str">
        <f t="shared" si="2"/>
        <v/>
      </c>
      <c r="C443" s="170" t="str">
        <f t="shared" si="3"/>
        <v/>
      </c>
      <c r="D443" s="170" t="str">
        <f>IF('Base Bid'!G38="","",D97)</f>
        <v/>
      </c>
      <c r="E443" s="170" t="str">
        <f>IF('Base Bid'!B38="","",'Base Bid'!B38)</f>
        <v/>
      </c>
    </row>
    <row r="444" spans="1:5" x14ac:dyDescent="0.15">
      <c r="A444" s="170" t="str">
        <f t="shared" si="2"/>
        <v/>
      </c>
      <c r="C444" s="170" t="str">
        <f t="shared" si="3"/>
        <v/>
      </c>
      <c r="D444" s="170" t="str">
        <f>IF('Base Bid'!G39="","",D98)</f>
        <v/>
      </c>
      <c r="E444" s="170" t="str">
        <f>IF('Base Bid'!B39="","",'Base Bid'!B39)</f>
        <v/>
      </c>
    </row>
    <row r="445" spans="1:5" x14ac:dyDescent="0.15">
      <c r="A445" s="170" t="str">
        <f t="shared" si="2"/>
        <v/>
      </c>
      <c r="C445" s="170" t="str">
        <f t="shared" si="3"/>
        <v/>
      </c>
      <c r="D445" s="170" t="str">
        <f>IF('Base Bid'!G40="","",D99)</f>
        <v/>
      </c>
      <c r="E445" s="170" t="str">
        <f>IF('Base Bid'!B40="","",'Base Bid'!B40)</f>
        <v/>
      </c>
    </row>
    <row r="446" spans="1:5" x14ac:dyDescent="0.15">
      <c r="A446" s="170" t="str">
        <f t="shared" si="2"/>
        <v/>
      </c>
      <c r="C446" s="170" t="str">
        <f t="shared" si="3"/>
        <v/>
      </c>
      <c r="D446" s="170" t="str">
        <f>IF('Base Bid'!G41="","",D100)</f>
        <v/>
      </c>
      <c r="E446" s="170" t="str">
        <f>IF('Base Bid'!B41="","",'Base Bid'!B41)</f>
        <v/>
      </c>
    </row>
    <row r="447" spans="1:5" x14ac:dyDescent="0.15">
      <c r="A447" s="170" t="str">
        <f t="shared" si="2"/>
        <v/>
      </c>
      <c r="C447" s="170" t="str">
        <f t="shared" si="3"/>
        <v/>
      </c>
      <c r="D447" s="170" t="str">
        <f>IF('Base Bid'!G42="","",D101)</f>
        <v/>
      </c>
      <c r="E447" s="170" t="str">
        <f>IF('Base Bid'!B42="","",'Base Bid'!B42)</f>
        <v/>
      </c>
    </row>
    <row r="448" spans="1:5" x14ac:dyDescent="0.15">
      <c r="A448" s="170" t="str">
        <f t="shared" si="2"/>
        <v/>
      </c>
      <c r="C448" s="170" t="str">
        <f t="shared" si="3"/>
        <v/>
      </c>
      <c r="D448" s="170" t="str">
        <f>IF('Base Bid'!G43="","",D102)</f>
        <v/>
      </c>
      <c r="E448" s="170" t="str">
        <f>IF('Base Bid'!B43="","",'Base Bid'!B43)</f>
        <v/>
      </c>
    </row>
    <row r="449" spans="1:5" x14ac:dyDescent="0.15">
      <c r="A449" s="170" t="str">
        <f t="shared" si="2"/>
        <v/>
      </c>
      <c r="C449" s="170" t="str">
        <f t="shared" si="3"/>
        <v/>
      </c>
      <c r="D449" s="170" t="str">
        <f>IF('Base Bid'!G44="","",D103)</f>
        <v/>
      </c>
      <c r="E449" s="170" t="str">
        <f>IF('Base Bid'!B44="","",'Base Bid'!B44)</f>
        <v/>
      </c>
    </row>
    <row r="450" spans="1:5" x14ac:dyDescent="0.15">
      <c r="A450" s="170" t="str">
        <f t="shared" si="2"/>
        <v/>
      </c>
      <c r="C450" s="170" t="str">
        <f t="shared" si="3"/>
        <v/>
      </c>
      <c r="D450" s="170" t="str">
        <f>IF('Base Bid'!G45="","",D104)</f>
        <v/>
      </c>
      <c r="E450" s="170" t="str">
        <f>IF('Base Bid'!B45="","",'Base Bid'!B45)</f>
        <v/>
      </c>
    </row>
    <row r="451" spans="1:5" x14ac:dyDescent="0.15">
      <c r="A451" s="170" t="str">
        <f t="shared" si="2"/>
        <v/>
      </c>
      <c r="C451" s="170" t="str">
        <f t="shared" si="3"/>
        <v/>
      </c>
      <c r="D451" s="170" t="str">
        <f>IF('Base Bid'!G46="","",D105)</f>
        <v/>
      </c>
      <c r="E451" s="170" t="str">
        <f>IF('Base Bid'!B46="","",'Base Bid'!B46)</f>
        <v/>
      </c>
    </row>
    <row r="452" spans="1:5" x14ac:dyDescent="0.15">
      <c r="A452" s="170" t="str">
        <f t="shared" si="2"/>
        <v/>
      </c>
      <c r="C452" s="170" t="str">
        <f t="shared" si="3"/>
        <v/>
      </c>
      <c r="D452" s="170" t="str">
        <f>IF('Base Bid'!G47="","",D106)</f>
        <v/>
      </c>
      <c r="E452" s="170" t="str">
        <f>IF('Base Bid'!B47="","",'Base Bid'!B47)</f>
        <v/>
      </c>
    </row>
    <row r="453" spans="1:5" x14ac:dyDescent="0.15">
      <c r="A453" s="170" t="str">
        <f t="shared" si="2"/>
        <v/>
      </c>
      <c r="C453" s="170" t="str">
        <f t="shared" si="3"/>
        <v/>
      </c>
      <c r="D453" s="170" t="str">
        <f>IF('Base Bid'!G48="","",D107)</f>
        <v/>
      </c>
      <c r="E453" s="170" t="str">
        <f>IF('Base Bid'!B48="","",'Base Bid'!B48)</f>
        <v/>
      </c>
    </row>
    <row r="454" spans="1:5" x14ac:dyDescent="0.15">
      <c r="A454" s="170" t="str">
        <f t="shared" si="2"/>
        <v/>
      </c>
      <c r="C454" s="170" t="str">
        <f t="shared" si="3"/>
        <v/>
      </c>
      <c r="D454" s="170" t="str">
        <f>IF('Base Bid'!G49="","",D108)</f>
        <v/>
      </c>
      <c r="E454" s="170" t="str">
        <f>IF('Base Bid'!B49="","",'Base Bid'!B49)</f>
        <v/>
      </c>
    </row>
    <row r="455" spans="1:5" x14ac:dyDescent="0.15">
      <c r="A455" s="170" t="str">
        <f t="shared" si="2"/>
        <v/>
      </c>
      <c r="C455" s="170" t="str">
        <f t="shared" si="3"/>
        <v/>
      </c>
      <c r="D455" s="170" t="str">
        <f>IF('Base Bid'!G50="","",D109)</f>
        <v/>
      </c>
      <c r="E455" s="170" t="str">
        <f>IF('Base Bid'!B50="","",'Base Bid'!B50)</f>
        <v/>
      </c>
    </row>
    <row r="456" spans="1:5" x14ac:dyDescent="0.15">
      <c r="A456" s="170" t="str">
        <f t="shared" si="2"/>
        <v/>
      </c>
      <c r="C456" s="170" t="str">
        <f t="shared" si="3"/>
        <v/>
      </c>
      <c r="D456" s="170" t="str">
        <f>IF('Base Bid'!G51="","",D110)</f>
        <v/>
      </c>
      <c r="E456" s="170" t="str">
        <f>IF('Base Bid'!B51="","",'Base Bid'!B51)</f>
        <v/>
      </c>
    </row>
    <row r="457" spans="1:5" x14ac:dyDescent="0.15">
      <c r="A457" s="170" t="str">
        <f t="shared" si="2"/>
        <v/>
      </c>
      <c r="C457" s="170" t="str">
        <f t="shared" si="3"/>
        <v/>
      </c>
      <c r="D457" s="170" t="str">
        <f>IF('Base Bid'!G52="","",D111)</f>
        <v/>
      </c>
      <c r="E457" s="170" t="str">
        <f>IF('Base Bid'!B52="","",'Base Bid'!B52)</f>
        <v/>
      </c>
    </row>
    <row r="458" spans="1:5" x14ac:dyDescent="0.15">
      <c r="A458" s="170" t="str">
        <f t="shared" si="2"/>
        <v/>
      </c>
      <c r="C458" s="170" t="str">
        <f t="shared" si="3"/>
        <v/>
      </c>
      <c r="D458" s="170" t="str">
        <f>IF('Base Bid'!G53="","",D112)</f>
        <v/>
      </c>
      <c r="E458" s="170" t="str">
        <f>IF('Base Bid'!B53="","",'Base Bid'!B53)</f>
        <v/>
      </c>
    </row>
    <row r="459" spans="1:5" x14ac:dyDescent="0.15">
      <c r="A459" s="170" t="str">
        <f t="shared" si="2"/>
        <v/>
      </c>
      <c r="C459" s="170" t="str">
        <f t="shared" si="3"/>
        <v/>
      </c>
      <c r="D459" s="170" t="str">
        <f>IF('Base Bid'!G54="","",D113)</f>
        <v/>
      </c>
      <c r="E459" s="170" t="str">
        <f>IF('Base Bid'!B54="","",'Base Bid'!B54)</f>
        <v/>
      </c>
    </row>
    <row r="460" spans="1:5" x14ac:dyDescent="0.15">
      <c r="A460" s="170" t="str">
        <f t="shared" si="2"/>
        <v/>
      </c>
      <c r="C460" s="170" t="str">
        <f t="shared" si="3"/>
        <v/>
      </c>
      <c r="D460" s="170" t="str">
        <f>IF('Base Bid'!G55="","",D114)</f>
        <v/>
      </c>
      <c r="E460" s="170" t="str">
        <f>IF('Base Bid'!B55="","",'Base Bid'!B55)</f>
        <v/>
      </c>
    </row>
    <row r="461" spans="1:5" x14ac:dyDescent="0.15">
      <c r="A461" s="170" t="str">
        <f t="shared" si="2"/>
        <v/>
      </c>
      <c r="C461" s="170" t="str">
        <f t="shared" si="3"/>
        <v/>
      </c>
      <c r="D461" s="170" t="str">
        <f>IF('Base Bid'!G56="","",D115)</f>
        <v/>
      </c>
      <c r="E461" s="170" t="str">
        <f>IF('Base Bid'!B56="","",'Base Bid'!B56)</f>
        <v/>
      </c>
    </row>
    <row r="462" spans="1:5" x14ac:dyDescent="0.15">
      <c r="A462" s="170" t="str">
        <f t="shared" si="2"/>
        <v/>
      </c>
      <c r="C462" s="170" t="str">
        <f t="shared" si="3"/>
        <v/>
      </c>
      <c r="D462" s="170" t="str">
        <f>IF('Base Bid'!G57="","",D116)</f>
        <v/>
      </c>
      <c r="E462" s="170" t="str">
        <f>IF('Base Bid'!B57="","",'Base Bid'!B57)</f>
        <v/>
      </c>
    </row>
    <row r="463" spans="1:5" x14ac:dyDescent="0.15">
      <c r="A463" s="170" t="str">
        <f t="shared" si="2"/>
        <v/>
      </c>
      <c r="C463" s="170" t="str">
        <f t="shared" si="3"/>
        <v/>
      </c>
      <c r="D463" s="170" t="str">
        <f>IF('Base Bid'!G58="","",D117)</f>
        <v/>
      </c>
      <c r="E463" s="170" t="str">
        <f>IF('Base Bid'!B58="","",'Base Bid'!B58)</f>
        <v/>
      </c>
    </row>
    <row r="464" spans="1:5" x14ac:dyDescent="0.15">
      <c r="A464" s="170" t="str">
        <f t="shared" si="2"/>
        <v/>
      </c>
      <c r="C464" s="170" t="str">
        <f t="shared" si="3"/>
        <v/>
      </c>
      <c r="D464" s="170" t="str">
        <f>IF('Base Bid'!G59="","",D118)</f>
        <v/>
      </c>
      <c r="E464" s="170" t="str">
        <f>IF('Base Bid'!B59="","",'Base Bid'!B59)</f>
        <v/>
      </c>
    </row>
    <row r="465" spans="1:12" x14ac:dyDescent="0.15">
      <c r="A465" s="170" t="str">
        <f t="shared" si="2"/>
        <v/>
      </c>
      <c r="C465" s="170" t="str">
        <f t="shared" si="3"/>
        <v/>
      </c>
      <c r="D465" s="170" t="str">
        <f>IF('Base Bid'!G60="","",D119)</f>
        <v/>
      </c>
      <c r="E465" s="170" t="str">
        <f>IF('Base Bid'!B60="","",'Base Bid'!B60)</f>
        <v/>
      </c>
    </row>
    <row r="466" spans="1:12" x14ac:dyDescent="0.15">
      <c r="A466" s="170" t="str">
        <f t="shared" si="2"/>
        <v/>
      </c>
      <c r="C466" s="170" t="str">
        <f t="shared" si="3"/>
        <v/>
      </c>
      <c r="D466" s="170" t="str">
        <f>IF('Base Bid'!G61="","",D120)</f>
        <v/>
      </c>
      <c r="E466" s="170" t="str">
        <f>IF('Base Bid'!B61="","",'Base Bid'!B61)</f>
        <v/>
      </c>
    </row>
    <row r="467" spans="1:12" x14ac:dyDescent="0.15">
      <c r="A467" s="170" t="str">
        <f t="shared" si="2"/>
        <v/>
      </c>
      <c r="C467" s="170" t="str">
        <f t="shared" si="3"/>
        <v/>
      </c>
      <c r="D467" s="170" t="str">
        <f>IF('Base Bid'!G62="","",D121)</f>
        <v/>
      </c>
      <c r="E467" s="170" t="str">
        <f>IF('Base Bid'!B62="","",'Base Bid'!B62)</f>
        <v/>
      </c>
    </row>
    <row r="468" spans="1:12" x14ac:dyDescent="0.15">
      <c r="A468" s="170" t="str">
        <f t="shared" si="2"/>
        <v/>
      </c>
      <c r="C468" s="170" t="str">
        <f t="shared" si="3"/>
        <v/>
      </c>
      <c r="D468" s="170" t="str">
        <f>IF('Base Bid'!G63="","",D122)</f>
        <v/>
      </c>
      <c r="E468" s="170" t="str">
        <f>IF('Base Bid'!B63="","",'Base Bid'!B63)</f>
        <v/>
      </c>
    </row>
    <row r="469" spans="1:12" x14ac:dyDescent="0.15">
      <c r="A469" s="170" t="str">
        <f t="shared" si="2"/>
        <v/>
      </c>
      <c r="C469" s="170" t="str">
        <f t="shared" si="3"/>
        <v/>
      </c>
      <c r="D469" s="170" t="str">
        <f>IF('Base Bid'!G64="","",D123)</f>
        <v/>
      </c>
      <c r="E469" s="170" t="str">
        <f>IF('Base Bid'!B64="","",'Base Bid'!B64)</f>
        <v/>
      </c>
    </row>
    <row r="470" spans="1:12" x14ac:dyDescent="0.15">
      <c r="A470" s="170" t="str">
        <f t="shared" si="2"/>
        <v/>
      </c>
      <c r="C470" s="170" t="str">
        <f t="shared" si="3"/>
        <v/>
      </c>
      <c r="D470" s="170" t="str">
        <f>IF('Base Bid'!G65="","",D124)</f>
        <v/>
      </c>
      <c r="E470" s="170" t="str">
        <f>IF('Base Bid'!B65="","",'Base Bid'!B65)</f>
        <v/>
      </c>
    </row>
    <row r="471" spans="1:12" x14ac:dyDescent="0.15">
      <c r="A471" s="170" t="str">
        <f t="shared" si="2"/>
        <v/>
      </c>
      <c r="C471" s="170" t="str">
        <f t="shared" si="3"/>
        <v/>
      </c>
      <c r="D471" s="170" t="str">
        <f>IF('Base Bid'!G66="","",D125)</f>
        <v/>
      </c>
      <c r="E471" s="170" t="str">
        <f>IF('Base Bid'!B66="","",'Base Bid'!B66)</f>
        <v/>
      </c>
    </row>
    <row r="472" spans="1:12" x14ac:dyDescent="0.15">
      <c r="A472" s="170" t="str">
        <f t="shared" si="2"/>
        <v/>
      </c>
      <c r="C472" s="170" t="str">
        <f t="shared" si="3"/>
        <v/>
      </c>
      <c r="D472" s="170" t="str">
        <f>IF('Base Bid'!G67="","",D126)</f>
        <v/>
      </c>
      <c r="E472" s="170" t="str">
        <f>IF('Base Bid'!B67="","",'Base Bid'!B67)</f>
        <v/>
      </c>
    </row>
    <row r="473" spans="1:12" x14ac:dyDescent="0.15">
      <c r="A473" s="170" t="str">
        <f t="shared" si="2"/>
        <v/>
      </c>
      <c r="C473" s="170" t="str">
        <f t="shared" si="3"/>
        <v/>
      </c>
      <c r="D473" s="170" t="str">
        <f>IF('Base Bid'!G68="","",D127)</f>
        <v/>
      </c>
      <c r="E473" s="170" t="str">
        <f>IF('Base Bid'!B68="","",'Base Bid'!B68)</f>
        <v/>
      </c>
    </row>
    <row r="474" spans="1:12" ht="9" thickBot="1" x14ac:dyDescent="0.2">
      <c r="A474" s="280" t="str">
        <f t="shared" si="2"/>
        <v/>
      </c>
      <c r="B474" s="280"/>
      <c r="C474" s="280" t="str">
        <f t="shared" si="3"/>
        <v/>
      </c>
      <c r="D474" s="280" t="str">
        <f>IF('Base Bid'!G69="","",D128)</f>
        <v/>
      </c>
      <c r="E474" s="280" t="str">
        <f>IF('Base Bid'!B69="","",'Base Bid'!B69)</f>
        <v/>
      </c>
      <c r="F474" s="280"/>
      <c r="G474" s="280"/>
      <c r="H474" s="280"/>
      <c r="I474" s="283"/>
      <c r="J474" s="283"/>
      <c r="K474" s="280"/>
      <c r="L474" s="280"/>
    </row>
    <row r="475" spans="1:12" ht="9" thickTop="1" x14ac:dyDescent="0.15">
      <c r="A475" s="170" t="str">
        <f t="shared" ref="A475:A580" si="4">IF(D475="","","2")</f>
        <v/>
      </c>
      <c r="C475" s="170" t="str">
        <f t="shared" ref="C475:C580" si="5">IF(D475="","","10")</f>
        <v/>
      </c>
      <c r="D475" s="170" t="str">
        <f>IF('Base Bid'!G70="","",'Base Bid'!G70)</f>
        <v/>
      </c>
    </row>
    <row r="476" spans="1:12" ht="9" thickBot="1" x14ac:dyDescent="0.2">
      <c r="A476" s="280"/>
      <c r="B476" s="280" t="s">
        <v>990</v>
      </c>
      <c r="C476" s="280"/>
      <c r="D476" s="280"/>
      <c r="E476" s="280"/>
      <c r="F476" s="280"/>
      <c r="G476" s="280"/>
      <c r="H476" s="280"/>
      <c r="I476" s="283"/>
      <c r="J476" s="283"/>
      <c r="K476" s="280"/>
      <c r="L476" s="280"/>
    </row>
    <row r="477" spans="1:12" ht="9" thickTop="1" x14ac:dyDescent="0.15">
      <c r="A477" s="170" t="str">
        <f t="shared" si="4"/>
        <v>2</v>
      </c>
      <c r="C477" s="170" t="str">
        <f t="shared" si="5"/>
        <v>10</v>
      </c>
      <c r="D477" s="170" t="str">
        <f>IF('Base Bid'!G72="","",'Base Bid'!G72)</f>
        <v>40-030-151</v>
      </c>
      <c r="E477" s="170" t="str">
        <f>IF('Base Bid'!B72="","",'Base Bid'!B72)</f>
        <v>Piping Foreman hooking up coils</v>
      </c>
    </row>
    <row r="478" spans="1:12" x14ac:dyDescent="0.15">
      <c r="A478" s="170" t="str">
        <f t="shared" ref="A478:A526" si="6">IF(D478="","","2")</f>
        <v>2</v>
      </c>
      <c r="C478" s="170" t="str">
        <f t="shared" ref="C478:C526" si="7">IF(D478="","","10")</f>
        <v>10</v>
      </c>
      <c r="D478" s="170" t="str">
        <f>IF('Base Bid'!G73="","",'Base Bid'!G73)</f>
        <v>40-030-152</v>
      </c>
      <c r="E478" s="170" t="str">
        <f>IF('Base Bid'!B73="","",'Base Bid'!B73)</f>
        <v>Piping JM hooking up coils</v>
      </c>
    </row>
    <row r="479" spans="1:12" x14ac:dyDescent="0.15">
      <c r="A479" s="170" t="str">
        <f t="shared" si="6"/>
        <v/>
      </c>
      <c r="C479" s="170" t="str">
        <f t="shared" si="7"/>
        <v/>
      </c>
      <c r="D479" s="170" t="str">
        <f>IF('Base Bid'!G74="","",'Base Bid'!G74)</f>
        <v/>
      </c>
      <c r="E479" s="170" t="str">
        <f>IF('Base Bid'!B74="","",'Base Bid'!B74)</f>
        <v/>
      </c>
    </row>
    <row r="480" spans="1:12" x14ac:dyDescent="0.15">
      <c r="A480" s="170" t="str">
        <f t="shared" si="6"/>
        <v/>
      </c>
      <c r="C480" s="170" t="str">
        <f t="shared" si="7"/>
        <v/>
      </c>
      <c r="D480" s="170" t="str">
        <f>IF('Base Bid'!G75="","",'Base Bid'!G75)</f>
        <v/>
      </c>
      <c r="E480" s="170" t="str">
        <f>IF('Base Bid'!B75="","",'Base Bid'!B75)</f>
        <v/>
      </c>
    </row>
    <row r="481" spans="1:5" x14ac:dyDescent="0.15">
      <c r="A481" s="170" t="str">
        <f t="shared" si="6"/>
        <v/>
      </c>
      <c r="C481" s="170" t="str">
        <f t="shared" si="7"/>
        <v/>
      </c>
      <c r="D481" s="170" t="str">
        <f>IF('Base Bid'!G76="","",'Base Bid'!G76)</f>
        <v/>
      </c>
      <c r="E481" s="170" t="str">
        <f>IF('Base Bid'!B76="","",'Base Bid'!B76)</f>
        <v/>
      </c>
    </row>
    <row r="482" spans="1:5" x14ac:dyDescent="0.15">
      <c r="A482" s="170" t="str">
        <f t="shared" si="6"/>
        <v/>
      </c>
      <c r="C482" s="170" t="str">
        <f t="shared" si="7"/>
        <v/>
      </c>
      <c r="D482" s="170" t="str">
        <f>IF('Base Bid'!G77="","",'Base Bid'!G77)</f>
        <v/>
      </c>
      <c r="E482" s="170" t="str">
        <f>IF('Base Bid'!B77="","",'Base Bid'!B77)</f>
        <v/>
      </c>
    </row>
    <row r="483" spans="1:5" x14ac:dyDescent="0.15">
      <c r="A483" s="170" t="str">
        <f t="shared" si="6"/>
        <v/>
      </c>
      <c r="C483" s="170" t="str">
        <f t="shared" si="7"/>
        <v/>
      </c>
      <c r="D483" s="170" t="str">
        <f>IF('Base Bid'!G78="","",'Base Bid'!G78)</f>
        <v/>
      </c>
      <c r="E483" s="170" t="str">
        <f>IF('Base Bid'!B78="","",'Base Bid'!B78)</f>
        <v/>
      </c>
    </row>
    <row r="484" spans="1:5" x14ac:dyDescent="0.15">
      <c r="A484" s="170" t="str">
        <f t="shared" si="6"/>
        <v/>
      </c>
      <c r="C484" s="170" t="str">
        <f t="shared" si="7"/>
        <v/>
      </c>
      <c r="D484" s="170" t="str">
        <f>IF('Base Bid'!G79="","",'Base Bid'!G79)</f>
        <v/>
      </c>
      <c r="E484" s="170" t="str">
        <f>IF('Base Bid'!B79="","",'Base Bid'!B79)</f>
        <v/>
      </c>
    </row>
    <row r="485" spans="1:5" x14ac:dyDescent="0.15">
      <c r="A485" s="170" t="str">
        <f t="shared" si="6"/>
        <v/>
      </c>
      <c r="C485" s="170" t="str">
        <f t="shared" si="7"/>
        <v/>
      </c>
      <c r="D485" s="170" t="str">
        <f>IF('Base Bid'!G80="","",'Base Bid'!G80)</f>
        <v/>
      </c>
      <c r="E485" s="170" t="str">
        <f>IF('Base Bid'!B80="","",'Base Bid'!B80)</f>
        <v/>
      </c>
    </row>
    <row r="486" spans="1:5" x14ac:dyDescent="0.15">
      <c r="A486" s="170" t="str">
        <f t="shared" si="6"/>
        <v/>
      </c>
      <c r="C486" s="170" t="str">
        <f t="shared" si="7"/>
        <v/>
      </c>
      <c r="D486" s="170" t="str">
        <f>IF('Base Bid'!G81="","",'Base Bid'!G81)</f>
        <v/>
      </c>
      <c r="E486" s="170" t="str">
        <f>IF('Base Bid'!B81="","",'Base Bid'!B81)</f>
        <v/>
      </c>
    </row>
    <row r="487" spans="1:5" x14ac:dyDescent="0.15">
      <c r="A487" s="170" t="str">
        <f t="shared" si="6"/>
        <v/>
      </c>
      <c r="C487" s="170" t="str">
        <f t="shared" si="7"/>
        <v/>
      </c>
      <c r="D487" s="170" t="str">
        <f>IF('Base Bid'!G82="","",'Base Bid'!G82)</f>
        <v/>
      </c>
      <c r="E487" s="170" t="str">
        <f>IF('Base Bid'!B82="","",'Base Bid'!B82)</f>
        <v/>
      </c>
    </row>
    <row r="488" spans="1:5" x14ac:dyDescent="0.15">
      <c r="A488" s="170" t="str">
        <f t="shared" si="6"/>
        <v/>
      </c>
      <c r="C488" s="170" t="str">
        <f t="shared" si="7"/>
        <v/>
      </c>
      <c r="D488" s="170" t="str">
        <f>IF('Base Bid'!G83="","",'Base Bid'!G83)</f>
        <v/>
      </c>
      <c r="E488" s="170" t="str">
        <f>IF('Base Bid'!B83="","",'Base Bid'!B83)</f>
        <v/>
      </c>
    </row>
    <row r="489" spans="1:5" x14ac:dyDescent="0.15">
      <c r="A489" s="170" t="str">
        <f t="shared" si="6"/>
        <v/>
      </c>
      <c r="C489" s="170" t="str">
        <f t="shared" si="7"/>
        <v/>
      </c>
      <c r="D489" s="170" t="str">
        <f>IF('Base Bid'!G84="","",'Base Bid'!G84)</f>
        <v/>
      </c>
      <c r="E489" s="170" t="str">
        <f>IF('Base Bid'!B84="","",'Base Bid'!B84)</f>
        <v/>
      </c>
    </row>
    <row r="490" spans="1:5" x14ac:dyDescent="0.15">
      <c r="A490" s="170" t="str">
        <f t="shared" si="6"/>
        <v/>
      </c>
      <c r="C490" s="170" t="str">
        <f t="shared" si="7"/>
        <v/>
      </c>
      <c r="D490" s="170" t="str">
        <f>IF('Base Bid'!G85="","",'Base Bid'!G85)</f>
        <v/>
      </c>
      <c r="E490" s="170" t="str">
        <f>IF('Base Bid'!B85="","",'Base Bid'!B85)</f>
        <v/>
      </c>
    </row>
    <row r="491" spans="1:5" x14ac:dyDescent="0.15">
      <c r="A491" s="170" t="str">
        <f t="shared" si="6"/>
        <v/>
      </c>
      <c r="C491" s="170" t="str">
        <f t="shared" si="7"/>
        <v/>
      </c>
      <c r="D491" s="170" t="str">
        <f>IF('Base Bid'!G86="","",'Base Bid'!G86)</f>
        <v/>
      </c>
      <c r="E491" s="170" t="str">
        <f>IF('Base Bid'!B86="","",'Base Bid'!B86)</f>
        <v/>
      </c>
    </row>
    <row r="492" spans="1:5" x14ac:dyDescent="0.15">
      <c r="A492" s="170" t="str">
        <f t="shared" si="6"/>
        <v/>
      </c>
      <c r="C492" s="170" t="str">
        <f t="shared" si="7"/>
        <v/>
      </c>
      <c r="D492" s="170" t="str">
        <f>IF('Base Bid'!G87="","",'Base Bid'!G87)</f>
        <v/>
      </c>
      <c r="E492" s="170" t="str">
        <f>IF('Base Bid'!B87="","",'Base Bid'!B87)</f>
        <v/>
      </c>
    </row>
    <row r="493" spans="1:5" x14ac:dyDescent="0.15">
      <c r="A493" s="170" t="str">
        <f t="shared" si="6"/>
        <v/>
      </c>
      <c r="C493" s="170" t="str">
        <f t="shared" si="7"/>
        <v/>
      </c>
      <c r="D493" s="170" t="str">
        <f>IF('Base Bid'!G88="","",'Base Bid'!G88)</f>
        <v/>
      </c>
      <c r="E493" s="170" t="str">
        <f>IF('Base Bid'!B88="","",'Base Bid'!B88)</f>
        <v/>
      </c>
    </row>
    <row r="494" spans="1:5" x14ac:dyDescent="0.15">
      <c r="A494" s="170" t="str">
        <f t="shared" si="6"/>
        <v/>
      </c>
      <c r="C494" s="170" t="str">
        <f t="shared" si="7"/>
        <v/>
      </c>
      <c r="D494" s="170" t="str">
        <f>IF('Base Bid'!G89="","",'Base Bid'!G89)</f>
        <v/>
      </c>
      <c r="E494" s="170" t="str">
        <f>IF('Base Bid'!B89="","",'Base Bid'!B89)</f>
        <v/>
      </c>
    </row>
    <row r="495" spans="1:5" x14ac:dyDescent="0.15">
      <c r="A495" s="170" t="str">
        <f t="shared" si="6"/>
        <v/>
      </c>
      <c r="C495" s="170" t="str">
        <f t="shared" si="7"/>
        <v/>
      </c>
      <c r="D495" s="170" t="str">
        <f>IF('Base Bid'!G90="","",'Base Bid'!G90)</f>
        <v/>
      </c>
      <c r="E495" s="170" t="str">
        <f>IF('Base Bid'!B90="","",'Base Bid'!B90)</f>
        <v/>
      </c>
    </row>
    <row r="496" spans="1:5" x14ac:dyDescent="0.15">
      <c r="A496" s="170" t="str">
        <f t="shared" si="6"/>
        <v/>
      </c>
      <c r="C496" s="170" t="str">
        <f t="shared" si="7"/>
        <v/>
      </c>
      <c r="D496" s="170" t="str">
        <f>IF('Base Bid'!G91="","",'Base Bid'!G91)</f>
        <v/>
      </c>
      <c r="E496" s="170" t="str">
        <f>IF('Base Bid'!B91="","",'Base Bid'!B91)</f>
        <v/>
      </c>
    </row>
    <row r="497" spans="1:5" x14ac:dyDescent="0.15">
      <c r="A497" s="170" t="str">
        <f t="shared" si="6"/>
        <v/>
      </c>
      <c r="C497" s="170" t="str">
        <f t="shared" si="7"/>
        <v/>
      </c>
      <c r="D497" s="170" t="str">
        <f>IF('Base Bid'!G92="","",'Base Bid'!G92)</f>
        <v/>
      </c>
      <c r="E497" s="170" t="str">
        <f>IF('Base Bid'!B92="","",'Base Bid'!B92)</f>
        <v/>
      </c>
    </row>
    <row r="498" spans="1:5" x14ac:dyDescent="0.15">
      <c r="A498" s="170" t="str">
        <f t="shared" si="6"/>
        <v/>
      </c>
      <c r="C498" s="170" t="str">
        <f t="shared" si="7"/>
        <v/>
      </c>
      <c r="D498" s="170" t="str">
        <f>IF('Base Bid'!G93="","",'Base Bid'!G93)</f>
        <v/>
      </c>
      <c r="E498" s="170" t="str">
        <f>IF('Base Bid'!B93="","",'Base Bid'!B93)</f>
        <v/>
      </c>
    </row>
    <row r="499" spans="1:5" x14ac:dyDescent="0.15">
      <c r="A499" s="170" t="str">
        <f t="shared" si="6"/>
        <v/>
      </c>
      <c r="C499" s="170" t="str">
        <f t="shared" si="7"/>
        <v/>
      </c>
      <c r="D499" s="170" t="str">
        <f>IF('Base Bid'!G94="","",'Base Bid'!G94)</f>
        <v/>
      </c>
      <c r="E499" s="170" t="str">
        <f>IF('Base Bid'!B94="","",'Base Bid'!B94)</f>
        <v/>
      </c>
    </row>
    <row r="500" spans="1:5" x14ac:dyDescent="0.15">
      <c r="A500" s="170" t="str">
        <f t="shared" si="6"/>
        <v/>
      </c>
      <c r="C500" s="170" t="str">
        <f t="shared" si="7"/>
        <v/>
      </c>
      <c r="D500" s="170" t="str">
        <f>IF('Base Bid'!G95="","",'Base Bid'!G95)</f>
        <v/>
      </c>
      <c r="E500" s="170" t="str">
        <f>IF('Base Bid'!B95="","",'Base Bid'!B95)</f>
        <v/>
      </c>
    </row>
    <row r="501" spans="1:5" x14ac:dyDescent="0.15">
      <c r="A501" s="170" t="str">
        <f t="shared" si="6"/>
        <v/>
      </c>
      <c r="C501" s="170" t="str">
        <f t="shared" si="7"/>
        <v/>
      </c>
      <c r="D501" s="170" t="str">
        <f>IF('Base Bid'!G96="","",'Base Bid'!G96)</f>
        <v/>
      </c>
      <c r="E501" s="170" t="str">
        <f>IF('Base Bid'!B96="","",'Base Bid'!B96)</f>
        <v/>
      </c>
    </row>
    <row r="502" spans="1:5" x14ac:dyDescent="0.15">
      <c r="A502" s="170" t="str">
        <f t="shared" si="6"/>
        <v/>
      </c>
      <c r="C502" s="170" t="str">
        <f t="shared" si="7"/>
        <v/>
      </c>
      <c r="D502" s="170" t="str">
        <f>IF('Base Bid'!G97="","",'Base Bid'!G97)</f>
        <v/>
      </c>
      <c r="E502" s="170" t="str">
        <f>IF('Base Bid'!B97="","",'Base Bid'!B97)</f>
        <v/>
      </c>
    </row>
    <row r="503" spans="1:5" x14ac:dyDescent="0.15">
      <c r="A503" s="170" t="str">
        <f t="shared" si="6"/>
        <v/>
      </c>
      <c r="C503" s="170" t="str">
        <f t="shared" si="7"/>
        <v/>
      </c>
      <c r="D503" s="170" t="str">
        <f>IF('Base Bid'!G98="","",'Base Bid'!G98)</f>
        <v/>
      </c>
      <c r="E503" s="170" t="str">
        <f>IF('Base Bid'!B98="","",'Base Bid'!B98)</f>
        <v/>
      </c>
    </row>
    <row r="504" spans="1:5" x14ac:dyDescent="0.15">
      <c r="A504" s="170" t="str">
        <f t="shared" si="6"/>
        <v/>
      </c>
      <c r="C504" s="170" t="str">
        <f t="shared" si="7"/>
        <v/>
      </c>
      <c r="D504" s="170" t="str">
        <f>IF('Base Bid'!G99="","",'Base Bid'!G99)</f>
        <v/>
      </c>
      <c r="E504" s="170" t="str">
        <f>IF('Base Bid'!B99="","",'Base Bid'!B99)</f>
        <v/>
      </c>
    </row>
    <row r="505" spans="1:5" x14ac:dyDescent="0.15">
      <c r="A505" s="170" t="str">
        <f t="shared" si="6"/>
        <v/>
      </c>
      <c r="C505" s="170" t="str">
        <f t="shared" si="7"/>
        <v/>
      </c>
      <c r="D505" s="170" t="str">
        <f>IF('Base Bid'!G100="","",'Base Bid'!G100)</f>
        <v/>
      </c>
      <c r="E505" s="170" t="str">
        <f>IF('Base Bid'!B100="","",'Base Bid'!B100)</f>
        <v/>
      </c>
    </row>
    <row r="506" spans="1:5" x14ac:dyDescent="0.15">
      <c r="A506" s="170" t="str">
        <f t="shared" si="6"/>
        <v/>
      </c>
      <c r="C506" s="170" t="str">
        <f t="shared" si="7"/>
        <v/>
      </c>
      <c r="D506" s="170" t="str">
        <f>IF('Base Bid'!G101="","",'Base Bid'!G101)</f>
        <v/>
      </c>
      <c r="E506" s="170" t="str">
        <f>IF('Base Bid'!B101="","",'Base Bid'!B101)</f>
        <v/>
      </c>
    </row>
    <row r="507" spans="1:5" x14ac:dyDescent="0.15">
      <c r="A507" s="170" t="str">
        <f t="shared" si="6"/>
        <v/>
      </c>
      <c r="C507" s="170" t="str">
        <f t="shared" si="7"/>
        <v/>
      </c>
      <c r="D507" s="170" t="str">
        <f>IF('Base Bid'!G102="","",'Base Bid'!G102)</f>
        <v/>
      </c>
      <c r="E507" s="170" t="str">
        <f>IF('Base Bid'!B102="","",'Base Bid'!B102)</f>
        <v/>
      </c>
    </row>
    <row r="508" spans="1:5" x14ac:dyDescent="0.15">
      <c r="A508" s="170" t="str">
        <f t="shared" si="6"/>
        <v/>
      </c>
      <c r="C508" s="170" t="str">
        <f t="shared" si="7"/>
        <v/>
      </c>
      <c r="D508" s="170" t="str">
        <f>IF('Base Bid'!G103="","",'Base Bid'!G103)</f>
        <v/>
      </c>
      <c r="E508" s="170" t="str">
        <f>IF('Base Bid'!B103="","",'Base Bid'!B103)</f>
        <v/>
      </c>
    </row>
    <row r="509" spans="1:5" x14ac:dyDescent="0.15">
      <c r="A509" s="170" t="str">
        <f t="shared" si="6"/>
        <v/>
      </c>
      <c r="C509" s="170" t="str">
        <f t="shared" si="7"/>
        <v/>
      </c>
      <c r="D509" s="170" t="str">
        <f>IF('Base Bid'!G104="","",'Base Bid'!G104)</f>
        <v/>
      </c>
      <c r="E509" s="170" t="str">
        <f>IF('Base Bid'!B104="","",'Base Bid'!B104)</f>
        <v/>
      </c>
    </row>
    <row r="510" spans="1:5" x14ac:dyDescent="0.15">
      <c r="A510" s="170" t="str">
        <f t="shared" si="6"/>
        <v/>
      </c>
      <c r="C510" s="170" t="str">
        <f t="shared" si="7"/>
        <v/>
      </c>
      <c r="D510" s="170" t="str">
        <f>IF('Base Bid'!G105="","",'Base Bid'!G105)</f>
        <v/>
      </c>
      <c r="E510" s="170" t="str">
        <f>IF('Base Bid'!B105="","",'Base Bid'!B105)</f>
        <v/>
      </c>
    </row>
    <row r="511" spans="1:5" x14ac:dyDescent="0.15">
      <c r="A511" s="170" t="str">
        <f t="shared" si="6"/>
        <v/>
      </c>
      <c r="C511" s="170" t="str">
        <f t="shared" si="7"/>
        <v/>
      </c>
      <c r="D511" s="170" t="str">
        <f>IF('Base Bid'!G106="","",'Base Bid'!G106)</f>
        <v/>
      </c>
      <c r="E511" s="170" t="str">
        <f>IF('Base Bid'!B106="","",'Base Bid'!B106)</f>
        <v/>
      </c>
    </row>
    <row r="512" spans="1:5" x14ac:dyDescent="0.15">
      <c r="A512" s="170" t="str">
        <f t="shared" si="6"/>
        <v/>
      </c>
      <c r="C512" s="170" t="str">
        <f t="shared" si="7"/>
        <v/>
      </c>
      <c r="D512" s="170" t="str">
        <f>IF('Base Bid'!G107="","",'Base Bid'!G107)</f>
        <v/>
      </c>
      <c r="E512" s="170" t="str">
        <f>IF('Base Bid'!B107="","",'Base Bid'!B107)</f>
        <v/>
      </c>
    </row>
    <row r="513" spans="1:12" x14ac:dyDescent="0.15">
      <c r="A513" s="170" t="str">
        <f t="shared" si="6"/>
        <v/>
      </c>
      <c r="C513" s="170" t="str">
        <f t="shared" si="7"/>
        <v/>
      </c>
      <c r="D513" s="170" t="str">
        <f>IF('Base Bid'!G108="","",'Base Bid'!G108)</f>
        <v/>
      </c>
      <c r="E513" s="170" t="str">
        <f>IF('Base Bid'!B108="","",'Base Bid'!B108)</f>
        <v/>
      </c>
    </row>
    <row r="514" spans="1:12" x14ac:dyDescent="0.15">
      <c r="A514" s="170" t="str">
        <f t="shared" si="6"/>
        <v/>
      </c>
      <c r="C514" s="170" t="str">
        <f t="shared" si="7"/>
        <v/>
      </c>
      <c r="D514" s="170" t="str">
        <f>IF('Base Bid'!G109="","",'Base Bid'!G109)</f>
        <v/>
      </c>
      <c r="E514" s="170" t="str">
        <f>IF('Base Bid'!B109="","",'Base Bid'!B109)</f>
        <v/>
      </c>
    </row>
    <row r="515" spans="1:12" x14ac:dyDescent="0.15">
      <c r="A515" s="170" t="str">
        <f t="shared" si="6"/>
        <v/>
      </c>
      <c r="C515" s="170" t="str">
        <f t="shared" si="7"/>
        <v/>
      </c>
      <c r="D515" s="170" t="str">
        <f>IF('Base Bid'!G110="","",'Base Bid'!G110)</f>
        <v/>
      </c>
      <c r="E515" s="170" t="str">
        <f>IF('Base Bid'!B110="","",'Base Bid'!B110)</f>
        <v/>
      </c>
    </row>
    <row r="516" spans="1:12" x14ac:dyDescent="0.15">
      <c r="A516" s="170" t="str">
        <f t="shared" si="6"/>
        <v/>
      </c>
      <c r="C516" s="170" t="str">
        <f t="shared" si="7"/>
        <v/>
      </c>
      <c r="D516" s="170" t="str">
        <f>IF('Base Bid'!G111="","",'Base Bid'!G111)</f>
        <v/>
      </c>
      <c r="E516" s="170" t="str">
        <f>IF('Base Bid'!B111="","",'Base Bid'!B111)</f>
        <v/>
      </c>
    </row>
    <row r="517" spans="1:12" x14ac:dyDescent="0.15">
      <c r="A517" s="170" t="str">
        <f t="shared" si="6"/>
        <v/>
      </c>
      <c r="C517" s="170" t="str">
        <f t="shared" si="7"/>
        <v/>
      </c>
      <c r="D517" s="170" t="str">
        <f>IF('Base Bid'!G112="","",'Base Bid'!G112)</f>
        <v/>
      </c>
      <c r="E517" s="170" t="str">
        <f>IF('Base Bid'!B112="","",'Base Bid'!B112)</f>
        <v/>
      </c>
    </row>
    <row r="518" spans="1:12" x14ac:dyDescent="0.15">
      <c r="A518" s="170" t="str">
        <f t="shared" si="6"/>
        <v/>
      </c>
      <c r="C518" s="170" t="str">
        <f t="shared" si="7"/>
        <v/>
      </c>
      <c r="D518" s="170" t="str">
        <f>IF('Base Bid'!G113="","",'Base Bid'!G113)</f>
        <v/>
      </c>
      <c r="E518" s="170" t="str">
        <f>IF('Base Bid'!B113="","",'Base Bid'!B113)</f>
        <v/>
      </c>
    </row>
    <row r="519" spans="1:12" x14ac:dyDescent="0.15">
      <c r="A519" s="170" t="str">
        <f t="shared" si="6"/>
        <v/>
      </c>
      <c r="C519" s="170" t="str">
        <f t="shared" si="7"/>
        <v/>
      </c>
      <c r="D519" s="170" t="str">
        <f>IF('Base Bid'!G114="","",'Base Bid'!G114)</f>
        <v/>
      </c>
      <c r="E519" s="170" t="str">
        <f>IF('Base Bid'!B114="","",'Base Bid'!B114)</f>
        <v/>
      </c>
    </row>
    <row r="520" spans="1:12" x14ac:dyDescent="0.15">
      <c r="A520" s="170" t="str">
        <f t="shared" si="6"/>
        <v/>
      </c>
      <c r="C520" s="170" t="str">
        <f t="shared" si="7"/>
        <v/>
      </c>
      <c r="D520" s="170" t="str">
        <f>IF('Base Bid'!G115="","",'Base Bid'!G115)</f>
        <v/>
      </c>
      <c r="E520" s="170" t="str">
        <f>IF('Base Bid'!B115="","",'Base Bid'!B115)</f>
        <v/>
      </c>
    </row>
    <row r="521" spans="1:12" x14ac:dyDescent="0.15">
      <c r="A521" s="170" t="str">
        <f t="shared" si="6"/>
        <v/>
      </c>
      <c r="C521" s="170" t="str">
        <f t="shared" si="7"/>
        <v/>
      </c>
      <c r="D521" s="170" t="str">
        <f>IF('Base Bid'!G116="","",'Base Bid'!G116)</f>
        <v/>
      </c>
      <c r="E521" s="170" t="str">
        <f>IF('Base Bid'!B116="","",'Base Bid'!B116)</f>
        <v/>
      </c>
    </row>
    <row r="522" spans="1:12" x14ac:dyDescent="0.15">
      <c r="A522" s="170" t="str">
        <f t="shared" si="6"/>
        <v/>
      </c>
      <c r="C522" s="170" t="str">
        <f t="shared" si="7"/>
        <v/>
      </c>
      <c r="D522" s="170" t="str">
        <f>IF('Base Bid'!G117="","",'Base Bid'!G117)</f>
        <v/>
      </c>
      <c r="E522" s="170" t="str">
        <f>IF('Base Bid'!B117="","",'Base Bid'!B117)</f>
        <v/>
      </c>
    </row>
    <row r="523" spans="1:12" x14ac:dyDescent="0.15">
      <c r="A523" s="170" t="str">
        <f t="shared" si="6"/>
        <v/>
      </c>
      <c r="C523" s="170" t="str">
        <f t="shared" si="7"/>
        <v/>
      </c>
      <c r="D523" s="170" t="str">
        <f>IF('Base Bid'!G118="","",'Base Bid'!G118)</f>
        <v/>
      </c>
      <c r="E523" s="170" t="str">
        <f>IF('Base Bid'!B118="","",'Base Bid'!B118)</f>
        <v/>
      </c>
    </row>
    <row r="524" spans="1:12" x14ac:dyDescent="0.15">
      <c r="A524" s="170" t="str">
        <f t="shared" si="6"/>
        <v/>
      </c>
      <c r="C524" s="170" t="str">
        <f t="shared" si="7"/>
        <v/>
      </c>
      <c r="D524" s="170" t="str">
        <f>IF('Base Bid'!G119="","",'Base Bid'!G119)</f>
        <v/>
      </c>
      <c r="E524" s="170" t="str">
        <f>IF('Base Bid'!B119="","",'Base Bid'!B119)</f>
        <v/>
      </c>
    </row>
    <row r="525" spans="1:12" x14ac:dyDescent="0.15">
      <c r="A525" s="170" t="str">
        <f t="shared" si="6"/>
        <v/>
      </c>
      <c r="C525" s="170" t="str">
        <f t="shared" si="7"/>
        <v/>
      </c>
      <c r="D525" s="170" t="str">
        <f>IF('Base Bid'!G120="","",'Base Bid'!G120)</f>
        <v/>
      </c>
      <c r="E525" s="170" t="str">
        <f>IF('Base Bid'!B120="","",'Base Bid'!B120)</f>
        <v/>
      </c>
    </row>
    <row r="526" spans="1:12" ht="9" thickBot="1" x14ac:dyDescent="0.2">
      <c r="A526" s="280" t="str">
        <f t="shared" si="6"/>
        <v/>
      </c>
      <c r="B526" s="280"/>
      <c r="C526" s="280" t="str">
        <f t="shared" si="7"/>
        <v/>
      </c>
      <c r="D526" s="280" t="str">
        <f>IF('Base Bid'!G121="","",'Base Bid'!G121)</f>
        <v/>
      </c>
      <c r="E526" s="280" t="str">
        <f>IF('Base Bid'!B121="","",'Base Bid'!B121)</f>
        <v/>
      </c>
      <c r="F526" s="280"/>
      <c r="G526" s="280"/>
      <c r="H526" s="280"/>
      <c r="I526" s="283"/>
      <c r="J526" s="283"/>
      <c r="K526" s="280"/>
      <c r="L526" s="280"/>
    </row>
    <row r="527" spans="1:12" ht="9.75" thickTop="1" thickBot="1" x14ac:dyDescent="0.2">
      <c r="A527" s="280"/>
      <c r="B527" s="280" t="s">
        <v>991</v>
      </c>
      <c r="C527" s="280"/>
      <c r="D527" s="280"/>
      <c r="E527" s="280"/>
      <c r="F527" s="280"/>
      <c r="G527" s="280"/>
      <c r="H527" s="280"/>
      <c r="I527" s="283"/>
      <c r="J527" s="283"/>
      <c r="K527" s="280"/>
      <c r="L527" s="280"/>
    </row>
    <row r="528" spans="1:12" ht="9" thickTop="1" x14ac:dyDescent="0.15">
      <c r="A528" s="170" t="str">
        <f t="shared" ref="A528:A577" si="8">IF(D528="","","2")</f>
        <v>2</v>
      </c>
      <c r="C528" s="170" t="str">
        <f t="shared" ref="C528:C577" si="9">IF(D528="","","10")</f>
        <v>10</v>
      </c>
      <c r="D528" s="170" t="str">
        <f>IF('Base Bid'!B72="","",D182)</f>
        <v>45-030-151</v>
      </c>
      <c r="E528" s="170" t="str">
        <f>IF('Base Bid'!B72="","",'Base Bid'!B72)</f>
        <v>Piping Foreman hooking up coils</v>
      </c>
    </row>
    <row r="529" spans="1:5" x14ac:dyDescent="0.15">
      <c r="A529" s="170" t="str">
        <f t="shared" si="8"/>
        <v>2</v>
      </c>
      <c r="C529" s="170" t="str">
        <f t="shared" si="9"/>
        <v>10</v>
      </c>
      <c r="D529" s="170" t="str">
        <f>IF('Base Bid'!B73="","",D183)</f>
        <v>45-030-152</v>
      </c>
      <c r="E529" s="170" t="str">
        <f>IF('Base Bid'!B73="","",'Base Bid'!B73)</f>
        <v>Piping JM hooking up coils</v>
      </c>
    </row>
    <row r="530" spans="1:5" x14ac:dyDescent="0.15">
      <c r="A530" s="170" t="str">
        <f t="shared" si="8"/>
        <v/>
      </c>
      <c r="C530" s="170" t="str">
        <f t="shared" si="9"/>
        <v/>
      </c>
      <c r="D530" s="170" t="str">
        <f>IF('Base Bid'!B74="","",D184)</f>
        <v/>
      </c>
      <c r="E530" s="170" t="str">
        <f>IF('Base Bid'!B74="","",'Base Bid'!B74)</f>
        <v/>
      </c>
    </row>
    <row r="531" spans="1:5" x14ac:dyDescent="0.15">
      <c r="A531" s="170" t="str">
        <f t="shared" si="8"/>
        <v/>
      </c>
      <c r="C531" s="170" t="str">
        <f t="shared" si="9"/>
        <v/>
      </c>
      <c r="D531" s="170" t="str">
        <f>IF('Base Bid'!B75="","",D185)</f>
        <v/>
      </c>
      <c r="E531" s="170" t="str">
        <f>IF('Base Bid'!B75="","",'Base Bid'!B75)</f>
        <v/>
      </c>
    </row>
    <row r="532" spans="1:5" x14ac:dyDescent="0.15">
      <c r="A532" s="170" t="str">
        <f t="shared" si="8"/>
        <v/>
      </c>
      <c r="C532" s="170" t="str">
        <f t="shared" si="9"/>
        <v/>
      </c>
      <c r="D532" s="170" t="str">
        <f>IF('Base Bid'!B76="","",D186)</f>
        <v/>
      </c>
      <c r="E532" s="170" t="str">
        <f>IF('Base Bid'!B76="","",'Base Bid'!B76)</f>
        <v/>
      </c>
    </row>
    <row r="533" spans="1:5" x14ac:dyDescent="0.15">
      <c r="A533" s="170" t="str">
        <f t="shared" si="8"/>
        <v/>
      </c>
      <c r="C533" s="170" t="str">
        <f t="shared" si="9"/>
        <v/>
      </c>
      <c r="D533" s="170" t="str">
        <f>IF('Base Bid'!B77="","",D187)</f>
        <v/>
      </c>
      <c r="E533" s="170" t="str">
        <f>IF('Base Bid'!B77="","",'Base Bid'!B77)</f>
        <v/>
      </c>
    </row>
    <row r="534" spans="1:5" x14ac:dyDescent="0.15">
      <c r="A534" s="170" t="str">
        <f t="shared" si="8"/>
        <v/>
      </c>
      <c r="C534" s="170" t="str">
        <f t="shared" si="9"/>
        <v/>
      </c>
      <c r="D534" s="170" t="str">
        <f>IF('Base Bid'!B78="","",D188)</f>
        <v/>
      </c>
      <c r="E534" s="170" t="str">
        <f>IF('Base Bid'!B78="","",'Base Bid'!B78)</f>
        <v/>
      </c>
    </row>
    <row r="535" spans="1:5" x14ac:dyDescent="0.15">
      <c r="A535" s="170" t="str">
        <f t="shared" si="8"/>
        <v/>
      </c>
      <c r="C535" s="170" t="str">
        <f t="shared" si="9"/>
        <v/>
      </c>
      <c r="D535" s="170" t="str">
        <f>IF('Base Bid'!B79="","",D189)</f>
        <v/>
      </c>
      <c r="E535" s="170" t="str">
        <f>IF('Base Bid'!B79="","",'Base Bid'!B79)</f>
        <v/>
      </c>
    </row>
    <row r="536" spans="1:5" x14ac:dyDescent="0.15">
      <c r="A536" s="170" t="str">
        <f t="shared" si="8"/>
        <v/>
      </c>
      <c r="C536" s="170" t="str">
        <f t="shared" si="9"/>
        <v/>
      </c>
      <c r="D536" s="170" t="str">
        <f>IF('Base Bid'!B80="","",D190)</f>
        <v/>
      </c>
      <c r="E536" s="170" t="str">
        <f>IF('Base Bid'!B80="","",'Base Bid'!B80)</f>
        <v/>
      </c>
    </row>
    <row r="537" spans="1:5" x14ac:dyDescent="0.15">
      <c r="A537" s="170" t="str">
        <f t="shared" si="8"/>
        <v/>
      </c>
      <c r="C537" s="170" t="str">
        <f t="shared" si="9"/>
        <v/>
      </c>
      <c r="D537" s="170" t="str">
        <f>IF('Base Bid'!B81="","",D191)</f>
        <v/>
      </c>
      <c r="E537" s="170" t="str">
        <f>IF('Base Bid'!B81="","",'Base Bid'!B81)</f>
        <v/>
      </c>
    </row>
    <row r="538" spans="1:5" x14ac:dyDescent="0.15">
      <c r="A538" s="170" t="str">
        <f t="shared" si="8"/>
        <v/>
      </c>
      <c r="C538" s="170" t="str">
        <f t="shared" si="9"/>
        <v/>
      </c>
      <c r="D538" s="170" t="str">
        <f>IF('Base Bid'!B82="","",D192)</f>
        <v/>
      </c>
      <c r="E538" s="170" t="str">
        <f>IF('Base Bid'!B82="","",'Base Bid'!B82)</f>
        <v/>
      </c>
    </row>
    <row r="539" spans="1:5" x14ac:dyDescent="0.15">
      <c r="A539" s="170" t="str">
        <f t="shared" si="8"/>
        <v/>
      </c>
      <c r="C539" s="170" t="str">
        <f t="shared" si="9"/>
        <v/>
      </c>
      <c r="D539" s="170" t="str">
        <f>IF('Base Bid'!B83="","",D193)</f>
        <v/>
      </c>
      <c r="E539" s="170" t="str">
        <f>IF('Base Bid'!B83="","",'Base Bid'!B83)</f>
        <v/>
      </c>
    </row>
    <row r="540" spans="1:5" x14ac:dyDescent="0.15">
      <c r="A540" s="170" t="str">
        <f t="shared" si="8"/>
        <v/>
      </c>
      <c r="C540" s="170" t="str">
        <f t="shared" si="9"/>
        <v/>
      </c>
      <c r="D540" s="170" t="str">
        <f>IF('Base Bid'!B84="","",D194)</f>
        <v/>
      </c>
      <c r="E540" s="170" t="str">
        <f>IF('Base Bid'!B84="","",'Base Bid'!B84)</f>
        <v/>
      </c>
    </row>
    <row r="541" spans="1:5" x14ac:dyDescent="0.15">
      <c r="A541" s="170" t="str">
        <f t="shared" si="8"/>
        <v/>
      </c>
      <c r="C541" s="170" t="str">
        <f t="shared" si="9"/>
        <v/>
      </c>
      <c r="D541" s="170" t="str">
        <f>IF('Base Bid'!B85="","",D195)</f>
        <v/>
      </c>
      <c r="E541" s="170" t="str">
        <f>IF('Base Bid'!B85="","",'Base Bid'!B85)</f>
        <v/>
      </c>
    </row>
    <row r="542" spans="1:5" x14ac:dyDescent="0.15">
      <c r="A542" s="170" t="str">
        <f t="shared" si="8"/>
        <v/>
      </c>
      <c r="C542" s="170" t="str">
        <f t="shared" si="9"/>
        <v/>
      </c>
      <c r="D542" s="170" t="str">
        <f>IF('Base Bid'!B86="","",D196)</f>
        <v/>
      </c>
      <c r="E542" s="170" t="str">
        <f>IF('Base Bid'!B86="","",'Base Bid'!B86)</f>
        <v/>
      </c>
    </row>
    <row r="543" spans="1:5" x14ac:dyDescent="0.15">
      <c r="A543" s="170" t="str">
        <f t="shared" si="8"/>
        <v/>
      </c>
      <c r="C543" s="170" t="str">
        <f t="shared" si="9"/>
        <v/>
      </c>
      <c r="D543" s="170" t="str">
        <f>IF('Base Bid'!B87="","",D197)</f>
        <v/>
      </c>
      <c r="E543" s="170" t="str">
        <f>IF('Base Bid'!B87="","",'Base Bid'!B87)</f>
        <v/>
      </c>
    </row>
    <row r="544" spans="1:5" x14ac:dyDescent="0.15">
      <c r="A544" s="170" t="str">
        <f t="shared" si="8"/>
        <v/>
      </c>
      <c r="C544" s="170" t="str">
        <f t="shared" si="9"/>
        <v/>
      </c>
      <c r="D544" s="170" t="str">
        <f>IF('Base Bid'!B88="","",D198)</f>
        <v/>
      </c>
      <c r="E544" s="170" t="str">
        <f>IF('Base Bid'!B88="","",'Base Bid'!B88)</f>
        <v/>
      </c>
    </row>
    <row r="545" spans="1:5" x14ac:dyDescent="0.15">
      <c r="A545" s="170" t="str">
        <f t="shared" si="8"/>
        <v/>
      </c>
      <c r="C545" s="170" t="str">
        <f t="shared" si="9"/>
        <v/>
      </c>
      <c r="D545" s="170" t="str">
        <f>IF('Base Bid'!B89="","",D199)</f>
        <v/>
      </c>
      <c r="E545" s="170" t="str">
        <f>IF('Base Bid'!B89="","",'Base Bid'!B89)</f>
        <v/>
      </c>
    </row>
    <row r="546" spans="1:5" x14ac:dyDescent="0.15">
      <c r="A546" s="170" t="str">
        <f t="shared" si="8"/>
        <v/>
      </c>
      <c r="C546" s="170" t="str">
        <f t="shared" si="9"/>
        <v/>
      </c>
      <c r="D546" s="170" t="str">
        <f>IF('Base Bid'!B90="","",D200)</f>
        <v/>
      </c>
      <c r="E546" s="170" t="str">
        <f>IF('Base Bid'!B90="","",'Base Bid'!B90)</f>
        <v/>
      </c>
    </row>
    <row r="547" spans="1:5" x14ac:dyDescent="0.15">
      <c r="A547" s="170" t="str">
        <f t="shared" si="8"/>
        <v/>
      </c>
      <c r="C547" s="170" t="str">
        <f t="shared" si="9"/>
        <v/>
      </c>
      <c r="D547" s="170" t="str">
        <f>IF('Base Bid'!B91="","",D201)</f>
        <v/>
      </c>
      <c r="E547" s="170" t="str">
        <f>IF('Base Bid'!B91="","",'Base Bid'!B91)</f>
        <v/>
      </c>
    </row>
    <row r="548" spans="1:5" x14ac:dyDescent="0.15">
      <c r="A548" s="170" t="str">
        <f t="shared" si="8"/>
        <v/>
      </c>
      <c r="C548" s="170" t="str">
        <f t="shared" si="9"/>
        <v/>
      </c>
      <c r="D548" s="170" t="str">
        <f>IF('Base Bid'!B92="","",D202)</f>
        <v/>
      </c>
      <c r="E548" s="170" t="str">
        <f>IF('Base Bid'!B92="","",'Base Bid'!B92)</f>
        <v/>
      </c>
    </row>
    <row r="549" spans="1:5" x14ac:dyDescent="0.15">
      <c r="A549" s="170" t="str">
        <f t="shared" si="8"/>
        <v/>
      </c>
      <c r="C549" s="170" t="str">
        <f t="shared" si="9"/>
        <v/>
      </c>
      <c r="D549" s="170" t="str">
        <f>IF('Base Bid'!B93="","",D203)</f>
        <v/>
      </c>
      <c r="E549" s="170" t="str">
        <f>IF('Base Bid'!B93="","",'Base Bid'!B93)</f>
        <v/>
      </c>
    </row>
    <row r="550" spans="1:5" x14ac:dyDescent="0.15">
      <c r="A550" s="170" t="str">
        <f t="shared" si="8"/>
        <v/>
      </c>
      <c r="C550" s="170" t="str">
        <f t="shared" si="9"/>
        <v/>
      </c>
      <c r="D550" s="170" t="str">
        <f>IF('Base Bid'!B94="","",D204)</f>
        <v/>
      </c>
      <c r="E550" s="170" t="str">
        <f>IF('Base Bid'!B94="","",'Base Bid'!B94)</f>
        <v/>
      </c>
    </row>
    <row r="551" spans="1:5" x14ac:dyDescent="0.15">
      <c r="A551" s="170" t="str">
        <f t="shared" si="8"/>
        <v/>
      </c>
      <c r="C551" s="170" t="str">
        <f t="shared" si="9"/>
        <v/>
      </c>
      <c r="D551" s="170" t="str">
        <f>IF('Base Bid'!B95="","",D205)</f>
        <v/>
      </c>
      <c r="E551" s="170" t="str">
        <f>IF('Base Bid'!B95="","",'Base Bid'!B95)</f>
        <v/>
      </c>
    </row>
    <row r="552" spans="1:5" x14ac:dyDescent="0.15">
      <c r="A552" s="170" t="str">
        <f t="shared" si="8"/>
        <v/>
      </c>
      <c r="C552" s="170" t="str">
        <f t="shared" si="9"/>
        <v/>
      </c>
      <c r="D552" s="170" t="str">
        <f>IF('Base Bid'!B96="","",D206)</f>
        <v/>
      </c>
      <c r="E552" s="170" t="str">
        <f>IF('Base Bid'!B96="","",'Base Bid'!B96)</f>
        <v/>
      </c>
    </row>
    <row r="553" spans="1:5" x14ac:dyDescent="0.15">
      <c r="A553" s="170" t="str">
        <f t="shared" si="8"/>
        <v/>
      </c>
      <c r="C553" s="170" t="str">
        <f t="shared" si="9"/>
        <v/>
      </c>
      <c r="D553" s="170" t="str">
        <f>IF('Base Bid'!B97="","",D207)</f>
        <v/>
      </c>
      <c r="E553" s="170" t="str">
        <f>IF('Base Bid'!B97="","",'Base Bid'!B97)</f>
        <v/>
      </c>
    </row>
    <row r="554" spans="1:5" x14ac:dyDescent="0.15">
      <c r="A554" s="170" t="str">
        <f t="shared" si="8"/>
        <v/>
      </c>
      <c r="C554" s="170" t="str">
        <f t="shared" si="9"/>
        <v/>
      </c>
      <c r="D554" s="170" t="str">
        <f>IF('Base Bid'!B98="","",D208)</f>
        <v/>
      </c>
      <c r="E554" s="170" t="str">
        <f>IF('Base Bid'!B98="","",'Base Bid'!B98)</f>
        <v/>
      </c>
    </row>
    <row r="555" spans="1:5" x14ac:dyDescent="0.15">
      <c r="A555" s="170" t="str">
        <f t="shared" si="8"/>
        <v/>
      </c>
      <c r="C555" s="170" t="str">
        <f t="shared" si="9"/>
        <v/>
      </c>
      <c r="D555" s="170" t="str">
        <f>IF('Base Bid'!B99="","",D209)</f>
        <v/>
      </c>
      <c r="E555" s="170" t="str">
        <f>IF('Base Bid'!B99="","",'Base Bid'!B99)</f>
        <v/>
      </c>
    </row>
    <row r="556" spans="1:5" x14ac:dyDescent="0.15">
      <c r="A556" s="170" t="str">
        <f t="shared" si="8"/>
        <v/>
      </c>
      <c r="C556" s="170" t="str">
        <f t="shared" si="9"/>
        <v/>
      </c>
      <c r="D556" s="170" t="str">
        <f>IF('Base Bid'!B100="","",D210)</f>
        <v/>
      </c>
      <c r="E556" s="170" t="str">
        <f>IF('Base Bid'!B100="","",'Base Bid'!B100)</f>
        <v/>
      </c>
    </row>
    <row r="557" spans="1:5" x14ac:dyDescent="0.15">
      <c r="A557" s="170" t="str">
        <f t="shared" si="8"/>
        <v/>
      </c>
      <c r="C557" s="170" t="str">
        <f t="shared" si="9"/>
        <v/>
      </c>
      <c r="D557" s="170" t="str">
        <f>IF('Base Bid'!B101="","",D211)</f>
        <v/>
      </c>
      <c r="E557" s="170" t="str">
        <f>IF('Base Bid'!B101="","",'Base Bid'!B101)</f>
        <v/>
      </c>
    </row>
    <row r="558" spans="1:5" x14ac:dyDescent="0.15">
      <c r="A558" s="170" t="str">
        <f t="shared" si="8"/>
        <v/>
      </c>
      <c r="C558" s="170" t="str">
        <f t="shared" si="9"/>
        <v/>
      </c>
      <c r="D558" s="170" t="str">
        <f>IF('Base Bid'!B102="","",D212)</f>
        <v/>
      </c>
      <c r="E558" s="170" t="str">
        <f>IF('Base Bid'!B102="","",'Base Bid'!B102)</f>
        <v/>
      </c>
    </row>
    <row r="559" spans="1:5" x14ac:dyDescent="0.15">
      <c r="A559" s="170" t="str">
        <f t="shared" si="8"/>
        <v/>
      </c>
      <c r="C559" s="170" t="str">
        <f t="shared" si="9"/>
        <v/>
      </c>
      <c r="D559" s="170" t="str">
        <f>IF('Base Bid'!B103="","",D213)</f>
        <v/>
      </c>
      <c r="E559" s="170" t="str">
        <f>IF('Base Bid'!B103="","",'Base Bid'!B103)</f>
        <v/>
      </c>
    </row>
    <row r="560" spans="1:5" x14ac:dyDescent="0.15">
      <c r="A560" s="170" t="str">
        <f t="shared" si="8"/>
        <v/>
      </c>
      <c r="C560" s="170" t="str">
        <f t="shared" si="9"/>
        <v/>
      </c>
      <c r="D560" s="170" t="str">
        <f>IF('Base Bid'!B104="","",D214)</f>
        <v/>
      </c>
      <c r="E560" s="170" t="str">
        <f>IF('Base Bid'!B104="","",'Base Bid'!B104)</f>
        <v/>
      </c>
    </row>
    <row r="561" spans="1:5" x14ac:dyDescent="0.15">
      <c r="A561" s="170" t="str">
        <f t="shared" si="8"/>
        <v/>
      </c>
      <c r="C561" s="170" t="str">
        <f t="shared" si="9"/>
        <v/>
      </c>
      <c r="D561" s="170" t="str">
        <f>IF('Base Bid'!B105="","",D215)</f>
        <v/>
      </c>
      <c r="E561" s="170" t="str">
        <f>IF('Base Bid'!B105="","",'Base Bid'!B105)</f>
        <v/>
      </c>
    </row>
    <row r="562" spans="1:5" x14ac:dyDescent="0.15">
      <c r="A562" s="170" t="str">
        <f t="shared" si="8"/>
        <v/>
      </c>
      <c r="C562" s="170" t="str">
        <f t="shared" si="9"/>
        <v/>
      </c>
      <c r="D562" s="170" t="str">
        <f>IF('Base Bid'!B106="","",D216)</f>
        <v/>
      </c>
      <c r="E562" s="170" t="str">
        <f>IF('Base Bid'!B106="","",'Base Bid'!B106)</f>
        <v/>
      </c>
    </row>
    <row r="563" spans="1:5" x14ac:dyDescent="0.15">
      <c r="A563" s="170" t="str">
        <f t="shared" si="8"/>
        <v/>
      </c>
      <c r="C563" s="170" t="str">
        <f t="shared" si="9"/>
        <v/>
      </c>
      <c r="D563" s="170" t="str">
        <f>IF('Base Bid'!B107="","",D217)</f>
        <v/>
      </c>
      <c r="E563" s="170" t="str">
        <f>IF('Base Bid'!B107="","",'Base Bid'!B107)</f>
        <v/>
      </c>
    </row>
    <row r="564" spans="1:5" x14ac:dyDescent="0.15">
      <c r="A564" s="170" t="str">
        <f t="shared" si="8"/>
        <v/>
      </c>
      <c r="C564" s="170" t="str">
        <f t="shared" si="9"/>
        <v/>
      </c>
      <c r="D564" s="170" t="str">
        <f>IF('Base Bid'!B108="","",D218)</f>
        <v/>
      </c>
      <c r="E564" s="170" t="str">
        <f>IF('Base Bid'!B108="","",'Base Bid'!B108)</f>
        <v/>
      </c>
    </row>
    <row r="565" spans="1:5" x14ac:dyDescent="0.15">
      <c r="A565" s="170" t="str">
        <f t="shared" si="8"/>
        <v/>
      </c>
      <c r="C565" s="170" t="str">
        <f t="shared" si="9"/>
        <v/>
      </c>
      <c r="D565" s="170" t="str">
        <f>IF('Base Bid'!B109="","",D219)</f>
        <v/>
      </c>
      <c r="E565" s="170" t="str">
        <f>IF('Base Bid'!B109="","",'Base Bid'!B109)</f>
        <v/>
      </c>
    </row>
    <row r="566" spans="1:5" x14ac:dyDescent="0.15">
      <c r="A566" s="170" t="str">
        <f t="shared" si="8"/>
        <v/>
      </c>
      <c r="C566" s="170" t="str">
        <f t="shared" si="9"/>
        <v/>
      </c>
      <c r="D566" s="170" t="str">
        <f>IF('Base Bid'!B110="","",D220)</f>
        <v/>
      </c>
      <c r="E566" s="170" t="str">
        <f>IF('Base Bid'!B110="","",'Base Bid'!B110)</f>
        <v/>
      </c>
    </row>
    <row r="567" spans="1:5" x14ac:dyDescent="0.15">
      <c r="A567" s="170" t="str">
        <f t="shared" si="8"/>
        <v/>
      </c>
      <c r="C567" s="170" t="str">
        <f t="shared" si="9"/>
        <v/>
      </c>
      <c r="D567" s="170" t="str">
        <f>IF('Base Bid'!B111="","",D221)</f>
        <v/>
      </c>
      <c r="E567" s="170" t="str">
        <f>IF('Base Bid'!B111="","",'Base Bid'!B111)</f>
        <v/>
      </c>
    </row>
    <row r="568" spans="1:5" x14ac:dyDescent="0.15">
      <c r="A568" s="170" t="str">
        <f t="shared" si="8"/>
        <v/>
      </c>
      <c r="C568" s="170" t="str">
        <f t="shared" si="9"/>
        <v/>
      </c>
      <c r="D568" s="170" t="str">
        <f>IF('Base Bid'!B112="","",D222)</f>
        <v/>
      </c>
      <c r="E568" s="170" t="str">
        <f>IF('Base Bid'!B112="","",'Base Bid'!B112)</f>
        <v/>
      </c>
    </row>
    <row r="569" spans="1:5" x14ac:dyDescent="0.15">
      <c r="A569" s="170" t="str">
        <f t="shared" si="8"/>
        <v/>
      </c>
      <c r="C569" s="170" t="str">
        <f t="shared" si="9"/>
        <v/>
      </c>
      <c r="D569" s="170" t="str">
        <f>IF('Base Bid'!B113="","",D223)</f>
        <v/>
      </c>
      <c r="E569" s="170" t="str">
        <f>IF('Base Bid'!B113="","",'Base Bid'!B113)</f>
        <v/>
      </c>
    </row>
    <row r="570" spans="1:5" x14ac:dyDescent="0.15">
      <c r="A570" s="170" t="str">
        <f t="shared" si="8"/>
        <v/>
      </c>
      <c r="C570" s="170" t="str">
        <f t="shared" si="9"/>
        <v/>
      </c>
      <c r="D570" s="170" t="str">
        <f>IF('Base Bid'!B114="","",D224)</f>
        <v/>
      </c>
      <c r="E570" s="170" t="str">
        <f>IF('Base Bid'!B114="","",'Base Bid'!B114)</f>
        <v/>
      </c>
    </row>
    <row r="571" spans="1:5" x14ac:dyDescent="0.15">
      <c r="A571" s="170" t="str">
        <f t="shared" si="8"/>
        <v/>
      </c>
      <c r="C571" s="170" t="str">
        <f t="shared" si="9"/>
        <v/>
      </c>
      <c r="D571" s="170" t="str">
        <f>IF('Base Bid'!B115="","",D225)</f>
        <v/>
      </c>
      <c r="E571" s="170" t="str">
        <f>IF('Base Bid'!B115="","",'Base Bid'!B115)</f>
        <v/>
      </c>
    </row>
    <row r="572" spans="1:5" x14ac:dyDescent="0.15">
      <c r="A572" s="170" t="str">
        <f t="shared" si="8"/>
        <v/>
      </c>
      <c r="C572" s="170" t="str">
        <f t="shared" si="9"/>
        <v/>
      </c>
      <c r="D572" s="170" t="str">
        <f>IF('Base Bid'!B116="","",D226)</f>
        <v/>
      </c>
      <c r="E572" s="170" t="str">
        <f>IF('Base Bid'!B116="","",'Base Bid'!B116)</f>
        <v/>
      </c>
    </row>
    <row r="573" spans="1:5" x14ac:dyDescent="0.15">
      <c r="A573" s="170" t="str">
        <f t="shared" si="8"/>
        <v/>
      </c>
      <c r="C573" s="170" t="str">
        <f t="shared" si="9"/>
        <v/>
      </c>
      <c r="D573" s="170" t="str">
        <f>IF('Base Bid'!B117="","",D227)</f>
        <v/>
      </c>
      <c r="E573" s="170" t="str">
        <f>IF('Base Bid'!B117="","",'Base Bid'!B117)</f>
        <v/>
      </c>
    </row>
    <row r="574" spans="1:5" x14ac:dyDescent="0.15">
      <c r="A574" s="170" t="str">
        <f t="shared" si="8"/>
        <v/>
      </c>
      <c r="C574" s="170" t="str">
        <f t="shared" si="9"/>
        <v/>
      </c>
      <c r="D574" s="170" t="str">
        <f>IF('Base Bid'!B118="","",D228)</f>
        <v/>
      </c>
      <c r="E574" s="170" t="str">
        <f>IF('Base Bid'!B118="","",'Base Bid'!B118)</f>
        <v/>
      </c>
    </row>
    <row r="575" spans="1:5" x14ac:dyDescent="0.15">
      <c r="A575" s="170" t="str">
        <f t="shared" si="8"/>
        <v/>
      </c>
      <c r="C575" s="170" t="str">
        <f t="shared" si="9"/>
        <v/>
      </c>
      <c r="D575" s="170" t="str">
        <f>IF('Base Bid'!B119="","",D229)</f>
        <v/>
      </c>
      <c r="E575" s="170" t="str">
        <f>IF('Base Bid'!B119="","",'Base Bid'!B119)</f>
        <v/>
      </c>
    </row>
    <row r="576" spans="1:5" x14ac:dyDescent="0.15">
      <c r="A576" s="170" t="str">
        <f t="shared" si="8"/>
        <v/>
      </c>
      <c r="C576" s="170" t="str">
        <f t="shared" si="9"/>
        <v/>
      </c>
      <c r="D576" s="170" t="str">
        <f>IF('Base Bid'!B120="","",D230)</f>
        <v/>
      </c>
      <c r="E576" s="170" t="str">
        <f>IF('Base Bid'!B120="","",'Base Bid'!B120)</f>
        <v/>
      </c>
    </row>
    <row r="577" spans="1:12" ht="9" thickBot="1" x14ac:dyDescent="0.2">
      <c r="A577" s="280" t="str">
        <f t="shared" si="8"/>
        <v/>
      </c>
      <c r="B577" s="280"/>
      <c r="C577" s="280" t="str">
        <f t="shared" si="9"/>
        <v/>
      </c>
      <c r="D577" s="280" t="str">
        <f>IF('Base Bid'!B121="","",D231)</f>
        <v/>
      </c>
      <c r="E577" s="280" t="str">
        <f>IF('Base Bid'!B121="","",'Base Bid'!B121)</f>
        <v/>
      </c>
      <c r="F577" s="280"/>
      <c r="G577" s="280"/>
      <c r="H577" s="280"/>
      <c r="I577" s="283"/>
      <c r="J577" s="283"/>
      <c r="K577" s="280"/>
      <c r="L577" s="280"/>
    </row>
    <row r="578" spans="1:12" ht="9" thickTop="1" x14ac:dyDescent="0.15"/>
    <row r="579" spans="1:12" ht="9" thickBot="1" x14ac:dyDescent="0.2">
      <c r="A579" s="280"/>
      <c r="B579" s="280" t="s">
        <v>993</v>
      </c>
      <c r="C579" s="280"/>
      <c r="D579" s="280"/>
      <c r="E579" s="280"/>
      <c r="F579" s="280"/>
      <c r="G579" s="280"/>
      <c r="H579" s="280"/>
      <c r="I579" s="283"/>
      <c r="J579" s="283"/>
      <c r="K579" s="280"/>
      <c r="L579" s="280"/>
    </row>
    <row r="580" spans="1:12" ht="9" thickTop="1" x14ac:dyDescent="0.15">
      <c r="A580" s="170" t="str">
        <f t="shared" si="4"/>
        <v/>
      </c>
      <c r="C580" s="170" t="str">
        <f t="shared" si="5"/>
        <v/>
      </c>
      <c r="D580" s="170" t="str">
        <f>IF('Base Bid'!G124="","",'Base Bid'!G124)</f>
        <v/>
      </c>
      <c r="E580" s="170" t="str">
        <f>IF('Base Bid'!B124="","",'Base Bid'!B124)</f>
        <v/>
      </c>
    </row>
    <row r="581" spans="1:12" x14ac:dyDescent="0.15">
      <c r="A581" s="170" t="str">
        <f t="shared" ref="A581:A629" si="10">IF(D581="","","2")</f>
        <v/>
      </c>
      <c r="C581" s="170" t="str">
        <f t="shared" ref="C581:C629" si="11">IF(D581="","","10")</f>
        <v/>
      </c>
      <c r="D581" s="170" t="str">
        <f>IF('Base Bid'!G125="","",'Base Bid'!G125)</f>
        <v/>
      </c>
      <c r="E581" s="170" t="str">
        <f>IF('Base Bid'!B125="","",'Base Bid'!B125)</f>
        <v/>
      </c>
    </row>
    <row r="582" spans="1:12" x14ac:dyDescent="0.15">
      <c r="A582" s="170" t="str">
        <f t="shared" si="10"/>
        <v/>
      </c>
      <c r="C582" s="170" t="str">
        <f t="shared" si="11"/>
        <v/>
      </c>
      <c r="D582" s="170" t="str">
        <f>IF('Base Bid'!G126="","",'Base Bid'!G126)</f>
        <v/>
      </c>
      <c r="E582" s="170" t="str">
        <f>IF('Base Bid'!B126="","",'Base Bid'!B126)</f>
        <v/>
      </c>
    </row>
    <row r="583" spans="1:12" x14ac:dyDescent="0.15">
      <c r="A583" s="170" t="str">
        <f t="shared" si="10"/>
        <v/>
      </c>
      <c r="C583" s="170" t="str">
        <f t="shared" si="11"/>
        <v/>
      </c>
      <c r="D583" s="170" t="str">
        <f>IF('Base Bid'!G127="","",'Base Bid'!G127)</f>
        <v/>
      </c>
      <c r="E583" s="170" t="str">
        <f>IF('Base Bid'!B127="","",'Base Bid'!B127)</f>
        <v/>
      </c>
    </row>
    <row r="584" spans="1:12" x14ac:dyDescent="0.15">
      <c r="A584" s="170" t="str">
        <f t="shared" si="10"/>
        <v/>
      </c>
      <c r="C584" s="170" t="str">
        <f t="shared" si="11"/>
        <v/>
      </c>
      <c r="D584" s="170" t="str">
        <f>IF('Base Bid'!G128="","",'Base Bid'!G128)</f>
        <v/>
      </c>
      <c r="E584" s="170" t="str">
        <f>IF('Base Bid'!B128="","",'Base Bid'!B128)</f>
        <v/>
      </c>
    </row>
    <row r="585" spans="1:12" x14ac:dyDescent="0.15">
      <c r="A585" s="170" t="str">
        <f t="shared" si="10"/>
        <v/>
      </c>
      <c r="C585" s="170" t="str">
        <f t="shared" si="11"/>
        <v/>
      </c>
      <c r="D585" s="170" t="str">
        <f>IF('Base Bid'!G129="","",'Base Bid'!G129)</f>
        <v/>
      </c>
      <c r="E585" s="170" t="str">
        <f>IF('Base Bid'!B129="","",'Base Bid'!B129)</f>
        <v/>
      </c>
    </row>
    <row r="586" spans="1:12" x14ac:dyDescent="0.15">
      <c r="A586" s="170" t="str">
        <f t="shared" si="10"/>
        <v/>
      </c>
      <c r="C586" s="170" t="str">
        <f t="shared" si="11"/>
        <v/>
      </c>
      <c r="D586" s="170" t="str">
        <f>IF('Base Bid'!G130="","",'Base Bid'!G130)</f>
        <v/>
      </c>
      <c r="E586" s="170" t="str">
        <f>IF('Base Bid'!B130="","",'Base Bid'!B130)</f>
        <v/>
      </c>
    </row>
    <row r="587" spans="1:12" x14ac:dyDescent="0.15">
      <c r="A587" s="170" t="str">
        <f t="shared" si="10"/>
        <v/>
      </c>
      <c r="C587" s="170" t="str">
        <f t="shared" si="11"/>
        <v/>
      </c>
      <c r="D587" s="170" t="str">
        <f>IF('Base Bid'!G131="","",'Base Bid'!G131)</f>
        <v/>
      </c>
      <c r="E587" s="170" t="str">
        <f>IF('Base Bid'!B131="","",'Base Bid'!B131)</f>
        <v/>
      </c>
    </row>
    <row r="588" spans="1:12" x14ac:dyDescent="0.15">
      <c r="A588" s="170" t="str">
        <f t="shared" si="10"/>
        <v/>
      </c>
      <c r="C588" s="170" t="str">
        <f t="shared" si="11"/>
        <v/>
      </c>
      <c r="D588" s="170" t="str">
        <f>IF('Base Bid'!G132="","",'Base Bid'!G132)</f>
        <v/>
      </c>
      <c r="E588" s="170" t="str">
        <f>IF('Base Bid'!B132="","",'Base Bid'!B132)</f>
        <v/>
      </c>
    </row>
    <row r="589" spans="1:12" x14ac:dyDescent="0.15">
      <c r="A589" s="170" t="str">
        <f t="shared" si="10"/>
        <v/>
      </c>
      <c r="C589" s="170" t="str">
        <f t="shared" si="11"/>
        <v/>
      </c>
      <c r="D589" s="170" t="str">
        <f>IF('Base Bid'!G133="","",'Base Bid'!G133)</f>
        <v/>
      </c>
      <c r="E589" s="170" t="str">
        <f>IF('Base Bid'!B133="","",'Base Bid'!B133)</f>
        <v/>
      </c>
    </row>
    <row r="590" spans="1:12" x14ac:dyDescent="0.15">
      <c r="A590" s="170" t="str">
        <f t="shared" si="10"/>
        <v/>
      </c>
      <c r="C590" s="170" t="str">
        <f t="shared" si="11"/>
        <v/>
      </c>
      <c r="D590" s="170" t="str">
        <f>IF('Base Bid'!G134="","",'Base Bid'!G134)</f>
        <v/>
      </c>
      <c r="E590" s="170" t="str">
        <f>IF('Base Bid'!B134="","",'Base Bid'!B134)</f>
        <v/>
      </c>
    </row>
    <row r="591" spans="1:12" x14ac:dyDescent="0.15">
      <c r="A591" s="170" t="str">
        <f t="shared" si="10"/>
        <v/>
      </c>
      <c r="C591" s="170" t="str">
        <f t="shared" si="11"/>
        <v/>
      </c>
      <c r="D591" s="170" t="str">
        <f>IF('Base Bid'!G135="","",'Base Bid'!G135)</f>
        <v/>
      </c>
      <c r="E591" s="170" t="str">
        <f>IF('Base Bid'!B135="","",'Base Bid'!B135)</f>
        <v/>
      </c>
    </row>
    <row r="592" spans="1:12" x14ac:dyDescent="0.15">
      <c r="A592" s="170" t="str">
        <f t="shared" si="10"/>
        <v/>
      </c>
      <c r="C592" s="170" t="str">
        <f t="shared" si="11"/>
        <v/>
      </c>
      <c r="D592" s="170" t="str">
        <f>IF('Base Bid'!G136="","",'Base Bid'!G136)</f>
        <v/>
      </c>
      <c r="E592" s="170" t="str">
        <f>IF('Base Bid'!B136="","",'Base Bid'!B136)</f>
        <v/>
      </c>
    </row>
    <row r="593" spans="1:5" x14ac:dyDescent="0.15">
      <c r="A593" s="170" t="str">
        <f t="shared" si="10"/>
        <v/>
      </c>
      <c r="C593" s="170" t="str">
        <f t="shared" si="11"/>
        <v/>
      </c>
      <c r="D593" s="170" t="str">
        <f>IF('Base Bid'!G137="","",'Base Bid'!G137)</f>
        <v/>
      </c>
      <c r="E593" s="170" t="str">
        <f>IF('Base Bid'!B137="","",'Base Bid'!B137)</f>
        <v/>
      </c>
    </row>
    <row r="594" spans="1:5" x14ac:dyDescent="0.15">
      <c r="A594" s="170" t="str">
        <f t="shared" si="10"/>
        <v/>
      </c>
      <c r="C594" s="170" t="str">
        <f t="shared" si="11"/>
        <v/>
      </c>
      <c r="D594" s="170" t="str">
        <f>IF('Base Bid'!G138="","",'Base Bid'!G138)</f>
        <v/>
      </c>
      <c r="E594" s="170" t="str">
        <f>IF('Base Bid'!B138="","",'Base Bid'!B138)</f>
        <v/>
      </c>
    </row>
    <row r="595" spans="1:5" x14ac:dyDescent="0.15">
      <c r="A595" s="170" t="str">
        <f t="shared" si="10"/>
        <v/>
      </c>
      <c r="C595" s="170" t="str">
        <f t="shared" si="11"/>
        <v/>
      </c>
      <c r="D595" s="170" t="str">
        <f>IF('Base Bid'!G139="","",'Base Bid'!G139)</f>
        <v/>
      </c>
      <c r="E595" s="170" t="str">
        <f>IF('Base Bid'!B139="","",'Base Bid'!B139)</f>
        <v/>
      </c>
    </row>
    <row r="596" spans="1:5" x14ac:dyDescent="0.15">
      <c r="A596" s="170" t="str">
        <f t="shared" si="10"/>
        <v/>
      </c>
      <c r="C596" s="170" t="str">
        <f t="shared" si="11"/>
        <v/>
      </c>
      <c r="D596" s="170" t="str">
        <f>IF('Base Bid'!G140="","",'Base Bid'!G140)</f>
        <v/>
      </c>
      <c r="E596" s="170" t="str">
        <f>IF('Base Bid'!B140="","",'Base Bid'!B140)</f>
        <v/>
      </c>
    </row>
    <row r="597" spans="1:5" x14ac:dyDescent="0.15">
      <c r="A597" s="170" t="str">
        <f t="shared" si="10"/>
        <v/>
      </c>
      <c r="C597" s="170" t="str">
        <f t="shared" si="11"/>
        <v/>
      </c>
      <c r="D597" s="170" t="str">
        <f>IF('Base Bid'!G141="","",'Base Bid'!G141)</f>
        <v/>
      </c>
      <c r="E597" s="170" t="str">
        <f>IF('Base Bid'!B141="","",'Base Bid'!B141)</f>
        <v/>
      </c>
    </row>
    <row r="598" spans="1:5" x14ac:dyDescent="0.15">
      <c r="A598" s="170" t="str">
        <f t="shared" si="10"/>
        <v/>
      </c>
      <c r="C598" s="170" t="str">
        <f t="shared" si="11"/>
        <v/>
      </c>
      <c r="D598" s="170" t="str">
        <f>IF('Base Bid'!G142="","",'Base Bid'!G142)</f>
        <v/>
      </c>
      <c r="E598" s="170" t="str">
        <f>IF('Base Bid'!B142="","",'Base Bid'!B142)</f>
        <v/>
      </c>
    </row>
    <row r="599" spans="1:5" x14ac:dyDescent="0.15">
      <c r="A599" s="170" t="str">
        <f t="shared" si="10"/>
        <v/>
      </c>
      <c r="C599" s="170" t="str">
        <f t="shared" si="11"/>
        <v/>
      </c>
      <c r="D599" s="170" t="str">
        <f>IF('Base Bid'!G143="","",'Base Bid'!G143)</f>
        <v/>
      </c>
      <c r="E599" s="170" t="str">
        <f>IF('Base Bid'!B143="","",'Base Bid'!B143)</f>
        <v/>
      </c>
    </row>
    <row r="600" spans="1:5" x14ac:dyDescent="0.15">
      <c r="A600" s="170" t="str">
        <f t="shared" si="10"/>
        <v/>
      </c>
      <c r="C600" s="170" t="str">
        <f t="shared" si="11"/>
        <v/>
      </c>
      <c r="D600" s="170" t="str">
        <f>IF('Base Bid'!G144="","",'Base Bid'!G144)</f>
        <v/>
      </c>
      <c r="E600" s="170" t="str">
        <f>IF('Base Bid'!B144="","",'Base Bid'!B144)</f>
        <v/>
      </c>
    </row>
    <row r="601" spans="1:5" x14ac:dyDescent="0.15">
      <c r="A601" s="170" t="str">
        <f t="shared" si="10"/>
        <v/>
      </c>
      <c r="C601" s="170" t="str">
        <f t="shared" si="11"/>
        <v/>
      </c>
      <c r="D601" s="170" t="str">
        <f>IF('Base Bid'!G145="","",'Base Bid'!G145)</f>
        <v/>
      </c>
      <c r="E601" s="170" t="str">
        <f>IF('Base Bid'!B145="","",'Base Bid'!B145)</f>
        <v/>
      </c>
    </row>
    <row r="602" spans="1:5" x14ac:dyDescent="0.15">
      <c r="A602" s="170" t="str">
        <f t="shared" si="10"/>
        <v/>
      </c>
      <c r="C602" s="170" t="str">
        <f t="shared" si="11"/>
        <v/>
      </c>
      <c r="D602" s="170" t="str">
        <f>IF('Base Bid'!G146="","",'Base Bid'!G146)</f>
        <v/>
      </c>
      <c r="E602" s="170" t="str">
        <f>IF('Base Bid'!B146="","",'Base Bid'!B146)</f>
        <v/>
      </c>
    </row>
    <row r="603" spans="1:5" x14ac:dyDescent="0.15">
      <c r="A603" s="170" t="str">
        <f t="shared" si="10"/>
        <v/>
      </c>
      <c r="C603" s="170" t="str">
        <f t="shared" si="11"/>
        <v/>
      </c>
      <c r="D603" s="170" t="str">
        <f>IF('Base Bid'!G147="","",'Base Bid'!G147)</f>
        <v/>
      </c>
      <c r="E603" s="170" t="str">
        <f>IF('Base Bid'!B147="","",'Base Bid'!B147)</f>
        <v/>
      </c>
    </row>
    <row r="604" spans="1:5" x14ac:dyDescent="0.15">
      <c r="A604" s="170" t="str">
        <f t="shared" si="10"/>
        <v/>
      </c>
      <c r="C604" s="170" t="str">
        <f t="shared" si="11"/>
        <v/>
      </c>
      <c r="D604" s="170" t="str">
        <f>IF('Base Bid'!G148="","",'Base Bid'!G148)</f>
        <v/>
      </c>
      <c r="E604" s="170" t="str">
        <f>IF('Base Bid'!B148="","",'Base Bid'!B148)</f>
        <v/>
      </c>
    </row>
    <row r="605" spans="1:5" x14ac:dyDescent="0.15">
      <c r="A605" s="170" t="str">
        <f t="shared" si="10"/>
        <v/>
      </c>
      <c r="C605" s="170" t="str">
        <f t="shared" si="11"/>
        <v/>
      </c>
      <c r="D605" s="170" t="str">
        <f>IF('Base Bid'!G149="","",'Base Bid'!G149)</f>
        <v/>
      </c>
      <c r="E605" s="170" t="str">
        <f>IF('Base Bid'!B149="","",'Base Bid'!B149)</f>
        <v/>
      </c>
    </row>
    <row r="606" spans="1:5" x14ac:dyDescent="0.15">
      <c r="A606" s="170" t="str">
        <f t="shared" si="10"/>
        <v/>
      </c>
      <c r="C606" s="170" t="str">
        <f t="shared" si="11"/>
        <v/>
      </c>
      <c r="D606" s="170" t="str">
        <f>IF('Base Bid'!G150="","",'Base Bid'!G150)</f>
        <v/>
      </c>
      <c r="E606" s="170" t="str">
        <f>IF('Base Bid'!B150="","",'Base Bid'!B150)</f>
        <v/>
      </c>
    </row>
    <row r="607" spans="1:5" x14ac:dyDescent="0.15">
      <c r="A607" s="170" t="str">
        <f t="shared" si="10"/>
        <v/>
      </c>
      <c r="C607" s="170" t="str">
        <f t="shared" si="11"/>
        <v/>
      </c>
      <c r="D607" s="170" t="str">
        <f>IF('Base Bid'!G151="","",'Base Bid'!G151)</f>
        <v/>
      </c>
      <c r="E607" s="170" t="str">
        <f>IF('Base Bid'!B151="","",'Base Bid'!B151)</f>
        <v/>
      </c>
    </row>
    <row r="608" spans="1:5" x14ac:dyDescent="0.15">
      <c r="A608" s="170" t="str">
        <f t="shared" si="10"/>
        <v/>
      </c>
      <c r="C608" s="170" t="str">
        <f t="shared" si="11"/>
        <v/>
      </c>
      <c r="D608" s="170" t="str">
        <f>IF('Base Bid'!G152="","",'Base Bid'!G152)</f>
        <v/>
      </c>
      <c r="E608" s="170" t="str">
        <f>IF('Base Bid'!B152="","",'Base Bid'!B152)</f>
        <v/>
      </c>
    </row>
    <row r="609" spans="1:5" x14ac:dyDescent="0.15">
      <c r="A609" s="170" t="str">
        <f t="shared" si="10"/>
        <v/>
      </c>
      <c r="C609" s="170" t="str">
        <f t="shared" si="11"/>
        <v/>
      </c>
      <c r="D609" s="170" t="str">
        <f>IF('Base Bid'!G153="","",'Base Bid'!G153)</f>
        <v/>
      </c>
      <c r="E609" s="170" t="str">
        <f>IF('Base Bid'!B153="","",'Base Bid'!B153)</f>
        <v/>
      </c>
    </row>
    <row r="610" spans="1:5" x14ac:dyDescent="0.15">
      <c r="A610" s="170" t="str">
        <f t="shared" si="10"/>
        <v/>
      </c>
      <c r="C610" s="170" t="str">
        <f t="shared" si="11"/>
        <v/>
      </c>
      <c r="D610" s="170" t="str">
        <f>IF('Base Bid'!G154="","",'Base Bid'!G154)</f>
        <v/>
      </c>
      <c r="E610" s="170" t="str">
        <f>IF('Base Bid'!B154="","",'Base Bid'!B154)</f>
        <v/>
      </c>
    </row>
    <row r="611" spans="1:5" x14ac:dyDescent="0.15">
      <c r="A611" s="170" t="str">
        <f t="shared" si="10"/>
        <v/>
      </c>
      <c r="C611" s="170" t="str">
        <f t="shared" si="11"/>
        <v/>
      </c>
      <c r="D611" s="170" t="str">
        <f>IF('Base Bid'!G155="","",'Base Bid'!G155)</f>
        <v/>
      </c>
      <c r="E611" s="170" t="str">
        <f>IF('Base Bid'!B155="","",'Base Bid'!B155)</f>
        <v/>
      </c>
    </row>
    <row r="612" spans="1:5" x14ac:dyDescent="0.15">
      <c r="A612" s="170" t="str">
        <f t="shared" si="10"/>
        <v/>
      </c>
      <c r="C612" s="170" t="str">
        <f t="shared" si="11"/>
        <v/>
      </c>
      <c r="D612" s="170" t="str">
        <f>IF('Base Bid'!G156="","",'Base Bid'!G156)</f>
        <v/>
      </c>
      <c r="E612" s="170" t="str">
        <f>IF('Base Bid'!B156="","",'Base Bid'!B156)</f>
        <v/>
      </c>
    </row>
    <row r="613" spans="1:5" x14ac:dyDescent="0.15">
      <c r="A613" s="170" t="str">
        <f t="shared" si="10"/>
        <v/>
      </c>
      <c r="C613" s="170" t="str">
        <f t="shared" si="11"/>
        <v/>
      </c>
      <c r="D613" s="170" t="str">
        <f>IF('Base Bid'!G157="","",'Base Bid'!G157)</f>
        <v/>
      </c>
      <c r="E613" s="170" t="str">
        <f>IF('Base Bid'!B157="","",'Base Bid'!B157)</f>
        <v/>
      </c>
    </row>
    <row r="614" spans="1:5" x14ac:dyDescent="0.15">
      <c r="A614" s="170" t="str">
        <f t="shared" si="10"/>
        <v/>
      </c>
      <c r="C614" s="170" t="str">
        <f t="shared" si="11"/>
        <v/>
      </c>
      <c r="D614" s="170" t="str">
        <f>IF('Base Bid'!G158="","",'Base Bid'!G158)</f>
        <v/>
      </c>
      <c r="E614" s="170" t="str">
        <f>IF('Base Bid'!B158="","",'Base Bid'!B158)</f>
        <v/>
      </c>
    </row>
    <row r="615" spans="1:5" x14ac:dyDescent="0.15">
      <c r="A615" s="170" t="str">
        <f t="shared" si="10"/>
        <v/>
      </c>
      <c r="C615" s="170" t="str">
        <f t="shared" si="11"/>
        <v/>
      </c>
      <c r="D615" s="170" t="str">
        <f>IF('Base Bid'!G159="","",'Base Bid'!G159)</f>
        <v/>
      </c>
      <c r="E615" s="170" t="str">
        <f>IF('Base Bid'!B159="","",'Base Bid'!B159)</f>
        <v/>
      </c>
    </row>
    <row r="616" spans="1:5" x14ac:dyDescent="0.15">
      <c r="A616" s="170" t="str">
        <f t="shared" si="10"/>
        <v/>
      </c>
      <c r="C616" s="170" t="str">
        <f t="shared" si="11"/>
        <v/>
      </c>
      <c r="D616" s="170" t="str">
        <f>IF('Base Bid'!G160="","",'Base Bid'!G160)</f>
        <v/>
      </c>
      <c r="E616" s="170" t="str">
        <f>IF('Base Bid'!B160="","",'Base Bid'!B160)</f>
        <v/>
      </c>
    </row>
    <row r="617" spans="1:5" x14ac:dyDescent="0.15">
      <c r="A617" s="170" t="str">
        <f t="shared" si="10"/>
        <v/>
      </c>
      <c r="C617" s="170" t="str">
        <f t="shared" si="11"/>
        <v/>
      </c>
      <c r="D617" s="170" t="str">
        <f>IF('Base Bid'!G161="","",'Base Bid'!G161)</f>
        <v/>
      </c>
      <c r="E617" s="170" t="str">
        <f>IF('Base Bid'!B161="","",'Base Bid'!B161)</f>
        <v/>
      </c>
    </row>
    <row r="618" spans="1:5" x14ac:dyDescent="0.15">
      <c r="A618" s="170" t="str">
        <f t="shared" si="10"/>
        <v/>
      </c>
      <c r="C618" s="170" t="str">
        <f t="shared" si="11"/>
        <v/>
      </c>
      <c r="D618" s="170" t="str">
        <f>IF('Base Bid'!G162="","",'Base Bid'!G162)</f>
        <v/>
      </c>
      <c r="E618" s="170" t="str">
        <f>IF('Base Bid'!B162="","",'Base Bid'!B162)</f>
        <v/>
      </c>
    </row>
    <row r="619" spans="1:5" x14ac:dyDescent="0.15">
      <c r="A619" s="170" t="str">
        <f t="shared" si="10"/>
        <v/>
      </c>
      <c r="C619" s="170" t="str">
        <f t="shared" si="11"/>
        <v/>
      </c>
      <c r="D619" s="170" t="str">
        <f>IF('Base Bid'!G163="","",'Base Bid'!G163)</f>
        <v/>
      </c>
      <c r="E619" s="170" t="str">
        <f>IF('Base Bid'!B163="","",'Base Bid'!B163)</f>
        <v/>
      </c>
    </row>
    <row r="620" spans="1:5" x14ac:dyDescent="0.15">
      <c r="A620" s="170" t="str">
        <f t="shared" si="10"/>
        <v/>
      </c>
      <c r="C620" s="170" t="str">
        <f t="shared" si="11"/>
        <v/>
      </c>
      <c r="D620" s="170" t="str">
        <f>IF('Base Bid'!G164="","",'Base Bid'!G164)</f>
        <v/>
      </c>
      <c r="E620" s="170" t="str">
        <f>IF('Base Bid'!B164="","",'Base Bid'!B164)</f>
        <v/>
      </c>
    </row>
    <row r="621" spans="1:5" x14ac:dyDescent="0.15">
      <c r="A621" s="170" t="str">
        <f t="shared" si="10"/>
        <v/>
      </c>
      <c r="C621" s="170" t="str">
        <f t="shared" si="11"/>
        <v/>
      </c>
      <c r="D621" s="170" t="str">
        <f>IF('Base Bid'!G165="","",'Base Bid'!G165)</f>
        <v/>
      </c>
      <c r="E621" s="170" t="str">
        <f>IF('Base Bid'!B165="","",'Base Bid'!B165)</f>
        <v/>
      </c>
    </row>
    <row r="622" spans="1:5" x14ac:dyDescent="0.15">
      <c r="A622" s="170" t="str">
        <f t="shared" si="10"/>
        <v/>
      </c>
      <c r="C622" s="170" t="str">
        <f t="shared" si="11"/>
        <v/>
      </c>
      <c r="D622" s="170" t="str">
        <f>IF('Base Bid'!G166="","",'Base Bid'!G166)</f>
        <v/>
      </c>
      <c r="E622" s="170" t="str">
        <f>IF('Base Bid'!B166="","",'Base Bid'!B166)</f>
        <v/>
      </c>
    </row>
    <row r="623" spans="1:5" x14ac:dyDescent="0.15">
      <c r="A623" s="170" t="str">
        <f t="shared" si="10"/>
        <v/>
      </c>
      <c r="C623" s="170" t="str">
        <f t="shared" si="11"/>
        <v/>
      </c>
      <c r="D623" s="170" t="str">
        <f>IF('Base Bid'!G167="","",'Base Bid'!G167)</f>
        <v/>
      </c>
      <c r="E623" s="170" t="str">
        <f>IF('Base Bid'!B167="","",'Base Bid'!B167)</f>
        <v/>
      </c>
    </row>
    <row r="624" spans="1:5" x14ac:dyDescent="0.15">
      <c r="A624" s="170" t="str">
        <f t="shared" si="10"/>
        <v/>
      </c>
      <c r="C624" s="170" t="str">
        <f t="shared" si="11"/>
        <v/>
      </c>
      <c r="D624" s="170" t="str">
        <f>IF('Base Bid'!G168="","",'Base Bid'!G168)</f>
        <v/>
      </c>
      <c r="E624" s="170" t="str">
        <f>IF('Base Bid'!B168="","",'Base Bid'!B168)</f>
        <v/>
      </c>
    </row>
    <row r="625" spans="1:12" x14ac:dyDescent="0.15">
      <c r="A625" s="170" t="str">
        <f t="shared" si="10"/>
        <v/>
      </c>
      <c r="C625" s="170" t="str">
        <f t="shared" si="11"/>
        <v/>
      </c>
      <c r="D625" s="170" t="str">
        <f>IF('Base Bid'!G169="","",'Base Bid'!G169)</f>
        <v/>
      </c>
      <c r="E625" s="170" t="str">
        <f>IF('Base Bid'!B169="","",'Base Bid'!B169)</f>
        <v/>
      </c>
    </row>
    <row r="626" spans="1:12" x14ac:dyDescent="0.15">
      <c r="A626" s="170" t="str">
        <f t="shared" si="10"/>
        <v/>
      </c>
      <c r="C626" s="170" t="str">
        <f t="shared" si="11"/>
        <v/>
      </c>
      <c r="D626" s="170" t="str">
        <f>IF('Base Bid'!G170="","",'Base Bid'!G170)</f>
        <v/>
      </c>
      <c r="E626" s="170" t="str">
        <f>IF('Base Bid'!B170="","",'Base Bid'!B170)</f>
        <v/>
      </c>
    </row>
    <row r="627" spans="1:12" x14ac:dyDescent="0.15">
      <c r="A627" s="170" t="str">
        <f t="shared" si="10"/>
        <v/>
      </c>
      <c r="C627" s="170" t="str">
        <f t="shared" si="11"/>
        <v/>
      </c>
      <c r="D627" s="170" t="str">
        <f>IF('Base Bid'!G171="","",'Base Bid'!G171)</f>
        <v/>
      </c>
      <c r="E627" s="170" t="str">
        <f>IF('Base Bid'!B171="","",'Base Bid'!B171)</f>
        <v/>
      </c>
    </row>
    <row r="628" spans="1:12" x14ac:dyDescent="0.15">
      <c r="A628" s="170" t="str">
        <f t="shared" si="10"/>
        <v/>
      </c>
      <c r="C628" s="170" t="str">
        <f t="shared" si="11"/>
        <v/>
      </c>
      <c r="D628" s="170" t="str">
        <f>IF('Base Bid'!G172="","",'Base Bid'!G172)</f>
        <v/>
      </c>
      <c r="E628" s="170" t="str">
        <f>IF('Base Bid'!B172="","",'Base Bid'!B172)</f>
        <v/>
      </c>
    </row>
    <row r="629" spans="1:12" ht="9" thickBot="1" x14ac:dyDescent="0.2">
      <c r="A629" s="280" t="str">
        <f t="shared" si="10"/>
        <v/>
      </c>
      <c r="B629" s="280"/>
      <c r="C629" s="280" t="str">
        <f t="shared" si="11"/>
        <v/>
      </c>
      <c r="D629" s="280" t="str">
        <f>IF('Base Bid'!G173="","",'Base Bid'!G173)</f>
        <v/>
      </c>
      <c r="E629" s="280" t="str">
        <f>IF('Base Bid'!B173="","",'Base Bid'!B173)</f>
        <v/>
      </c>
      <c r="F629" s="280"/>
      <c r="G629" s="280"/>
      <c r="H629" s="280"/>
      <c r="I629" s="283"/>
      <c r="J629" s="283"/>
      <c r="K629" s="280"/>
      <c r="L629" s="280"/>
    </row>
    <row r="630" spans="1:12" ht="9" thickTop="1" x14ac:dyDescent="0.15"/>
    <row r="631" spans="1:12" ht="9" thickBot="1" x14ac:dyDescent="0.2">
      <c r="A631" s="280"/>
      <c r="B631" s="280" t="s">
        <v>994</v>
      </c>
      <c r="C631" s="280"/>
      <c r="D631" s="280"/>
      <c r="E631" s="280"/>
      <c r="F631" s="280"/>
      <c r="G631" s="280"/>
      <c r="H631" s="280"/>
      <c r="I631" s="283"/>
      <c r="J631" s="283"/>
      <c r="K631" s="280"/>
      <c r="L631" s="280"/>
    </row>
    <row r="632" spans="1:12" ht="9" thickTop="1" x14ac:dyDescent="0.15">
      <c r="A632" s="170" t="str">
        <f t="shared" ref="A632:A681" si="12">IF(D632="","","2")</f>
        <v/>
      </c>
      <c r="C632" s="170" t="str">
        <f t="shared" ref="C632:C681" si="13">IF(D632="","","10")</f>
        <v/>
      </c>
      <c r="D632" s="170" t="str">
        <f>IF('Base Bid'!G124="","",D285)</f>
        <v/>
      </c>
      <c r="E632" s="170" t="str">
        <f>IF('Base Bid'!B124="","",'Base Bid'!B124)</f>
        <v/>
      </c>
    </row>
    <row r="633" spans="1:12" x14ac:dyDescent="0.15">
      <c r="A633" s="170" t="str">
        <f t="shared" si="12"/>
        <v/>
      </c>
      <c r="C633" s="170" t="str">
        <f t="shared" si="13"/>
        <v/>
      </c>
      <c r="D633" s="170" t="str">
        <f>IF('Base Bid'!G125="","",D286)</f>
        <v/>
      </c>
      <c r="E633" s="170" t="str">
        <f>IF('Base Bid'!B125="","",'Base Bid'!B125)</f>
        <v/>
      </c>
    </row>
    <row r="634" spans="1:12" x14ac:dyDescent="0.15">
      <c r="A634" s="170" t="str">
        <f t="shared" si="12"/>
        <v/>
      </c>
      <c r="C634" s="170" t="str">
        <f t="shared" si="13"/>
        <v/>
      </c>
      <c r="D634" s="170" t="str">
        <f>IF('Base Bid'!G126="","",D287)</f>
        <v/>
      </c>
      <c r="E634" s="170" t="str">
        <f>IF('Base Bid'!B126="","",'Base Bid'!B126)</f>
        <v/>
      </c>
    </row>
    <row r="635" spans="1:12" x14ac:dyDescent="0.15">
      <c r="A635" s="170" t="str">
        <f t="shared" si="12"/>
        <v/>
      </c>
      <c r="C635" s="170" t="str">
        <f t="shared" si="13"/>
        <v/>
      </c>
      <c r="D635" s="170" t="str">
        <f>IF('Base Bid'!G127="","",D288)</f>
        <v/>
      </c>
      <c r="E635" s="170" t="str">
        <f>IF('Base Bid'!B127="","",'Base Bid'!B127)</f>
        <v/>
      </c>
    </row>
    <row r="636" spans="1:12" x14ac:dyDescent="0.15">
      <c r="A636" s="170" t="str">
        <f t="shared" si="12"/>
        <v/>
      </c>
      <c r="C636" s="170" t="str">
        <f t="shared" si="13"/>
        <v/>
      </c>
      <c r="D636" s="170" t="str">
        <f>IF('Base Bid'!G128="","",D289)</f>
        <v/>
      </c>
      <c r="E636" s="170" t="str">
        <f>IF('Base Bid'!B128="","",'Base Bid'!B128)</f>
        <v/>
      </c>
    </row>
    <row r="637" spans="1:12" x14ac:dyDescent="0.15">
      <c r="A637" s="170" t="str">
        <f t="shared" si="12"/>
        <v/>
      </c>
      <c r="C637" s="170" t="str">
        <f t="shared" si="13"/>
        <v/>
      </c>
      <c r="D637" s="170" t="str">
        <f>IF('Base Bid'!G129="","",D290)</f>
        <v/>
      </c>
      <c r="E637" s="170" t="str">
        <f>IF('Base Bid'!B129="","",'Base Bid'!B129)</f>
        <v/>
      </c>
    </row>
    <row r="638" spans="1:12" x14ac:dyDescent="0.15">
      <c r="A638" s="170" t="str">
        <f t="shared" si="12"/>
        <v/>
      </c>
      <c r="C638" s="170" t="str">
        <f t="shared" si="13"/>
        <v/>
      </c>
      <c r="D638" s="170" t="str">
        <f>IF('Base Bid'!G130="","",D291)</f>
        <v/>
      </c>
      <c r="E638" s="170" t="str">
        <f>IF('Base Bid'!B130="","",'Base Bid'!B130)</f>
        <v/>
      </c>
    </row>
    <row r="639" spans="1:12" x14ac:dyDescent="0.15">
      <c r="A639" s="170" t="str">
        <f t="shared" si="12"/>
        <v/>
      </c>
      <c r="C639" s="170" t="str">
        <f t="shared" si="13"/>
        <v/>
      </c>
      <c r="D639" s="170" t="str">
        <f>IF('Base Bid'!G131="","",D292)</f>
        <v/>
      </c>
      <c r="E639" s="170" t="str">
        <f>IF('Base Bid'!B131="","",'Base Bid'!B131)</f>
        <v/>
      </c>
    </row>
    <row r="640" spans="1:12" x14ac:dyDescent="0.15">
      <c r="A640" s="170" t="str">
        <f t="shared" si="12"/>
        <v/>
      </c>
      <c r="C640" s="170" t="str">
        <f t="shared" si="13"/>
        <v/>
      </c>
      <c r="D640" s="170" t="str">
        <f>IF('Base Bid'!G132="","",D293)</f>
        <v/>
      </c>
      <c r="E640" s="170" t="str">
        <f>IF('Base Bid'!B132="","",'Base Bid'!B132)</f>
        <v/>
      </c>
    </row>
    <row r="641" spans="1:5" x14ac:dyDescent="0.15">
      <c r="A641" s="170" t="str">
        <f t="shared" si="12"/>
        <v/>
      </c>
      <c r="C641" s="170" t="str">
        <f t="shared" si="13"/>
        <v/>
      </c>
      <c r="D641" s="170" t="str">
        <f>IF('Base Bid'!G133="","",D294)</f>
        <v/>
      </c>
      <c r="E641" s="170" t="str">
        <f>IF('Base Bid'!B133="","",'Base Bid'!B133)</f>
        <v/>
      </c>
    </row>
    <row r="642" spans="1:5" x14ac:dyDescent="0.15">
      <c r="A642" s="170" t="str">
        <f t="shared" si="12"/>
        <v/>
      </c>
      <c r="C642" s="170" t="str">
        <f t="shared" si="13"/>
        <v/>
      </c>
      <c r="D642" s="170" t="str">
        <f>IF('Base Bid'!G134="","",D295)</f>
        <v/>
      </c>
      <c r="E642" s="170" t="str">
        <f>IF('Base Bid'!B134="","",'Base Bid'!B134)</f>
        <v/>
      </c>
    </row>
    <row r="643" spans="1:5" x14ac:dyDescent="0.15">
      <c r="A643" s="170" t="str">
        <f t="shared" si="12"/>
        <v/>
      </c>
      <c r="C643" s="170" t="str">
        <f t="shared" si="13"/>
        <v/>
      </c>
      <c r="D643" s="170" t="str">
        <f>IF('Base Bid'!G135="","",D296)</f>
        <v/>
      </c>
      <c r="E643" s="170" t="str">
        <f>IF('Base Bid'!B135="","",'Base Bid'!B135)</f>
        <v/>
      </c>
    </row>
    <row r="644" spans="1:5" x14ac:dyDescent="0.15">
      <c r="A644" s="170" t="str">
        <f t="shared" si="12"/>
        <v/>
      </c>
      <c r="C644" s="170" t="str">
        <f t="shared" si="13"/>
        <v/>
      </c>
      <c r="D644" s="170" t="str">
        <f>IF('Base Bid'!G136="","",D297)</f>
        <v/>
      </c>
      <c r="E644" s="170" t="str">
        <f>IF('Base Bid'!B136="","",'Base Bid'!B136)</f>
        <v/>
      </c>
    </row>
    <row r="645" spans="1:5" x14ac:dyDescent="0.15">
      <c r="A645" s="170" t="str">
        <f t="shared" si="12"/>
        <v/>
      </c>
      <c r="C645" s="170" t="str">
        <f t="shared" si="13"/>
        <v/>
      </c>
      <c r="D645" s="170" t="str">
        <f>IF('Base Bid'!G137="","",D298)</f>
        <v/>
      </c>
      <c r="E645" s="170" t="str">
        <f>IF('Base Bid'!B137="","",'Base Bid'!B137)</f>
        <v/>
      </c>
    </row>
    <row r="646" spans="1:5" x14ac:dyDescent="0.15">
      <c r="A646" s="170" t="str">
        <f t="shared" si="12"/>
        <v/>
      </c>
      <c r="C646" s="170" t="str">
        <f t="shared" si="13"/>
        <v/>
      </c>
      <c r="D646" s="170" t="str">
        <f>IF('Base Bid'!G138="","",D299)</f>
        <v/>
      </c>
      <c r="E646" s="170" t="str">
        <f>IF('Base Bid'!B138="","",'Base Bid'!B138)</f>
        <v/>
      </c>
    </row>
    <row r="647" spans="1:5" x14ac:dyDescent="0.15">
      <c r="A647" s="170" t="str">
        <f t="shared" si="12"/>
        <v/>
      </c>
      <c r="C647" s="170" t="str">
        <f t="shared" si="13"/>
        <v/>
      </c>
      <c r="D647" s="170" t="str">
        <f>IF('Base Bid'!G139="","",D300)</f>
        <v/>
      </c>
      <c r="E647" s="170" t="str">
        <f>IF('Base Bid'!B139="","",'Base Bid'!B139)</f>
        <v/>
      </c>
    </row>
    <row r="648" spans="1:5" x14ac:dyDescent="0.15">
      <c r="A648" s="170" t="str">
        <f t="shared" si="12"/>
        <v/>
      </c>
      <c r="C648" s="170" t="str">
        <f t="shared" si="13"/>
        <v/>
      </c>
      <c r="D648" s="170" t="str">
        <f>IF('Base Bid'!G140="","",D301)</f>
        <v/>
      </c>
      <c r="E648" s="170" t="str">
        <f>IF('Base Bid'!B140="","",'Base Bid'!B140)</f>
        <v/>
      </c>
    </row>
    <row r="649" spans="1:5" x14ac:dyDescent="0.15">
      <c r="A649" s="170" t="str">
        <f t="shared" si="12"/>
        <v/>
      </c>
      <c r="C649" s="170" t="str">
        <f t="shared" si="13"/>
        <v/>
      </c>
      <c r="D649" s="170" t="str">
        <f>IF('Base Bid'!G141="","",D302)</f>
        <v/>
      </c>
      <c r="E649" s="170" t="str">
        <f>IF('Base Bid'!B141="","",'Base Bid'!B141)</f>
        <v/>
      </c>
    </row>
    <row r="650" spans="1:5" x14ac:dyDescent="0.15">
      <c r="A650" s="170" t="str">
        <f t="shared" si="12"/>
        <v/>
      </c>
      <c r="C650" s="170" t="str">
        <f t="shared" si="13"/>
        <v/>
      </c>
      <c r="D650" s="170" t="str">
        <f>IF('Base Bid'!G142="","",D303)</f>
        <v/>
      </c>
      <c r="E650" s="170" t="str">
        <f>IF('Base Bid'!B142="","",'Base Bid'!B142)</f>
        <v/>
      </c>
    </row>
    <row r="651" spans="1:5" x14ac:dyDescent="0.15">
      <c r="A651" s="170" t="str">
        <f t="shared" si="12"/>
        <v/>
      </c>
      <c r="C651" s="170" t="str">
        <f t="shared" si="13"/>
        <v/>
      </c>
      <c r="D651" s="170" t="str">
        <f>IF('Base Bid'!G143="","",D304)</f>
        <v/>
      </c>
      <c r="E651" s="170" t="str">
        <f>IF('Base Bid'!B143="","",'Base Bid'!B143)</f>
        <v/>
      </c>
    </row>
    <row r="652" spans="1:5" x14ac:dyDescent="0.15">
      <c r="A652" s="170" t="str">
        <f t="shared" si="12"/>
        <v/>
      </c>
      <c r="C652" s="170" t="str">
        <f t="shared" si="13"/>
        <v/>
      </c>
      <c r="D652" s="170" t="str">
        <f>IF('Base Bid'!G144="","",D305)</f>
        <v/>
      </c>
      <c r="E652" s="170" t="str">
        <f>IF('Base Bid'!B144="","",'Base Bid'!B144)</f>
        <v/>
      </c>
    </row>
    <row r="653" spans="1:5" x14ac:dyDescent="0.15">
      <c r="A653" s="170" t="str">
        <f t="shared" si="12"/>
        <v/>
      </c>
      <c r="C653" s="170" t="str">
        <f t="shared" si="13"/>
        <v/>
      </c>
      <c r="D653" s="170" t="str">
        <f>IF('Base Bid'!G145="","",D306)</f>
        <v/>
      </c>
      <c r="E653" s="170" t="str">
        <f>IF('Base Bid'!B145="","",'Base Bid'!B145)</f>
        <v/>
      </c>
    </row>
    <row r="654" spans="1:5" x14ac:dyDescent="0.15">
      <c r="A654" s="170" t="str">
        <f t="shared" si="12"/>
        <v/>
      </c>
      <c r="C654" s="170" t="str">
        <f t="shared" si="13"/>
        <v/>
      </c>
      <c r="D654" s="170" t="str">
        <f>IF('Base Bid'!G146="","",D307)</f>
        <v/>
      </c>
      <c r="E654" s="170" t="str">
        <f>IF('Base Bid'!B146="","",'Base Bid'!B146)</f>
        <v/>
      </c>
    </row>
    <row r="655" spans="1:5" x14ac:dyDescent="0.15">
      <c r="A655" s="170" t="str">
        <f t="shared" si="12"/>
        <v/>
      </c>
      <c r="C655" s="170" t="str">
        <f t="shared" si="13"/>
        <v/>
      </c>
      <c r="D655" s="170" t="str">
        <f>IF('Base Bid'!G147="","",D308)</f>
        <v/>
      </c>
      <c r="E655" s="170" t="str">
        <f>IF('Base Bid'!B147="","",'Base Bid'!B147)</f>
        <v/>
      </c>
    </row>
    <row r="656" spans="1:5" x14ac:dyDescent="0.15">
      <c r="A656" s="170" t="str">
        <f t="shared" si="12"/>
        <v/>
      </c>
      <c r="C656" s="170" t="str">
        <f t="shared" si="13"/>
        <v/>
      </c>
      <c r="D656" s="170" t="str">
        <f>IF('Base Bid'!G148="","",D309)</f>
        <v/>
      </c>
      <c r="E656" s="170" t="str">
        <f>IF('Base Bid'!B148="","",'Base Bid'!B148)</f>
        <v/>
      </c>
    </row>
    <row r="657" spans="1:5" x14ac:dyDescent="0.15">
      <c r="A657" s="170" t="str">
        <f t="shared" si="12"/>
        <v/>
      </c>
      <c r="C657" s="170" t="str">
        <f t="shared" si="13"/>
        <v/>
      </c>
      <c r="D657" s="170" t="str">
        <f>IF('Base Bid'!G149="","",D310)</f>
        <v/>
      </c>
      <c r="E657" s="170" t="str">
        <f>IF('Base Bid'!B149="","",'Base Bid'!B149)</f>
        <v/>
      </c>
    </row>
    <row r="658" spans="1:5" x14ac:dyDescent="0.15">
      <c r="A658" s="170" t="str">
        <f t="shared" si="12"/>
        <v/>
      </c>
      <c r="C658" s="170" t="str">
        <f t="shared" si="13"/>
        <v/>
      </c>
      <c r="D658" s="170" t="str">
        <f>IF('Base Bid'!G150="","",D311)</f>
        <v/>
      </c>
      <c r="E658" s="170" t="str">
        <f>IF('Base Bid'!B150="","",'Base Bid'!B150)</f>
        <v/>
      </c>
    </row>
    <row r="659" spans="1:5" x14ac:dyDescent="0.15">
      <c r="A659" s="170" t="str">
        <f t="shared" si="12"/>
        <v/>
      </c>
      <c r="C659" s="170" t="str">
        <f t="shared" si="13"/>
        <v/>
      </c>
      <c r="D659" s="170" t="str">
        <f>IF('Base Bid'!G151="","",D312)</f>
        <v/>
      </c>
      <c r="E659" s="170" t="str">
        <f>IF('Base Bid'!B151="","",'Base Bid'!B151)</f>
        <v/>
      </c>
    </row>
    <row r="660" spans="1:5" x14ac:dyDescent="0.15">
      <c r="A660" s="170" t="str">
        <f t="shared" si="12"/>
        <v/>
      </c>
      <c r="C660" s="170" t="str">
        <f t="shared" si="13"/>
        <v/>
      </c>
      <c r="D660" s="170" t="str">
        <f>IF('Base Bid'!G152="","",D313)</f>
        <v/>
      </c>
      <c r="E660" s="170" t="str">
        <f>IF('Base Bid'!B152="","",'Base Bid'!B152)</f>
        <v/>
      </c>
    </row>
    <row r="661" spans="1:5" x14ac:dyDescent="0.15">
      <c r="A661" s="170" t="str">
        <f t="shared" si="12"/>
        <v/>
      </c>
      <c r="C661" s="170" t="str">
        <f t="shared" si="13"/>
        <v/>
      </c>
      <c r="D661" s="170" t="str">
        <f>IF('Base Bid'!G153="","",D314)</f>
        <v/>
      </c>
      <c r="E661" s="170" t="str">
        <f>IF('Base Bid'!B153="","",'Base Bid'!B153)</f>
        <v/>
      </c>
    </row>
    <row r="662" spans="1:5" x14ac:dyDescent="0.15">
      <c r="A662" s="170" t="str">
        <f t="shared" si="12"/>
        <v/>
      </c>
      <c r="C662" s="170" t="str">
        <f t="shared" si="13"/>
        <v/>
      </c>
      <c r="D662" s="170" t="str">
        <f>IF('Base Bid'!G154="","",D315)</f>
        <v/>
      </c>
      <c r="E662" s="170" t="str">
        <f>IF('Base Bid'!B154="","",'Base Bid'!B154)</f>
        <v/>
      </c>
    </row>
    <row r="663" spans="1:5" x14ac:dyDescent="0.15">
      <c r="A663" s="170" t="str">
        <f t="shared" si="12"/>
        <v/>
      </c>
      <c r="C663" s="170" t="str">
        <f t="shared" si="13"/>
        <v/>
      </c>
      <c r="D663" s="170" t="str">
        <f>IF('Base Bid'!G155="","",D316)</f>
        <v/>
      </c>
      <c r="E663" s="170" t="str">
        <f>IF('Base Bid'!B155="","",'Base Bid'!B155)</f>
        <v/>
      </c>
    </row>
    <row r="664" spans="1:5" x14ac:dyDescent="0.15">
      <c r="A664" s="170" t="str">
        <f t="shared" si="12"/>
        <v/>
      </c>
      <c r="C664" s="170" t="str">
        <f t="shared" si="13"/>
        <v/>
      </c>
      <c r="D664" s="170" t="str">
        <f>IF('Base Bid'!G156="","",D317)</f>
        <v/>
      </c>
      <c r="E664" s="170" t="str">
        <f>IF('Base Bid'!B156="","",'Base Bid'!B156)</f>
        <v/>
      </c>
    </row>
    <row r="665" spans="1:5" x14ac:dyDescent="0.15">
      <c r="A665" s="170" t="str">
        <f t="shared" si="12"/>
        <v/>
      </c>
      <c r="C665" s="170" t="str">
        <f t="shared" si="13"/>
        <v/>
      </c>
      <c r="D665" s="170" t="str">
        <f>IF('Base Bid'!G157="","",D318)</f>
        <v/>
      </c>
      <c r="E665" s="170" t="str">
        <f>IF('Base Bid'!B157="","",'Base Bid'!B157)</f>
        <v/>
      </c>
    </row>
    <row r="666" spans="1:5" x14ac:dyDescent="0.15">
      <c r="A666" s="170" t="str">
        <f t="shared" si="12"/>
        <v/>
      </c>
      <c r="C666" s="170" t="str">
        <f t="shared" si="13"/>
        <v/>
      </c>
      <c r="D666" s="170" t="str">
        <f>IF('Base Bid'!G158="","",D319)</f>
        <v/>
      </c>
      <c r="E666" s="170" t="str">
        <f>IF('Base Bid'!B158="","",'Base Bid'!B158)</f>
        <v/>
      </c>
    </row>
    <row r="667" spans="1:5" x14ac:dyDescent="0.15">
      <c r="A667" s="170" t="str">
        <f t="shared" si="12"/>
        <v/>
      </c>
      <c r="C667" s="170" t="str">
        <f t="shared" si="13"/>
        <v/>
      </c>
      <c r="D667" s="170" t="str">
        <f>IF('Base Bid'!G159="","",D320)</f>
        <v/>
      </c>
      <c r="E667" s="170" t="str">
        <f>IF('Base Bid'!B159="","",'Base Bid'!B159)</f>
        <v/>
      </c>
    </row>
    <row r="668" spans="1:5" x14ac:dyDescent="0.15">
      <c r="A668" s="170" t="str">
        <f t="shared" si="12"/>
        <v/>
      </c>
      <c r="C668" s="170" t="str">
        <f t="shared" si="13"/>
        <v/>
      </c>
      <c r="D668" s="170" t="str">
        <f>IF('Base Bid'!G160="","",D321)</f>
        <v/>
      </c>
      <c r="E668" s="170" t="str">
        <f>IF('Base Bid'!B160="","",'Base Bid'!B160)</f>
        <v/>
      </c>
    </row>
    <row r="669" spans="1:5" x14ac:dyDescent="0.15">
      <c r="A669" s="170" t="str">
        <f t="shared" si="12"/>
        <v/>
      </c>
      <c r="C669" s="170" t="str">
        <f t="shared" si="13"/>
        <v/>
      </c>
      <c r="D669" s="170" t="str">
        <f>IF('Base Bid'!G161="","",D322)</f>
        <v/>
      </c>
      <c r="E669" s="170" t="str">
        <f>IF('Base Bid'!B161="","",'Base Bid'!B161)</f>
        <v/>
      </c>
    </row>
    <row r="670" spans="1:5" x14ac:dyDescent="0.15">
      <c r="A670" s="170" t="str">
        <f t="shared" si="12"/>
        <v/>
      </c>
      <c r="C670" s="170" t="str">
        <f t="shared" si="13"/>
        <v/>
      </c>
      <c r="D670" s="170" t="str">
        <f>IF('Base Bid'!G162="","",D323)</f>
        <v/>
      </c>
      <c r="E670" s="170" t="str">
        <f>IF('Base Bid'!B162="","",'Base Bid'!B162)</f>
        <v/>
      </c>
    </row>
    <row r="671" spans="1:5" x14ac:dyDescent="0.15">
      <c r="A671" s="170" t="str">
        <f t="shared" si="12"/>
        <v/>
      </c>
      <c r="C671" s="170" t="str">
        <f t="shared" si="13"/>
        <v/>
      </c>
      <c r="D671" s="170" t="str">
        <f>IF('Base Bid'!G163="","",D324)</f>
        <v/>
      </c>
      <c r="E671" s="170" t="str">
        <f>IF('Base Bid'!B163="","",'Base Bid'!B163)</f>
        <v/>
      </c>
    </row>
    <row r="672" spans="1:5" x14ac:dyDescent="0.15">
      <c r="A672" s="170" t="str">
        <f t="shared" si="12"/>
        <v/>
      </c>
      <c r="C672" s="170" t="str">
        <f t="shared" si="13"/>
        <v/>
      </c>
      <c r="D672" s="170" t="str">
        <f>IF('Base Bid'!G164="","",D325)</f>
        <v/>
      </c>
      <c r="E672" s="170" t="str">
        <f>IF('Base Bid'!B164="","",'Base Bid'!B164)</f>
        <v/>
      </c>
    </row>
    <row r="673" spans="1:12" x14ac:dyDescent="0.15">
      <c r="A673" s="170" t="str">
        <f t="shared" si="12"/>
        <v/>
      </c>
      <c r="C673" s="170" t="str">
        <f t="shared" si="13"/>
        <v/>
      </c>
      <c r="D673" s="170" t="str">
        <f>IF('Base Bid'!G165="","",D326)</f>
        <v/>
      </c>
      <c r="E673" s="170" t="str">
        <f>IF('Base Bid'!B165="","",'Base Bid'!B165)</f>
        <v/>
      </c>
    </row>
    <row r="674" spans="1:12" x14ac:dyDescent="0.15">
      <c r="A674" s="170" t="str">
        <f t="shared" si="12"/>
        <v/>
      </c>
      <c r="C674" s="170" t="str">
        <f t="shared" si="13"/>
        <v/>
      </c>
      <c r="D674" s="170" t="str">
        <f>IF('Base Bid'!G166="","",D327)</f>
        <v/>
      </c>
      <c r="E674" s="170" t="str">
        <f>IF('Base Bid'!B166="","",'Base Bid'!B166)</f>
        <v/>
      </c>
    </row>
    <row r="675" spans="1:12" x14ac:dyDescent="0.15">
      <c r="A675" s="170" t="str">
        <f t="shared" si="12"/>
        <v/>
      </c>
      <c r="C675" s="170" t="str">
        <f t="shared" si="13"/>
        <v/>
      </c>
      <c r="D675" s="170" t="str">
        <f>IF('Base Bid'!G167="","",D328)</f>
        <v/>
      </c>
      <c r="E675" s="170" t="str">
        <f>IF('Base Bid'!B167="","",'Base Bid'!B167)</f>
        <v/>
      </c>
    </row>
    <row r="676" spans="1:12" x14ac:dyDescent="0.15">
      <c r="A676" s="170" t="str">
        <f t="shared" si="12"/>
        <v/>
      </c>
      <c r="C676" s="170" t="str">
        <f t="shared" si="13"/>
        <v/>
      </c>
      <c r="D676" s="170" t="str">
        <f>IF('Base Bid'!G168="","",D329)</f>
        <v/>
      </c>
      <c r="E676" s="170" t="str">
        <f>IF('Base Bid'!B168="","",'Base Bid'!B168)</f>
        <v/>
      </c>
    </row>
    <row r="677" spans="1:12" x14ac:dyDescent="0.15">
      <c r="A677" s="170" t="str">
        <f t="shared" si="12"/>
        <v/>
      </c>
      <c r="C677" s="170" t="str">
        <f t="shared" si="13"/>
        <v/>
      </c>
      <c r="D677" s="170" t="str">
        <f>IF('Base Bid'!G169="","",D330)</f>
        <v/>
      </c>
      <c r="E677" s="170" t="str">
        <f>IF('Base Bid'!B169="","",'Base Bid'!B169)</f>
        <v/>
      </c>
    </row>
    <row r="678" spans="1:12" x14ac:dyDescent="0.15">
      <c r="A678" s="170" t="str">
        <f t="shared" si="12"/>
        <v/>
      </c>
      <c r="C678" s="170" t="str">
        <f t="shared" si="13"/>
        <v/>
      </c>
      <c r="D678" s="170" t="str">
        <f>IF('Base Bid'!G170="","",D331)</f>
        <v/>
      </c>
      <c r="E678" s="170" t="str">
        <f>IF('Base Bid'!B170="","",'Base Bid'!B170)</f>
        <v/>
      </c>
    </row>
    <row r="679" spans="1:12" x14ac:dyDescent="0.15">
      <c r="A679" s="170" t="str">
        <f t="shared" si="12"/>
        <v/>
      </c>
      <c r="C679" s="170" t="str">
        <f t="shared" si="13"/>
        <v/>
      </c>
      <c r="D679" s="170" t="str">
        <f>IF('Base Bid'!G171="","",D332)</f>
        <v/>
      </c>
      <c r="E679" s="170" t="str">
        <f>IF('Base Bid'!B171="","",'Base Bid'!B171)</f>
        <v/>
      </c>
    </row>
    <row r="680" spans="1:12" x14ac:dyDescent="0.15">
      <c r="A680" s="170" t="str">
        <f t="shared" si="12"/>
        <v/>
      </c>
      <c r="C680" s="170" t="str">
        <f t="shared" si="13"/>
        <v/>
      </c>
      <c r="D680" s="170" t="str">
        <f>IF('Base Bid'!G172="","",D333)</f>
        <v/>
      </c>
      <c r="E680" s="170" t="str">
        <f>IF('Base Bid'!B172="","",'Base Bid'!B172)</f>
        <v/>
      </c>
    </row>
    <row r="681" spans="1:12" ht="9" thickBot="1" x14ac:dyDescent="0.2">
      <c r="A681" s="280" t="str">
        <f t="shared" si="12"/>
        <v/>
      </c>
      <c r="B681" s="280"/>
      <c r="C681" s="280" t="str">
        <f t="shared" si="13"/>
        <v/>
      </c>
      <c r="D681" s="280" t="str">
        <f>IF('Base Bid'!G173="","",D334)</f>
        <v/>
      </c>
      <c r="E681" s="280" t="str">
        <f>IF('Base Bid'!B173="","",'Base Bid'!B173)</f>
        <v/>
      </c>
      <c r="F681" s="280"/>
      <c r="G681" s="280"/>
      <c r="H681" s="280"/>
      <c r="I681" s="283"/>
      <c r="J681" s="283"/>
      <c r="K681" s="280"/>
      <c r="L681" s="280"/>
    </row>
    <row r="682" spans="1:12" ht="9" thickTop="1" x14ac:dyDescent="0.15"/>
  </sheetData>
  <sheetProtection sheet="1" objects="1" scenarios="1" selectLockedCells="1" selectUnlockedCell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6" tint="-0.499984740745262"/>
  </sheetPr>
  <dimension ref="A1:N41"/>
  <sheetViews>
    <sheetView showGridLines="0" workbookViewId="0">
      <selection activeCell="C16" sqref="C16"/>
    </sheetView>
  </sheetViews>
  <sheetFormatPr defaultColWidth="8.85546875" defaultRowHeight="13.5" x14ac:dyDescent="0.25"/>
  <cols>
    <col min="1" max="16384" width="8.85546875" style="2"/>
  </cols>
  <sheetData>
    <row r="1" spans="1:14" ht="15" customHeight="1" x14ac:dyDescent="0.3">
      <c r="A1" s="926" t="s">
        <v>104</v>
      </c>
      <c r="B1" s="926"/>
      <c r="C1" s="926"/>
      <c r="D1" s="926"/>
      <c r="E1" s="926"/>
      <c r="F1" s="926"/>
      <c r="G1" s="926"/>
      <c r="H1" s="926"/>
      <c r="I1" s="926"/>
      <c r="J1" s="926"/>
      <c r="K1" s="926"/>
      <c r="L1" s="926"/>
      <c r="M1" s="926"/>
      <c r="N1" s="926"/>
    </row>
    <row r="2" spans="1:14" x14ac:dyDescent="0.25">
      <c r="A2" s="4"/>
    </row>
    <row r="3" spans="1:14" x14ac:dyDescent="0.25">
      <c r="D3" s="2" t="s">
        <v>72</v>
      </c>
      <c r="E3" s="2" t="s">
        <v>16</v>
      </c>
      <c r="F3" s="2" t="s">
        <v>73</v>
      </c>
    </row>
    <row r="4" spans="1:14" x14ac:dyDescent="0.25">
      <c r="B4" s="4"/>
      <c r="C4" s="37" t="s">
        <v>77</v>
      </c>
      <c r="D4" s="150"/>
      <c r="E4" s="151">
        <v>435</v>
      </c>
      <c r="F4" s="38">
        <f>E4*D4</f>
        <v>0</v>
      </c>
      <c r="G4" s="655"/>
    </row>
    <row r="5" spans="1:14" x14ac:dyDescent="0.25">
      <c r="B5" s="4"/>
      <c r="C5" s="37" t="s">
        <v>75</v>
      </c>
      <c r="D5" s="530"/>
      <c r="E5" s="153">
        <v>6</v>
      </c>
      <c r="F5" s="39">
        <f>E5*D5</f>
        <v>0</v>
      </c>
    </row>
    <row r="6" spans="1:14" x14ac:dyDescent="0.25">
      <c r="B6" s="4"/>
      <c r="C6" s="37" t="s">
        <v>76</v>
      </c>
      <c r="D6" s="152"/>
      <c r="E6" s="153">
        <v>345</v>
      </c>
      <c r="F6" s="39">
        <f>E6*D6</f>
        <v>0</v>
      </c>
    </row>
    <row r="7" spans="1:14" x14ac:dyDescent="0.25">
      <c r="B7" s="4"/>
      <c r="C7" s="3" t="s">
        <v>74</v>
      </c>
      <c r="D7" s="154"/>
      <c r="E7" s="155">
        <v>4.6399999999999997</v>
      </c>
      <c r="F7" s="40">
        <f>E7*D7</f>
        <v>0</v>
      </c>
    </row>
    <row r="8" spans="1:14" x14ac:dyDescent="0.25">
      <c r="A8" s="4"/>
    </row>
    <row r="9" spans="1:14" ht="15" customHeight="1" x14ac:dyDescent="0.25">
      <c r="A9" s="4"/>
      <c r="C9" s="927" t="s">
        <v>82</v>
      </c>
      <c r="D9" s="927"/>
      <c r="E9" s="927"/>
      <c r="F9" s="927"/>
    </row>
    <row r="10" spans="1:14" x14ac:dyDescent="0.25">
      <c r="A10" s="4"/>
      <c r="C10" s="1" t="s">
        <v>84</v>
      </c>
      <c r="D10" s="1" t="s">
        <v>83</v>
      </c>
      <c r="E10" s="1" t="s">
        <v>72</v>
      </c>
      <c r="F10" s="1" t="s">
        <v>73</v>
      </c>
    </row>
    <row r="11" spans="1:14" x14ac:dyDescent="0.25">
      <c r="A11" s="4"/>
      <c r="C11" s="156"/>
      <c r="D11" s="41" t="s">
        <v>78</v>
      </c>
      <c r="E11" s="41">
        <v>1.6</v>
      </c>
      <c r="F11" s="47">
        <f t="shared" ref="F11:F30" si="0">(E11*C11)/100</f>
        <v>0</v>
      </c>
    </row>
    <row r="12" spans="1:14" x14ac:dyDescent="0.25">
      <c r="C12" s="157"/>
      <c r="D12" s="42" t="s">
        <v>79</v>
      </c>
      <c r="E12" s="42">
        <v>2.8</v>
      </c>
      <c r="F12" s="48">
        <f t="shared" si="0"/>
        <v>0</v>
      </c>
    </row>
    <row r="13" spans="1:14" x14ac:dyDescent="0.25">
      <c r="C13" s="157"/>
      <c r="D13" s="42">
        <v>1</v>
      </c>
      <c r="E13" s="42">
        <v>4.5</v>
      </c>
      <c r="F13" s="48">
        <f t="shared" si="0"/>
        <v>0</v>
      </c>
    </row>
    <row r="14" spans="1:14" x14ac:dyDescent="0.25">
      <c r="C14" s="157"/>
      <c r="D14" s="42" t="s">
        <v>80</v>
      </c>
      <c r="E14" s="42">
        <v>7.8</v>
      </c>
      <c r="F14" s="48">
        <f t="shared" si="0"/>
        <v>0</v>
      </c>
    </row>
    <row r="15" spans="1:14" x14ac:dyDescent="0.25">
      <c r="C15" s="157"/>
      <c r="D15" s="42" t="s">
        <v>81</v>
      </c>
      <c r="E15" s="42">
        <v>10.5</v>
      </c>
      <c r="F15" s="48">
        <f t="shared" si="0"/>
        <v>0</v>
      </c>
    </row>
    <row r="16" spans="1:14" x14ac:dyDescent="0.25">
      <c r="C16" s="157"/>
      <c r="D16" s="42">
        <v>2</v>
      </c>
      <c r="E16" s="42">
        <v>17</v>
      </c>
      <c r="F16" s="48">
        <f t="shared" si="0"/>
        <v>0</v>
      </c>
    </row>
    <row r="17" spans="3:6" x14ac:dyDescent="0.25">
      <c r="C17" s="157"/>
      <c r="D17" s="42">
        <v>2.5</v>
      </c>
      <c r="E17" s="42">
        <v>25</v>
      </c>
      <c r="F17" s="48">
        <f t="shared" si="0"/>
        <v>0</v>
      </c>
    </row>
    <row r="18" spans="3:6" x14ac:dyDescent="0.25">
      <c r="C18" s="157"/>
      <c r="D18" s="42">
        <v>3</v>
      </c>
      <c r="E18" s="42">
        <v>38</v>
      </c>
      <c r="F18" s="48">
        <f t="shared" si="0"/>
        <v>0</v>
      </c>
    </row>
    <row r="19" spans="3:6" x14ac:dyDescent="0.25">
      <c r="C19" s="157"/>
      <c r="D19" s="42">
        <v>4</v>
      </c>
      <c r="E19" s="42">
        <v>66</v>
      </c>
      <c r="F19" s="48">
        <f t="shared" si="0"/>
        <v>0</v>
      </c>
    </row>
    <row r="20" spans="3:6" x14ac:dyDescent="0.25">
      <c r="C20" s="157"/>
      <c r="D20" s="42">
        <v>5</v>
      </c>
      <c r="E20" s="42">
        <v>102</v>
      </c>
      <c r="F20" s="48">
        <f t="shared" si="0"/>
        <v>0</v>
      </c>
    </row>
    <row r="21" spans="3:6" x14ac:dyDescent="0.25">
      <c r="C21" s="157"/>
      <c r="D21" s="42">
        <v>6</v>
      </c>
      <c r="E21" s="42">
        <v>147</v>
      </c>
      <c r="F21" s="48">
        <f t="shared" si="0"/>
        <v>0</v>
      </c>
    </row>
    <row r="22" spans="3:6" x14ac:dyDescent="0.25">
      <c r="C22" s="157"/>
      <c r="D22" s="42">
        <v>8</v>
      </c>
      <c r="E22" s="42">
        <v>261</v>
      </c>
      <c r="F22" s="48">
        <f t="shared" si="0"/>
        <v>0</v>
      </c>
    </row>
    <row r="23" spans="3:6" x14ac:dyDescent="0.25">
      <c r="C23" s="157"/>
      <c r="D23" s="42">
        <v>10</v>
      </c>
      <c r="E23" s="42">
        <v>408</v>
      </c>
      <c r="F23" s="48">
        <f t="shared" si="0"/>
        <v>0</v>
      </c>
    </row>
    <row r="24" spans="3:6" x14ac:dyDescent="0.25">
      <c r="C24" s="157"/>
      <c r="D24" s="42">
        <v>12</v>
      </c>
      <c r="E24" s="42">
        <v>588</v>
      </c>
      <c r="F24" s="48">
        <f t="shared" si="0"/>
        <v>0</v>
      </c>
    </row>
    <row r="25" spans="3:6" x14ac:dyDescent="0.25">
      <c r="C25" s="157"/>
      <c r="D25" s="42">
        <v>14</v>
      </c>
      <c r="E25" s="42">
        <v>716</v>
      </c>
      <c r="F25" s="48">
        <f t="shared" si="0"/>
        <v>0</v>
      </c>
    </row>
    <row r="26" spans="3:6" x14ac:dyDescent="0.25">
      <c r="C26" s="157"/>
      <c r="D26" s="42">
        <v>16</v>
      </c>
      <c r="E26" s="42">
        <v>950</v>
      </c>
      <c r="F26" s="48">
        <f t="shared" si="0"/>
        <v>0</v>
      </c>
    </row>
    <row r="27" spans="3:6" x14ac:dyDescent="0.25">
      <c r="C27" s="157"/>
      <c r="D27" s="42">
        <v>18</v>
      </c>
      <c r="E27" s="42">
        <v>1200</v>
      </c>
      <c r="F27" s="48">
        <f t="shared" si="0"/>
        <v>0</v>
      </c>
    </row>
    <row r="28" spans="3:6" x14ac:dyDescent="0.25">
      <c r="C28" s="157"/>
      <c r="D28" s="42">
        <v>20</v>
      </c>
      <c r="E28" s="42">
        <v>1500</v>
      </c>
      <c r="F28" s="48">
        <f t="shared" si="0"/>
        <v>0</v>
      </c>
    </row>
    <row r="29" spans="3:6" x14ac:dyDescent="0.25">
      <c r="C29" s="157"/>
      <c r="D29" s="42">
        <v>24</v>
      </c>
      <c r="E29" s="42">
        <v>2350</v>
      </c>
      <c r="F29" s="48">
        <f t="shared" si="0"/>
        <v>0</v>
      </c>
    </row>
    <row r="30" spans="3:6" x14ac:dyDescent="0.25">
      <c r="C30" s="158"/>
      <c r="D30" s="43">
        <v>26</v>
      </c>
      <c r="E30" s="43">
        <v>2760</v>
      </c>
      <c r="F30" s="49">
        <f t="shared" si="0"/>
        <v>0</v>
      </c>
    </row>
    <row r="31" spans="3:6" x14ac:dyDescent="0.25">
      <c r="C31" s="46" t="s">
        <v>110</v>
      </c>
      <c r="E31" s="3" t="s">
        <v>105</v>
      </c>
      <c r="F31" s="183"/>
    </row>
    <row r="32" spans="3:6" x14ac:dyDescent="0.25">
      <c r="E32" s="3" t="s">
        <v>108</v>
      </c>
      <c r="F32" s="183">
        <v>25</v>
      </c>
    </row>
    <row r="33" spans="4:6" x14ac:dyDescent="0.25">
      <c r="D33" s="1"/>
      <c r="E33" s="3" t="s">
        <v>107</v>
      </c>
      <c r="F33" s="183"/>
    </row>
    <row r="34" spans="4:6" x14ac:dyDescent="0.25">
      <c r="E34" s="3" t="s">
        <v>134</v>
      </c>
      <c r="F34" s="183">
        <v>20</v>
      </c>
    </row>
    <row r="35" spans="4:6" x14ac:dyDescent="0.25">
      <c r="E35" s="3" t="s">
        <v>106</v>
      </c>
      <c r="F35" s="184"/>
    </row>
    <row r="36" spans="4:6" x14ac:dyDescent="0.25">
      <c r="E36" s="3" t="s">
        <v>109</v>
      </c>
      <c r="F36" s="159">
        <f>SUM(F11:F35)</f>
        <v>45</v>
      </c>
    </row>
    <row r="37" spans="4:6" x14ac:dyDescent="0.25">
      <c r="E37" s="3" t="s">
        <v>111</v>
      </c>
      <c r="F37" s="160">
        <f>F36/55</f>
        <v>0.81818181818181823</v>
      </c>
    </row>
    <row r="41" spans="4:6" x14ac:dyDescent="0.25">
      <c r="E41" s="3"/>
    </row>
  </sheetData>
  <sheetProtection formatCells="0" formatColumns="0" formatRows="0" insertColumns="0" insertRows="0" insertHyperlinks="0" deleteColumns="0" deleteRows="0" sort="0" autoFilter="0" pivotTables="0"/>
  <mergeCells count="2">
    <mergeCell ref="A1:N1"/>
    <mergeCell ref="C9:F9"/>
  </mergeCells>
  <printOptions horizontalCentered="1"/>
  <pageMargins left="0.5" right="0.5" top="0.5" bottom="0.75" header="0.25" footer="0.3"/>
  <pageSetup scale="91" orientation="landscape" verticalDpi="0" r:id="rId1"/>
  <headerFooter>
    <oddHeader>&amp;L&amp;"Arial Narrow,Regular"&amp;9&amp;F&amp;R&amp;"Arial Narrow,Regular"&amp;9&amp;A</oddHeader>
    <oddFooter>&amp;L&amp;"Arial Narrow,Regular"&amp;9&amp;D&amp;T&amp;C&amp;"Arial Narrow,Regular"&amp;9Page &amp;P of &amp;N&amp;R&amp;"Arial Narrow,Regular"&amp;9&amp;Z&amp;F</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autoPageBreaks="0"/>
  </sheetPr>
  <dimension ref="A1:N513"/>
  <sheetViews>
    <sheetView showGridLines="0" workbookViewId="0">
      <pane xSplit="14" ySplit="1" topLeftCell="O2" activePane="bottomRight" state="frozen"/>
      <selection pane="topRight" activeCell="O1" sqref="O1"/>
      <selection pane="bottomLeft" activeCell="A2" sqref="A2"/>
      <selection pane="bottomRight" activeCell="G26" sqref="G26"/>
    </sheetView>
  </sheetViews>
  <sheetFormatPr defaultColWidth="8.85546875" defaultRowHeight="12.75" x14ac:dyDescent="0.2"/>
  <cols>
    <col min="1" max="1" width="9.85546875" style="593" customWidth="1"/>
    <col min="2" max="2" width="10" style="593" customWidth="1"/>
    <col min="3" max="3" width="10.42578125" style="593" customWidth="1"/>
    <col min="4" max="4" width="9.28515625" style="593" customWidth="1"/>
    <col min="5" max="5" width="11.140625" style="593" customWidth="1"/>
    <col min="6" max="6" width="10.85546875" style="593" customWidth="1"/>
    <col min="7" max="7" width="9.28515625" style="593" customWidth="1"/>
    <col min="8" max="8" width="10.85546875" style="593" customWidth="1"/>
    <col min="9" max="9" width="13.42578125" style="593" customWidth="1"/>
    <col min="10" max="10" width="8.85546875" style="593"/>
    <col min="11" max="14" width="8.85546875" style="634"/>
    <col min="15" max="16384" width="8.85546875" style="593"/>
  </cols>
  <sheetData>
    <row r="1" spans="1:14" s="624" customFormat="1" ht="41.25" customHeight="1" thickBot="1" x14ac:dyDescent="0.3">
      <c r="A1" s="620" t="s">
        <v>847</v>
      </c>
      <c r="B1" s="621" t="s">
        <v>848</v>
      </c>
      <c r="C1" s="621" t="s">
        <v>849</v>
      </c>
      <c r="D1" s="621" t="s">
        <v>850</v>
      </c>
      <c r="E1" s="621" t="s">
        <v>851</v>
      </c>
      <c r="F1" s="621" t="s">
        <v>852</v>
      </c>
      <c r="G1" s="621" t="s">
        <v>853</v>
      </c>
      <c r="H1" s="621" t="s">
        <v>854</v>
      </c>
      <c r="I1" s="621" t="s">
        <v>855</v>
      </c>
      <c r="J1" s="621" t="s">
        <v>7</v>
      </c>
      <c r="K1" s="622" t="s">
        <v>72</v>
      </c>
      <c r="L1" s="622" t="s">
        <v>863</v>
      </c>
      <c r="M1" s="622" t="s">
        <v>864</v>
      </c>
      <c r="N1" s="623" t="s">
        <v>865</v>
      </c>
    </row>
    <row r="2" spans="1:14" x14ac:dyDescent="0.2">
      <c r="A2" s="625" t="s">
        <v>588</v>
      </c>
      <c r="B2" s="626">
        <v>0.84</v>
      </c>
      <c r="C2" s="626">
        <v>0.109</v>
      </c>
      <c r="D2" s="626">
        <v>0.622</v>
      </c>
      <c r="E2" s="626">
        <v>0.85</v>
      </c>
      <c r="F2" s="626" t="s">
        <v>856</v>
      </c>
      <c r="G2" s="626">
        <v>40</v>
      </c>
      <c r="H2" s="626">
        <v>4.07E-2</v>
      </c>
      <c r="I2" s="626">
        <v>1.5800000000000002E-2</v>
      </c>
      <c r="J2" s="627">
        <v>200</v>
      </c>
      <c r="K2" s="628">
        <f>Table4[[#This Row],[Qty]]*Table4[[#This Row],[Gallon Capacity Per Linear Foot]]</f>
        <v>3.16</v>
      </c>
      <c r="L2" s="628">
        <f>Table4[[#This Row],[Gallons]]*7.48</f>
        <v>23.636800000000001</v>
      </c>
      <c r="M2" s="628">
        <f>Table4[[#This Row],[Qty]]*Table4[[#This Row],[Weight per Foot]]</f>
        <v>170</v>
      </c>
      <c r="N2" s="628">
        <f>Table4[[#This Row],[Pipe Wt. ]]+Table4[[#This Row],[Fluid Wt. ]]</f>
        <v>193.63679999999999</v>
      </c>
    </row>
    <row r="3" spans="1:14" x14ac:dyDescent="0.2">
      <c r="A3" s="625" t="s">
        <v>588</v>
      </c>
      <c r="B3" s="626">
        <v>0.84</v>
      </c>
      <c r="C3" s="626">
        <v>0.14699999999999999</v>
      </c>
      <c r="D3" s="626">
        <v>0.54600000000000004</v>
      </c>
      <c r="E3" s="626">
        <v>1.0900000000000001</v>
      </c>
      <c r="F3" s="626" t="s">
        <v>857</v>
      </c>
      <c r="G3" s="626">
        <v>80</v>
      </c>
      <c r="H3" s="626">
        <v>4.7800000000000002E-2</v>
      </c>
      <c r="I3" s="626">
        <v>1.2200000000000001E-2</v>
      </c>
      <c r="J3" s="629"/>
      <c r="K3" s="628">
        <f>Table4[[#This Row],[Qty]]*Table4[[#This Row],[Gallon Capacity Per Linear Foot]]</f>
        <v>0</v>
      </c>
      <c r="L3" s="628">
        <f>Table4[[#This Row],[Gallons]]*7.48</f>
        <v>0</v>
      </c>
      <c r="M3" s="628">
        <f>Table4[[#This Row],[Qty]]*Table4[[#This Row],[Weight per Foot]]</f>
        <v>0</v>
      </c>
      <c r="N3" s="628">
        <f>Table4[[#This Row],[Pipe Wt. ]]+Table4[[#This Row],[Fluid Wt. ]]</f>
        <v>0</v>
      </c>
    </row>
    <row r="4" spans="1:14" x14ac:dyDescent="0.2">
      <c r="A4" s="625" t="s">
        <v>588</v>
      </c>
      <c r="B4" s="626">
        <v>0.84</v>
      </c>
      <c r="C4" s="626">
        <v>0.188</v>
      </c>
      <c r="D4" s="626">
        <v>0.46400000000000002</v>
      </c>
      <c r="E4" s="626">
        <v>1.31</v>
      </c>
      <c r="F4" s="626"/>
      <c r="G4" s="626">
        <v>160</v>
      </c>
      <c r="H4" s="626">
        <v>5.28E-2</v>
      </c>
      <c r="I4" s="626">
        <v>8.8000000000000005E-3</v>
      </c>
      <c r="J4" s="629"/>
      <c r="K4" s="628">
        <f>Table4[[#This Row],[Qty]]*Table4[[#This Row],[Gallon Capacity Per Linear Foot]]</f>
        <v>0</v>
      </c>
      <c r="L4" s="628">
        <f>Table4[[#This Row],[Gallons]]*7.48</f>
        <v>0</v>
      </c>
      <c r="M4" s="628">
        <f>Table4[[#This Row],[Qty]]*Table4[[#This Row],[Weight per Foot]]</f>
        <v>0</v>
      </c>
      <c r="N4" s="628">
        <f>Table4[[#This Row],[Pipe Wt. ]]+Table4[[#This Row],[Fluid Wt. ]]</f>
        <v>0</v>
      </c>
    </row>
    <row r="5" spans="1:14" x14ac:dyDescent="0.2">
      <c r="A5" s="625" t="s">
        <v>588</v>
      </c>
      <c r="B5" s="626">
        <v>0.84</v>
      </c>
      <c r="C5" s="626">
        <v>0.29399999999999998</v>
      </c>
      <c r="D5" s="626">
        <v>0.252</v>
      </c>
      <c r="E5" s="626">
        <v>1.72</v>
      </c>
      <c r="F5" s="626" t="s">
        <v>858</v>
      </c>
      <c r="G5" s="626"/>
      <c r="H5" s="626">
        <v>5.7700000000000001E-2</v>
      </c>
      <c r="I5" s="626">
        <v>2.5999999999999999E-3</v>
      </c>
      <c r="J5" s="629"/>
      <c r="K5" s="628">
        <f>Table4[[#This Row],[Qty]]*Table4[[#This Row],[Gallon Capacity Per Linear Foot]]</f>
        <v>0</v>
      </c>
      <c r="L5" s="628">
        <f>Table4[[#This Row],[Gallons]]*7.48</f>
        <v>0</v>
      </c>
      <c r="M5" s="628">
        <f>Table4[[#This Row],[Qty]]*Table4[[#This Row],[Weight per Foot]]</f>
        <v>0</v>
      </c>
      <c r="N5" s="628">
        <f>Table4[[#This Row],[Pipe Wt. ]]+Table4[[#This Row],[Fluid Wt. ]]</f>
        <v>0</v>
      </c>
    </row>
    <row r="6" spans="1:14" x14ac:dyDescent="0.2">
      <c r="A6" s="625" t="s">
        <v>621</v>
      </c>
      <c r="B6" s="626">
        <v>1.05</v>
      </c>
      <c r="C6" s="626">
        <v>0.113</v>
      </c>
      <c r="D6" s="626">
        <v>0.82399999999999995</v>
      </c>
      <c r="E6" s="626">
        <v>1.1299999999999999</v>
      </c>
      <c r="F6" s="626" t="s">
        <v>856</v>
      </c>
      <c r="G6" s="626">
        <v>40</v>
      </c>
      <c r="H6" s="626">
        <v>7.0499999999999993E-2</v>
      </c>
      <c r="I6" s="626">
        <v>2.7699999999999999E-2</v>
      </c>
      <c r="J6" s="629"/>
      <c r="K6" s="628">
        <f>Table4[[#This Row],[Qty]]*Table4[[#This Row],[Gallon Capacity Per Linear Foot]]</f>
        <v>0</v>
      </c>
      <c r="L6" s="628">
        <f>Table4[[#This Row],[Gallons]]*7.48</f>
        <v>0</v>
      </c>
      <c r="M6" s="628">
        <f>Table4[[#This Row],[Qty]]*Table4[[#This Row],[Weight per Foot]]</f>
        <v>0</v>
      </c>
      <c r="N6" s="628">
        <f>Table4[[#This Row],[Pipe Wt. ]]+Table4[[#This Row],[Fluid Wt. ]]</f>
        <v>0</v>
      </c>
    </row>
    <row r="7" spans="1:14" x14ac:dyDescent="0.2">
      <c r="A7" s="625" t="s">
        <v>621</v>
      </c>
      <c r="B7" s="626">
        <v>1.05</v>
      </c>
      <c r="C7" s="626">
        <v>0.154</v>
      </c>
      <c r="D7" s="626">
        <v>0.74199999999999999</v>
      </c>
      <c r="E7" s="626">
        <v>1.48</v>
      </c>
      <c r="F7" s="626" t="s">
        <v>857</v>
      </c>
      <c r="G7" s="626">
        <v>80</v>
      </c>
      <c r="H7" s="626">
        <v>8.5300000000000001E-2</v>
      </c>
      <c r="I7" s="626">
        <v>2.2499999999999999E-2</v>
      </c>
      <c r="J7" s="629"/>
      <c r="K7" s="628">
        <f>Table4[[#This Row],[Qty]]*Table4[[#This Row],[Gallon Capacity Per Linear Foot]]</f>
        <v>0</v>
      </c>
      <c r="L7" s="628">
        <f>Table4[[#This Row],[Gallons]]*7.48</f>
        <v>0</v>
      </c>
      <c r="M7" s="628">
        <f>Table4[[#This Row],[Qty]]*Table4[[#This Row],[Weight per Foot]]</f>
        <v>0</v>
      </c>
      <c r="N7" s="628">
        <f>Table4[[#This Row],[Pipe Wt. ]]+Table4[[#This Row],[Fluid Wt. ]]</f>
        <v>0</v>
      </c>
    </row>
    <row r="8" spans="1:14" x14ac:dyDescent="0.2">
      <c r="A8" s="625" t="s">
        <v>621</v>
      </c>
      <c r="B8" s="626">
        <v>1.05</v>
      </c>
      <c r="C8" s="626">
        <v>0.219</v>
      </c>
      <c r="D8" s="626">
        <v>0.61199999999999999</v>
      </c>
      <c r="E8" s="626">
        <v>1.95</v>
      </c>
      <c r="F8" s="626"/>
      <c r="G8" s="626">
        <v>160</v>
      </c>
      <c r="H8" s="626">
        <v>0.10059999999999999</v>
      </c>
      <c r="I8" s="626">
        <v>1.5299999999999999E-2</v>
      </c>
      <c r="J8" s="629"/>
      <c r="K8" s="628">
        <f>Table4[[#This Row],[Qty]]*Table4[[#This Row],[Gallon Capacity Per Linear Foot]]</f>
        <v>0</v>
      </c>
      <c r="L8" s="628">
        <f>Table4[[#This Row],[Gallons]]*7.48</f>
        <v>0</v>
      </c>
      <c r="M8" s="628">
        <f>Table4[[#This Row],[Qty]]*Table4[[#This Row],[Weight per Foot]]</f>
        <v>0</v>
      </c>
      <c r="N8" s="628">
        <f>Table4[[#This Row],[Pipe Wt. ]]+Table4[[#This Row],[Fluid Wt. ]]</f>
        <v>0</v>
      </c>
    </row>
    <row r="9" spans="1:14" x14ac:dyDescent="0.2">
      <c r="A9" s="625" t="s">
        <v>621</v>
      </c>
      <c r="B9" s="626">
        <v>1.05</v>
      </c>
      <c r="C9" s="626">
        <v>0.308</v>
      </c>
      <c r="D9" s="626">
        <v>0.434</v>
      </c>
      <c r="E9" s="626">
        <v>2.44</v>
      </c>
      <c r="F9" s="626" t="s">
        <v>858</v>
      </c>
      <c r="G9" s="626"/>
      <c r="H9" s="626">
        <v>0.1103</v>
      </c>
      <c r="I9" s="626">
        <v>7.7000000000000002E-3</v>
      </c>
      <c r="J9" s="629"/>
      <c r="K9" s="628">
        <f>Table4[[#This Row],[Qty]]*Table4[[#This Row],[Gallon Capacity Per Linear Foot]]</f>
        <v>0</v>
      </c>
      <c r="L9" s="628">
        <f>Table4[[#This Row],[Gallons]]*7.48</f>
        <v>0</v>
      </c>
      <c r="M9" s="628">
        <f>Table4[[#This Row],[Qty]]*Table4[[#This Row],[Weight per Foot]]</f>
        <v>0</v>
      </c>
      <c r="N9" s="628">
        <f>Table4[[#This Row],[Pipe Wt. ]]+Table4[[#This Row],[Fluid Wt. ]]</f>
        <v>0</v>
      </c>
    </row>
    <row r="10" spans="1:14" x14ac:dyDescent="0.2">
      <c r="A10" s="626">
        <v>1</v>
      </c>
      <c r="B10" s="626">
        <v>1.3149999999999999</v>
      </c>
      <c r="C10" s="626">
        <v>0.13300000000000001</v>
      </c>
      <c r="D10" s="626">
        <v>1.0489999999999999</v>
      </c>
      <c r="E10" s="626">
        <v>1.68</v>
      </c>
      <c r="F10" s="626" t="s">
        <v>856</v>
      </c>
      <c r="G10" s="626">
        <v>40</v>
      </c>
      <c r="H10" s="626">
        <v>0.1328</v>
      </c>
      <c r="I10" s="626">
        <v>4.4900000000000002E-2</v>
      </c>
      <c r="J10" s="629">
        <v>20</v>
      </c>
      <c r="K10" s="628">
        <f>Table4[[#This Row],[Qty]]*Table4[[#This Row],[Gallon Capacity Per Linear Foot]]</f>
        <v>0.89800000000000002</v>
      </c>
      <c r="L10" s="628">
        <f>Table4[[#This Row],[Gallons]]*7.48</f>
        <v>6.7170400000000008</v>
      </c>
      <c r="M10" s="628">
        <f>Table4[[#This Row],[Qty]]*Table4[[#This Row],[Weight per Foot]]</f>
        <v>33.6</v>
      </c>
      <c r="N10" s="628">
        <f>Table4[[#This Row],[Pipe Wt. ]]+Table4[[#This Row],[Fluid Wt. ]]</f>
        <v>40.317040000000006</v>
      </c>
    </row>
    <row r="11" spans="1:14" x14ac:dyDescent="0.2">
      <c r="A11" s="626">
        <v>1</v>
      </c>
      <c r="B11" s="626">
        <v>1.3149999999999999</v>
      </c>
      <c r="C11" s="626">
        <v>0.17899999999999999</v>
      </c>
      <c r="D11" s="626">
        <v>0.95699999999999996</v>
      </c>
      <c r="E11" s="626">
        <v>2.17</v>
      </c>
      <c r="F11" s="626" t="s">
        <v>857</v>
      </c>
      <c r="G11" s="626">
        <v>80</v>
      </c>
      <c r="H11" s="626">
        <v>0.16059999999999999</v>
      </c>
      <c r="I11" s="626">
        <v>3.7400000000000003E-2</v>
      </c>
      <c r="J11" s="629"/>
      <c r="K11" s="628">
        <f>Table4[[#This Row],[Qty]]*Table4[[#This Row],[Gallon Capacity Per Linear Foot]]</f>
        <v>0</v>
      </c>
      <c r="L11" s="628">
        <f>Table4[[#This Row],[Gallons]]*7.48</f>
        <v>0</v>
      </c>
      <c r="M11" s="628">
        <f>Table4[[#This Row],[Qty]]*Table4[[#This Row],[Weight per Foot]]</f>
        <v>0</v>
      </c>
      <c r="N11" s="628">
        <f>Table4[[#This Row],[Pipe Wt. ]]+Table4[[#This Row],[Fluid Wt. ]]</f>
        <v>0</v>
      </c>
    </row>
    <row r="12" spans="1:14" x14ac:dyDescent="0.2">
      <c r="A12" s="626">
        <v>1</v>
      </c>
      <c r="B12" s="626">
        <v>1.3149999999999999</v>
      </c>
      <c r="C12" s="626">
        <v>0.25</v>
      </c>
      <c r="D12" s="626">
        <v>0.81499999999999995</v>
      </c>
      <c r="E12" s="626">
        <v>2.85</v>
      </c>
      <c r="F12" s="626"/>
      <c r="G12" s="626">
        <v>160</v>
      </c>
      <c r="H12" s="626">
        <v>0.19040000000000001</v>
      </c>
      <c r="I12" s="626">
        <v>2.7099999999999999E-2</v>
      </c>
      <c r="J12" s="629"/>
      <c r="K12" s="628">
        <f>Table4[[#This Row],[Qty]]*Table4[[#This Row],[Gallon Capacity Per Linear Foot]]</f>
        <v>0</v>
      </c>
      <c r="L12" s="628">
        <f>Table4[[#This Row],[Gallons]]*7.48</f>
        <v>0</v>
      </c>
      <c r="M12" s="628">
        <f>Table4[[#This Row],[Qty]]*Table4[[#This Row],[Weight per Foot]]</f>
        <v>0</v>
      </c>
      <c r="N12" s="628">
        <f>Table4[[#This Row],[Pipe Wt. ]]+Table4[[#This Row],[Fluid Wt. ]]</f>
        <v>0</v>
      </c>
    </row>
    <row r="13" spans="1:14" x14ac:dyDescent="0.2">
      <c r="A13" s="626">
        <v>1</v>
      </c>
      <c r="B13" s="626">
        <v>1.3149999999999999</v>
      </c>
      <c r="C13" s="626">
        <v>0.35799999999999998</v>
      </c>
      <c r="D13" s="626">
        <v>0.59899999999999998</v>
      </c>
      <c r="E13" s="626">
        <v>3.66</v>
      </c>
      <c r="F13" s="626" t="s">
        <v>858</v>
      </c>
      <c r="G13" s="626"/>
      <c r="H13" s="626">
        <v>0.21360000000000001</v>
      </c>
      <c r="I13" s="626">
        <v>1.46E-2</v>
      </c>
      <c r="J13" s="629"/>
      <c r="K13" s="628">
        <f>Table4[[#This Row],[Qty]]*Table4[[#This Row],[Gallon Capacity Per Linear Foot]]</f>
        <v>0</v>
      </c>
      <c r="L13" s="628">
        <f>Table4[[#This Row],[Gallons]]*7.48</f>
        <v>0</v>
      </c>
      <c r="M13" s="628">
        <f>Table4[[#This Row],[Qty]]*Table4[[#This Row],[Weight per Foot]]</f>
        <v>0</v>
      </c>
      <c r="N13" s="628">
        <f>Table4[[#This Row],[Pipe Wt. ]]+Table4[[#This Row],[Fluid Wt. ]]</f>
        <v>0</v>
      </c>
    </row>
    <row r="14" spans="1:14" x14ac:dyDescent="0.2">
      <c r="A14" s="630">
        <v>1.25</v>
      </c>
      <c r="B14" s="626">
        <v>1.66</v>
      </c>
      <c r="C14" s="626">
        <v>0.14000000000000001</v>
      </c>
      <c r="D14" s="626">
        <v>1.38</v>
      </c>
      <c r="E14" s="626">
        <v>2.27</v>
      </c>
      <c r="F14" s="626" t="s">
        <v>856</v>
      </c>
      <c r="G14" s="626">
        <v>40</v>
      </c>
      <c r="H14" s="626">
        <v>0.2346</v>
      </c>
      <c r="I14" s="626">
        <v>7.7700000000000005E-2</v>
      </c>
      <c r="J14" s="629"/>
      <c r="K14" s="628">
        <f>Table4[[#This Row],[Qty]]*Table4[[#This Row],[Gallon Capacity Per Linear Foot]]</f>
        <v>0</v>
      </c>
      <c r="L14" s="628">
        <f>Table4[[#This Row],[Gallons]]*7.48</f>
        <v>0</v>
      </c>
      <c r="M14" s="628">
        <f>Table4[[#This Row],[Qty]]*Table4[[#This Row],[Weight per Foot]]</f>
        <v>0</v>
      </c>
      <c r="N14" s="628">
        <f>Table4[[#This Row],[Pipe Wt. ]]+Table4[[#This Row],[Fluid Wt. ]]</f>
        <v>0</v>
      </c>
    </row>
    <row r="15" spans="1:14" x14ac:dyDescent="0.2">
      <c r="A15" s="630">
        <v>1.25</v>
      </c>
      <c r="B15" s="626">
        <v>1.66</v>
      </c>
      <c r="C15" s="626">
        <v>0.191</v>
      </c>
      <c r="D15" s="626">
        <v>1.278</v>
      </c>
      <c r="E15" s="626">
        <v>3</v>
      </c>
      <c r="F15" s="626" t="s">
        <v>857</v>
      </c>
      <c r="G15" s="626">
        <v>80</v>
      </c>
      <c r="H15" s="626">
        <v>0.2913</v>
      </c>
      <c r="I15" s="626">
        <v>6.6600000000000006E-2</v>
      </c>
      <c r="J15" s="629"/>
      <c r="K15" s="628">
        <f>Table4[[#This Row],[Qty]]*Table4[[#This Row],[Gallon Capacity Per Linear Foot]]</f>
        <v>0</v>
      </c>
      <c r="L15" s="628">
        <f>Table4[[#This Row],[Gallons]]*7.48</f>
        <v>0</v>
      </c>
      <c r="M15" s="628">
        <f>Table4[[#This Row],[Qty]]*Table4[[#This Row],[Weight per Foot]]</f>
        <v>0</v>
      </c>
      <c r="N15" s="628">
        <f>Table4[[#This Row],[Pipe Wt. ]]+Table4[[#This Row],[Fluid Wt. ]]</f>
        <v>0</v>
      </c>
    </row>
    <row r="16" spans="1:14" x14ac:dyDescent="0.2">
      <c r="A16" s="630">
        <v>1.25</v>
      </c>
      <c r="B16" s="626">
        <v>1.66</v>
      </c>
      <c r="C16" s="626">
        <v>0.25</v>
      </c>
      <c r="D16" s="626">
        <v>1.1599999999999999</v>
      </c>
      <c r="E16" s="626">
        <v>3.77</v>
      </c>
      <c r="F16" s="626"/>
      <c r="G16" s="626">
        <v>160</v>
      </c>
      <c r="H16" s="626">
        <v>0.34210000000000002</v>
      </c>
      <c r="I16" s="626">
        <v>5.4899999999999997E-2</v>
      </c>
      <c r="J16" s="629"/>
      <c r="K16" s="628">
        <f>Table4[[#This Row],[Qty]]*Table4[[#This Row],[Gallon Capacity Per Linear Foot]]</f>
        <v>0</v>
      </c>
      <c r="L16" s="628">
        <f>Table4[[#This Row],[Gallons]]*7.48</f>
        <v>0</v>
      </c>
      <c r="M16" s="628">
        <f>Table4[[#This Row],[Qty]]*Table4[[#This Row],[Weight per Foot]]</f>
        <v>0</v>
      </c>
      <c r="N16" s="628">
        <f>Table4[[#This Row],[Pipe Wt. ]]+Table4[[#This Row],[Fluid Wt. ]]</f>
        <v>0</v>
      </c>
    </row>
    <row r="17" spans="1:14" x14ac:dyDescent="0.2">
      <c r="A17" s="630">
        <v>1.25</v>
      </c>
      <c r="B17" s="626">
        <v>1.66</v>
      </c>
      <c r="C17" s="626">
        <v>0.38200000000000001</v>
      </c>
      <c r="D17" s="626">
        <v>0.89600000000000002</v>
      </c>
      <c r="E17" s="626">
        <v>5.22</v>
      </c>
      <c r="F17" s="626"/>
      <c r="G17" s="626"/>
      <c r="H17" s="626">
        <v>0.41099999999999998</v>
      </c>
      <c r="I17" s="626">
        <v>3.2800000000000003E-2</v>
      </c>
      <c r="J17" s="629"/>
      <c r="K17" s="628">
        <f>Table4[[#This Row],[Qty]]*Table4[[#This Row],[Gallon Capacity Per Linear Foot]]</f>
        <v>0</v>
      </c>
      <c r="L17" s="628">
        <f>Table4[[#This Row],[Gallons]]*7.48</f>
        <v>0</v>
      </c>
      <c r="M17" s="628">
        <f>Table4[[#This Row],[Qty]]*Table4[[#This Row],[Weight per Foot]]</f>
        <v>0</v>
      </c>
      <c r="N17" s="628">
        <f>Table4[[#This Row],[Pipe Wt. ]]+Table4[[#This Row],[Fluid Wt. ]]</f>
        <v>0</v>
      </c>
    </row>
    <row r="18" spans="1:14" x14ac:dyDescent="0.2">
      <c r="A18" s="630">
        <v>1.5</v>
      </c>
      <c r="B18" s="626">
        <v>1.9</v>
      </c>
      <c r="C18" s="626">
        <v>0.14499999999999999</v>
      </c>
      <c r="D18" s="626">
        <v>1.61</v>
      </c>
      <c r="E18" s="626">
        <v>2.72</v>
      </c>
      <c r="F18" s="626" t="s">
        <v>856</v>
      </c>
      <c r="G18" s="626">
        <v>40</v>
      </c>
      <c r="H18" s="626">
        <v>0.32619999999999999</v>
      </c>
      <c r="I18" s="626">
        <v>0.10580000000000001</v>
      </c>
      <c r="J18" s="629"/>
      <c r="K18" s="628">
        <f>Table4[[#This Row],[Qty]]*Table4[[#This Row],[Gallon Capacity Per Linear Foot]]</f>
        <v>0</v>
      </c>
      <c r="L18" s="628">
        <f>Table4[[#This Row],[Gallons]]*7.48</f>
        <v>0</v>
      </c>
      <c r="M18" s="628">
        <f>Table4[[#This Row],[Qty]]*Table4[[#This Row],[Weight per Foot]]</f>
        <v>0</v>
      </c>
      <c r="N18" s="628">
        <f>Table4[[#This Row],[Pipe Wt. ]]+Table4[[#This Row],[Fluid Wt. ]]</f>
        <v>0</v>
      </c>
    </row>
    <row r="19" spans="1:14" x14ac:dyDescent="0.2">
      <c r="A19" s="630">
        <v>1.5</v>
      </c>
      <c r="B19" s="626">
        <v>1.9</v>
      </c>
      <c r="C19" s="626">
        <v>0.2</v>
      </c>
      <c r="D19" s="626">
        <v>1.5</v>
      </c>
      <c r="E19" s="626">
        <v>3.63</v>
      </c>
      <c r="F19" s="626" t="s">
        <v>857</v>
      </c>
      <c r="G19" s="626">
        <v>80</v>
      </c>
      <c r="H19" s="626">
        <v>0.4118</v>
      </c>
      <c r="I19" s="626">
        <v>9.1800000000000007E-2</v>
      </c>
      <c r="J19" s="629"/>
      <c r="K19" s="628">
        <f>Table4[[#This Row],[Qty]]*Table4[[#This Row],[Gallon Capacity Per Linear Foot]]</f>
        <v>0</v>
      </c>
      <c r="L19" s="628">
        <f>Table4[[#This Row],[Gallons]]*7.48</f>
        <v>0</v>
      </c>
      <c r="M19" s="628">
        <f>Table4[[#This Row],[Qty]]*Table4[[#This Row],[Weight per Foot]]</f>
        <v>0</v>
      </c>
      <c r="N19" s="628">
        <f>Table4[[#This Row],[Pipe Wt. ]]+Table4[[#This Row],[Fluid Wt. ]]</f>
        <v>0</v>
      </c>
    </row>
    <row r="20" spans="1:14" x14ac:dyDescent="0.2">
      <c r="A20" s="630">
        <v>1.5</v>
      </c>
      <c r="B20" s="626">
        <v>1.9</v>
      </c>
      <c r="C20" s="626">
        <v>0.28100000000000003</v>
      </c>
      <c r="D20" s="626">
        <v>1.3380000000000001</v>
      </c>
      <c r="E20" s="626">
        <v>4.8600000000000003</v>
      </c>
      <c r="F20" s="626"/>
      <c r="G20" s="626">
        <v>160</v>
      </c>
      <c r="H20" s="626">
        <v>0.50790000000000002</v>
      </c>
      <c r="I20" s="626">
        <v>7.2999999999999995E-2</v>
      </c>
      <c r="J20" s="629"/>
      <c r="K20" s="628">
        <f>Table4[[#This Row],[Qty]]*Table4[[#This Row],[Gallon Capacity Per Linear Foot]]</f>
        <v>0</v>
      </c>
      <c r="L20" s="628">
        <f>Table4[[#This Row],[Gallons]]*7.48</f>
        <v>0</v>
      </c>
      <c r="M20" s="628">
        <f>Table4[[#This Row],[Qty]]*Table4[[#This Row],[Weight per Foot]]</f>
        <v>0</v>
      </c>
      <c r="N20" s="628">
        <f>Table4[[#This Row],[Pipe Wt. ]]+Table4[[#This Row],[Fluid Wt. ]]</f>
        <v>0</v>
      </c>
    </row>
    <row r="21" spans="1:14" x14ac:dyDescent="0.2">
      <c r="A21" s="630">
        <v>1.5</v>
      </c>
      <c r="B21" s="626">
        <v>1.9</v>
      </c>
      <c r="C21" s="626">
        <v>0.4</v>
      </c>
      <c r="D21" s="626">
        <v>1.1000000000000001</v>
      </c>
      <c r="E21" s="626">
        <v>6.41</v>
      </c>
      <c r="F21" s="626"/>
      <c r="G21" s="626"/>
      <c r="H21" s="626">
        <v>0.59770000000000001</v>
      </c>
      <c r="I21" s="626">
        <v>4.9399999999999999E-2</v>
      </c>
      <c r="J21" s="629"/>
      <c r="K21" s="628">
        <f>Table4[[#This Row],[Qty]]*Table4[[#This Row],[Gallon Capacity Per Linear Foot]]</f>
        <v>0</v>
      </c>
      <c r="L21" s="628">
        <f>Table4[[#This Row],[Gallons]]*7.48</f>
        <v>0</v>
      </c>
      <c r="M21" s="628">
        <f>Table4[[#This Row],[Qty]]*Table4[[#This Row],[Weight per Foot]]</f>
        <v>0</v>
      </c>
      <c r="N21" s="628">
        <f>Table4[[#This Row],[Pipe Wt. ]]+Table4[[#This Row],[Fluid Wt. ]]</f>
        <v>0</v>
      </c>
    </row>
    <row r="22" spans="1:14" x14ac:dyDescent="0.2">
      <c r="A22" s="626">
        <v>2</v>
      </c>
      <c r="B22" s="626">
        <v>2.375</v>
      </c>
      <c r="C22" s="626">
        <v>0.109</v>
      </c>
      <c r="D22" s="626">
        <v>2.157</v>
      </c>
      <c r="E22" s="626">
        <v>2.64</v>
      </c>
      <c r="F22" s="626"/>
      <c r="G22" s="626">
        <v>10</v>
      </c>
      <c r="H22" s="626">
        <v>0.42049999999999998</v>
      </c>
      <c r="I22" s="626">
        <v>0.1898</v>
      </c>
      <c r="J22" s="629"/>
      <c r="K22" s="628">
        <f>Table4[[#This Row],[Qty]]*Table4[[#This Row],[Gallon Capacity Per Linear Foot]]</f>
        <v>0</v>
      </c>
      <c r="L22" s="628">
        <f>Table4[[#This Row],[Gallons]]*7.48</f>
        <v>0</v>
      </c>
      <c r="M22" s="628">
        <f>Table4[[#This Row],[Qty]]*Table4[[#This Row],[Weight per Foot]]</f>
        <v>0</v>
      </c>
      <c r="N22" s="628">
        <f>Table4[[#This Row],[Pipe Wt. ]]+Table4[[#This Row],[Fluid Wt. ]]</f>
        <v>0</v>
      </c>
    </row>
    <row r="23" spans="1:14" x14ac:dyDescent="0.2">
      <c r="A23" s="626">
        <v>2</v>
      </c>
      <c r="B23" s="626">
        <v>2.375</v>
      </c>
      <c r="C23" s="626">
        <v>0.154</v>
      </c>
      <c r="D23" s="626">
        <v>2.0670000000000002</v>
      </c>
      <c r="E23" s="626">
        <v>3.66</v>
      </c>
      <c r="F23" s="626" t="s">
        <v>856</v>
      </c>
      <c r="G23" s="626">
        <v>40</v>
      </c>
      <c r="H23" s="626">
        <v>0.56059999999999999</v>
      </c>
      <c r="I23" s="626">
        <v>0.17430000000000001</v>
      </c>
      <c r="J23" s="629"/>
      <c r="K23" s="628">
        <f>Table4[[#This Row],[Qty]]*Table4[[#This Row],[Gallon Capacity Per Linear Foot]]</f>
        <v>0</v>
      </c>
      <c r="L23" s="628">
        <f>Table4[[#This Row],[Gallons]]*7.48</f>
        <v>0</v>
      </c>
      <c r="M23" s="628">
        <f>Table4[[#This Row],[Qty]]*Table4[[#This Row],[Weight per Foot]]</f>
        <v>0</v>
      </c>
      <c r="N23" s="628">
        <f>Table4[[#This Row],[Pipe Wt. ]]+Table4[[#This Row],[Fluid Wt. ]]</f>
        <v>0</v>
      </c>
    </row>
    <row r="24" spans="1:14" x14ac:dyDescent="0.2">
      <c r="A24" s="626">
        <v>2</v>
      </c>
      <c r="B24" s="626">
        <v>2.375</v>
      </c>
      <c r="C24" s="626">
        <v>0.218</v>
      </c>
      <c r="D24" s="626">
        <v>1.9390000000000001</v>
      </c>
      <c r="E24" s="626">
        <v>5.03</v>
      </c>
      <c r="F24" s="626" t="s">
        <v>857</v>
      </c>
      <c r="G24" s="626">
        <v>80</v>
      </c>
      <c r="H24" s="626">
        <v>0.73089999999999999</v>
      </c>
      <c r="I24" s="626">
        <v>0.15340000000000001</v>
      </c>
      <c r="J24" s="629"/>
      <c r="K24" s="628">
        <f>Table4[[#This Row],[Qty]]*Table4[[#This Row],[Gallon Capacity Per Linear Foot]]</f>
        <v>0</v>
      </c>
      <c r="L24" s="628">
        <f>Table4[[#This Row],[Gallons]]*7.48</f>
        <v>0</v>
      </c>
      <c r="M24" s="628">
        <f>Table4[[#This Row],[Qty]]*Table4[[#This Row],[Weight per Foot]]</f>
        <v>0</v>
      </c>
      <c r="N24" s="628">
        <f>Table4[[#This Row],[Pipe Wt. ]]+Table4[[#This Row],[Fluid Wt. ]]</f>
        <v>0</v>
      </c>
    </row>
    <row r="25" spans="1:14" x14ac:dyDescent="0.2">
      <c r="A25" s="626">
        <v>2</v>
      </c>
      <c r="B25" s="626">
        <v>2.375</v>
      </c>
      <c r="C25" s="626">
        <v>0.25</v>
      </c>
      <c r="D25" s="626">
        <v>1.875</v>
      </c>
      <c r="E25" s="626">
        <v>5.68</v>
      </c>
      <c r="F25" s="626"/>
      <c r="G25" s="626"/>
      <c r="H25" s="626">
        <v>0.80449999999999999</v>
      </c>
      <c r="I25" s="626">
        <v>0.1434</v>
      </c>
      <c r="J25" s="629"/>
      <c r="K25" s="628">
        <f>Table4[[#This Row],[Qty]]*Table4[[#This Row],[Gallon Capacity Per Linear Foot]]</f>
        <v>0</v>
      </c>
      <c r="L25" s="628">
        <f>Table4[[#This Row],[Gallons]]*7.48</f>
        <v>0</v>
      </c>
      <c r="M25" s="628">
        <f>Table4[[#This Row],[Qty]]*Table4[[#This Row],[Weight per Foot]]</f>
        <v>0</v>
      </c>
      <c r="N25" s="628">
        <f>Table4[[#This Row],[Pipe Wt. ]]+Table4[[#This Row],[Fluid Wt. ]]</f>
        <v>0</v>
      </c>
    </row>
    <row r="26" spans="1:14" x14ac:dyDescent="0.2">
      <c r="A26" s="626">
        <v>2</v>
      </c>
      <c r="B26" s="626">
        <v>2.375</v>
      </c>
      <c r="C26" s="626">
        <v>0.28100000000000003</v>
      </c>
      <c r="D26" s="626">
        <v>1.8129999999999999</v>
      </c>
      <c r="E26" s="626">
        <v>6.29</v>
      </c>
      <c r="F26" s="626"/>
      <c r="G26" s="626"/>
      <c r="H26" s="626">
        <v>0.86660000000000004</v>
      </c>
      <c r="I26" s="626">
        <v>0.13439999999999999</v>
      </c>
      <c r="J26" s="629"/>
      <c r="K26" s="628">
        <f>Table4[[#This Row],[Qty]]*Table4[[#This Row],[Gallon Capacity Per Linear Foot]]</f>
        <v>0</v>
      </c>
      <c r="L26" s="628">
        <f>Table4[[#This Row],[Gallons]]*7.48</f>
        <v>0</v>
      </c>
      <c r="M26" s="628">
        <f>Table4[[#This Row],[Qty]]*Table4[[#This Row],[Weight per Foot]]</f>
        <v>0</v>
      </c>
      <c r="N26" s="628">
        <f>Table4[[#This Row],[Pipe Wt. ]]+Table4[[#This Row],[Fluid Wt. ]]</f>
        <v>0</v>
      </c>
    </row>
    <row r="27" spans="1:14" x14ac:dyDescent="0.2">
      <c r="A27" s="626">
        <v>2</v>
      </c>
      <c r="B27" s="626">
        <v>2.375</v>
      </c>
      <c r="C27" s="626">
        <v>0.34399999999999997</v>
      </c>
      <c r="D27" s="626">
        <v>1.6870000000000001</v>
      </c>
      <c r="E27" s="626">
        <v>7.47</v>
      </c>
      <c r="F27" s="626"/>
      <c r="G27" s="626">
        <v>160</v>
      </c>
      <c r="H27" s="626">
        <v>0.98060000000000003</v>
      </c>
      <c r="I27" s="626">
        <v>0.11609999999999999</v>
      </c>
      <c r="J27" s="629"/>
      <c r="K27" s="628">
        <f>Table4[[#This Row],[Qty]]*Table4[[#This Row],[Gallon Capacity Per Linear Foot]]</f>
        <v>0</v>
      </c>
      <c r="L27" s="628">
        <f>Table4[[#This Row],[Gallons]]*7.48</f>
        <v>0</v>
      </c>
      <c r="M27" s="628">
        <f>Table4[[#This Row],[Qty]]*Table4[[#This Row],[Weight per Foot]]</f>
        <v>0</v>
      </c>
      <c r="N27" s="628">
        <f>Table4[[#This Row],[Pipe Wt. ]]+Table4[[#This Row],[Fluid Wt. ]]</f>
        <v>0</v>
      </c>
    </row>
    <row r="28" spans="1:14" x14ac:dyDescent="0.2">
      <c r="A28" s="626">
        <v>2</v>
      </c>
      <c r="B28" s="626">
        <v>2.375</v>
      </c>
      <c r="C28" s="626">
        <v>0.436</v>
      </c>
      <c r="D28" s="626">
        <v>1.5029999999999999</v>
      </c>
      <c r="E28" s="626">
        <v>9.0399999999999991</v>
      </c>
      <c r="F28" s="626" t="s">
        <v>858</v>
      </c>
      <c r="G28" s="626"/>
      <c r="H28" s="626">
        <v>1.1043000000000001</v>
      </c>
      <c r="I28" s="626">
        <v>9.2200000000000004E-2</v>
      </c>
      <c r="J28" s="629"/>
      <c r="K28" s="628">
        <f>Table4[[#This Row],[Qty]]*Table4[[#This Row],[Gallon Capacity Per Linear Foot]]</f>
        <v>0</v>
      </c>
      <c r="L28" s="628">
        <f>Table4[[#This Row],[Gallons]]*7.48</f>
        <v>0</v>
      </c>
      <c r="M28" s="628">
        <f>Table4[[#This Row],[Qty]]*Table4[[#This Row],[Weight per Foot]]</f>
        <v>0</v>
      </c>
      <c r="N28" s="628">
        <f>Table4[[#This Row],[Pipe Wt. ]]+Table4[[#This Row],[Fluid Wt. ]]</f>
        <v>0</v>
      </c>
    </row>
    <row r="29" spans="1:14" x14ac:dyDescent="0.2">
      <c r="A29" s="630">
        <v>2.5</v>
      </c>
      <c r="B29" s="626">
        <v>2.875</v>
      </c>
      <c r="C29" s="626">
        <v>0.12</v>
      </c>
      <c r="D29" s="626">
        <v>2.6349999999999998</v>
      </c>
      <c r="E29" s="626">
        <v>3.53</v>
      </c>
      <c r="F29" s="626"/>
      <c r="G29" s="626">
        <v>10</v>
      </c>
      <c r="H29" s="626">
        <v>0.68700000000000006</v>
      </c>
      <c r="I29" s="626">
        <v>0.2833</v>
      </c>
      <c r="J29" s="629"/>
      <c r="K29" s="628">
        <f>Table4[[#This Row],[Qty]]*Table4[[#This Row],[Gallon Capacity Per Linear Foot]]</f>
        <v>0</v>
      </c>
      <c r="L29" s="628">
        <f>Table4[[#This Row],[Gallons]]*7.48</f>
        <v>0</v>
      </c>
      <c r="M29" s="628">
        <f>Table4[[#This Row],[Qty]]*Table4[[#This Row],[Weight per Foot]]</f>
        <v>0</v>
      </c>
      <c r="N29" s="628">
        <f>Table4[[#This Row],[Pipe Wt. ]]+Table4[[#This Row],[Fluid Wt. ]]</f>
        <v>0</v>
      </c>
    </row>
    <row r="30" spans="1:14" x14ac:dyDescent="0.2">
      <c r="A30" s="630">
        <v>2.5</v>
      </c>
      <c r="B30" s="626">
        <v>2.875</v>
      </c>
      <c r="C30" s="626">
        <v>0.20300000000000001</v>
      </c>
      <c r="D30" s="626">
        <v>2.4689999999999999</v>
      </c>
      <c r="E30" s="626">
        <v>5.8</v>
      </c>
      <c r="F30" s="626" t="s">
        <v>859</v>
      </c>
      <c r="G30" s="626">
        <v>40</v>
      </c>
      <c r="H30" s="626">
        <v>1.0640000000000001</v>
      </c>
      <c r="I30" s="626">
        <v>0.2487</v>
      </c>
      <c r="J30" s="629"/>
      <c r="K30" s="628">
        <f>Table4[[#This Row],[Qty]]*Table4[[#This Row],[Gallon Capacity Per Linear Foot]]</f>
        <v>0</v>
      </c>
      <c r="L30" s="628">
        <f>Table4[[#This Row],[Gallons]]*7.48</f>
        <v>0</v>
      </c>
      <c r="M30" s="628">
        <f>Table4[[#This Row],[Qty]]*Table4[[#This Row],[Weight per Foot]]</f>
        <v>0</v>
      </c>
      <c r="N30" s="628">
        <f>Table4[[#This Row],[Pipe Wt. ]]+Table4[[#This Row],[Fluid Wt. ]]</f>
        <v>0</v>
      </c>
    </row>
    <row r="31" spans="1:14" x14ac:dyDescent="0.2">
      <c r="A31" s="630">
        <v>2.5</v>
      </c>
      <c r="B31" s="626">
        <v>2.875</v>
      </c>
      <c r="C31" s="626">
        <v>0.216</v>
      </c>
      <c r="D31" s="626">
        <v>2.4430000000000001</v>
      </c>
      <c r="E31" s="626">
        <v>6.14</v>
      </c>
      <c r="F31" s="626"/>
      <c r="G31" s="626"/>
      <c r="H31" s="626">
        <v>1.1169</v>
      </c>
      <c r="I31" s="626">
        <v>0.24349999999999999</v>
      </c>
      <c r="J31" s="629"/>
      <c r="K31" s="628">
        <f>Table4[[#This Row],[Qty]]*Table4[[#This Row],[Gallon Capacity Per Linear Foot]]</f>
        <v>0</v>
      </c>
      <c r="L31" s="628">
        <f>Table4[[#This Row],[Gallons]]*7.48</f>
        <v>0</v>
      </c>
      <c r="M31" s="628">
        <f>Table4[[#This Row],[Qty]]*Table4[[#This Row],[Weight per Foot]]</f>
        <v>0</v>
      </c>
      <c r="N31" s="628">
        <f>Table4[[#This Row],[Pipe Wt. ]]+Table4[[#This Row],[Fluid Wt. ]]</f>
        <v>0</v>
      </c>
    </row>
    <row r="32" spans="1:14" x14ac:dyDescent="0.2">
      <c r="A32" s="630">
        <v>2.5</v>
      </c>
      <c r="B32" s="626">
        <v>2.875</v>
      </c>
      <c r="C32" s="626">
        <v>0.25</v>
      </c>
      <c r="D32" s="626">
        <v>2.375</v>
      </c>
      <c r="E32" s="626">
        <v>7.02</v>
      </c>
      <c r="F32" s="626"/>
      <c r="G32" s="626"/>
      <c r="H32" s="626">
        <v>1.2467999999999999</v>
      </c>
      <c r="I32" s="626">
        <v>0.2301</v>
      </c>
      <c r="J32" s="629"/>
      <c r="K32" s="628">
        <f>Table4[[#This Row],[Qty]]*Table4[[#This Row],[Gallon Capacity Per Linear Foot]]</f>
        <v>0</v>
      </c>
      <c r="L32" s="628">
        <f>Table4[[#This Row],[Gallons]]*7.48</f>
        <v>0</v>
      </c>
      <c r="M32" s="628">
        <f>Table4[[#This Row],[Qty]]*Table4[[#This Row],[Weight per Foot]]</f>
        <v>0</v>
      </c>
      <c r="N32" s="628">
        <f>Table4[[#This Row],[Pipe Wt. ]]+Table4[[#This Row],[Fluid Wt. ]]</f>
        <v>0</v>
      </c>
    </row>
    <row r="33" spans="1:14" x14ac:dyDescent="0.2">
      <c r="A33" s="630">
        <v>2.5</v>
      </c>
      <c r="B33" s="626">
        <v>2.875</v>
      </c>
      <c r="C33" s="626">
        <v>0.27600000000000002</v>
      </c>
      <c r="D33" s="626">
        <v>2.323</v>
      </c>
      <c r="E33" s="626">
        <v>7.67</v>
      </c>
      <c r="F33" s="626" t="s">
        <v>857</v>
      </c>
      <c r="G33" s="626">
        <v>80</v>
      </c>
      <c r="H33" s="626">
        <v>1.3386</v>
      </c>
      <c r="I33" s="626">
        <v>0.22020000000000001</v>
      </c>
      <c r="J33" s="629"/>
      <c r="K33" s="628">
        <f>Table4[[#This Row],[Qty]]*Table4[[#This Row],[Gallon Capacity Per Linear Foot]]</f>
        <v>0</v>
      </c>
      <c r="L33" s="628">
        <f>Table4[[#This Row],[Gallons]]*7.48</f>
        <v>0</v>
      </c>
      <c r="M33" s="628">
        <f>Table4[[#This Row],[Qty]]*Table4[[#This Row],[Weight per Foot]]</f>
        <v>0</v>
      </c>
      <c r="N33" s="628">
        <f>Table4[[#This Row],[Pipe Wt. ]]+Table4[[#This Row],[Fluid Wt. ]]</f>
        <v>0</v>
      </c>
    </row>
    <row r="34" spans="1:14" x14ac:dyDescent="0.2">
      <c r="A34" s="630">
        <v>2.5</v>
      </c>
      <c r="B34" s="626">
        <v>2.875</v>
      </c>
      <c r="C34" s="626">
        <v>0.375</v>
      </c>
      <c r="D34" s="626">
        <v>2.125</v>
      </c>
      <c r="E34" s="626">
        <v>10.02</v>
      </c>
      <c r="F34" s="626"/>
      <c r="G34" s="626">
        <v>160</v>
      </c>
      <c r="H34" s="626">
        <v>1.6371</v>
      </c>
      <c r="I34" s="626">
        <v>0.1842</v>
      </c>
      <c r="J34" s="629"/>
      <c r="K34" s="628">
        <f>Table4[[#This Row],[Qty]]*Table4[[#This Row],[Gallon Capacity Per Linear Foot]]</f>
        <v>0</v>
      </c>
      <c r="L34" s="628">
        <f>Table4[[#This Row],[Gallons]]*7.48</f>
        <v>0</v>
      </c>
      <c r="M34" s="628">
        <f>Table4[[#This Row],[Qty]]*Table4[[#This Row],[Weight per Foot]]</f>
        <v>0</v>
      </c>
      <c r="N34" s="628">
        <f>Table4[[#This Row],[Pipe Wt. ]]+Table4[[#This Row],[Fluid Wt. ]]</f>
        <v>0</v>
      </c>
    </row>
    <row r="35" spans="1:14" x14ac:dyDescent="0.2">
      <c r="A35" s="630">
        <v>2.5</v>
      </c>
      <c r="B35" s="626">
        <v>2.875</v>
      </c>
      <c r="C35" s="626">
        <v>0.55200000000000005</v>
      </c>
      <c r="D35" s="626">
        <v>1.7709999999999999</v>
      </c>
      <c r="E35" s="626">
        <v>13.71</v>
      </c>
      <c r="F35" s="626" t="s">
        <v>860</v>
      </c>
      <c r="G35" s="626"/>
      <c r="H35" s="626">
        <v>1.9971000000000001</v>
      </c>
      <c r="I35" s="626">
        <v>0.128</v>
      </c>
      <c r="J35" s="629"/>
      <c r="K35" s="628">
        <f>Table4[[#This Row],[Qty]]*Table4[[#This Row],[Gallon Capacity Per Linear Foot]]</f>
        <v>0</v>
      </c>
      <c r="L35" s="628">
        <f>Table4[[#This Row],[Gallons]]*7.48</f>
        <v>0</v>
      </c>
      <c r="M35" s="628">
        <f>Table4[[#This Row],[Qty]]*Table4[[#This Row],[Weight per Foot]]</f>
        <v>0</v>
      </c>
      <c r="N35" s="628">
        <f>Table4[[#This Row],[Pipe Wt. ]]+Table4[[#This Row],[Fluid Wt. ]]</f>
        <v>0</v>
      </c>
    </row>
    <row r="36" spans="1:14" x14ac:dyDescent="0.2">
      <c r="A36" s="626">
        <v>3</v>
      </c>
      <c r="B36" s="626">
        <v>3.5</v>
      </c>
      <c r="C36" s="626">
        <v>0.12</v>
      </c>
      <c r="D36" s="626">
        <v>3.26</v>
      </c>
      <c r="E36" s="626">
        <v>4.34</v>
      </c>
      <c r="F36" s="626"/>
      <c r="G36" s="626"/>
      <c r="H36" s="626">
        <v>1.0410999999999999</v>
      </c>
      <c r="I36" s="626">
        <v>0.43359999999999999</v>
      </c>
      <c r="J36" s="629"/>
      <c r="K36" s="628">
        <f>Table4[[#This Row],[Qty]]*Table4[[#This Row],[Gallon Capacity Per Linear Foot]]</f>
        <v>0</v>
      </c>
      <c r="L36" s="628">
        <f>Table4[[#This Row],[Gallons]]*7.48</f>
        <v>0</v>
      </c>
      <c r="M36" s="628">
        <f>Table4[[#This Row],[Qty]]*Table4[[#This Row],[Weight per Foot]]</f>
        <v>0</v>
      </c>
      <c r="N36" s="628">
        <f>Table4[[#This Row],[Pipe Wt. ]]+Table4[[#This Row],[Fluid Wt. ]]</f>
        <v>0</v>
      </c>
    </row>
    <row r="37" spans="1:14" x14ac:dyDescent="0.2">
      <c r="A37" s="626">
        <v>3</v>
      </c>
      <c r="B37" s="626">
        <v>3.5</v>
      </c>
      <c r="C37" s="626">
        <v>0.156</v>
      </c>
      <c r="D37" s="626">
        <v>3.1880000000000002</v>
      </c>
      <c r="E37" s="626">
        <v>5.58</v>
      </c>
      <c r="F37" s="626"/>
      <c r="G37" s="626"/>
      <c r="H37" s="626">
        <v>1.3122</v>
      </c>
      <c r="I37" s="626">
        <v>0.41470000000000001</v>
      </c>
      <c r="J37" s="629"/>
      <c r="K37" s="628">
        <f>Table4[[#This Row],[Qty]]*Table4[[#This Row],[Gallon Capacity Per Linear Foot]]</f>
        <v>0</v>
      </c>
      <c r="L37" s="628">
        <f>Table4[[#This Row],[Gallons]]*7.48</f>
        <v>0</v>
      </c>
      <c r="M37" s="628">
        <f>Table4[[#This Row],[Qty]]*Table4[[#This Row],[Weight per Foot]]</f>
        <v>0</v>
      </c>
      <c r="N37" s="628">
        <f>Table4[[#This Row],[Pipe Wt. ]]+Table4[[#This Row],[Fluid Wt. ]]</f>
        <v>0</v>
      </c>
    </row>
    <row r="38" spans="1:14" x14ac:dyDescent="0.2">
      <c r="A38" s="626">
        <v>3</v>
      </c>
      <c r="B38" s="626">
        <v>3.5</v>
      </c>
      <c r="C38" s="626">
        <v>0.17199999999999999</v>
      </c>
      <c r="D38" s="626">
        <v>3.1560000000000001</v>
      </c>
      <c r="E38" s="626">
        <v>6.12</v>
      </c>
      <c r="F38" s="626"/>
      <c r="G38" s="626"/>
      <c r="H38" s="626">
        <v>1.4265000000000001</v>
      </c>
      <c r="I38" s="626">
        <v>0.40639999999999998</v>
      </c>
      <c r="J38" s="629"/>
      <c r="K38" s="628">
        <f>Table4[[#This Row],[Qty]]*Table4[[#This Row],[Gallon Capacity Per Linear Foot]]</f>
        <v>0</v>
      </c>
      <c r="L38" s="628">
        <f>Table4[[#This Row],[Gallons]]*7.48</f>
        <v>0</v>
      </c>
      <c r="M38" s="628">
        <f>Table4[[#This Row],[Qty]]*Table4[[#This Row],[Weight per Foot]]</f>
        <v>0</v>
      </c>
      <c r="N38" s="628">
        <f>Table4[[#This Row],[Pipe Wt. ]]+Table4[[#This Row],[Fluid Wt. ]]</f>
        <v>0</v>
      </c>
    </row>
    <row r="39" spans="1:14" x14ac:dyDescent="0.2">
      <c r="A39" s="626">
        <v>3</v>
      </c>
      <c r="B39" s="626">
        <v>3.5</v>
      </c>
      <c r="C39" s="626">
        <v>0.188</v>
      </c>
      <c r="D39" s="626">
        <v>3.1240000000000001</v>
      </c>
      <c r="E39" s="626">
        <v>6.66</v>
      </c>
      <c r="F39" s="626"/>
      <c r="G39" s="626"/>
      <c r="H39" s="626">
        <v>1.5342</v>
      </c>
      <c r="I39" s="626">
        <v>0.39839999999999998</v>
      </c>
      <c r="J39" s="629"/>
      <c r="K39" s="628">
        <f>Table4[[#This Row],[Qty]]*Table4[[#This Row],[Gallon Capacity Per Linear Foot]]</f>
        <v>0</v>
      </c>
      <c r="L39" s="628">
        <f>Table4[[#This Row],[Gallons]]*7.48</f>
        <v>0</v>
      </c>
      <c r="M39" s="628">
        <f>Table4[[#This Row],[Qty]]*Table4[[#This Row],[Weight per Foot]]</f>
        <v>0</v>
      </c>
      <c r="N39" s="628">
        <f>Table4[[#This Row],[Pipe Wt. ]]+Table4[[#This Row],[Fluid Wt. ]]</f>
        <v>0</v>
      </c>
    </row>
    <row r="40" spans="1:14" x14ac:dyDescent="0.2">
      <c r="A40" s="626">
        <v>3</v>
      </c>
      <c r="B40" s="626">
        <v>3.5</v>
      </c>
      <c r="C40" s="626">
        <v>0.216</v>
      </c>
      <c r="D40" s="626">
        <v>3.0680000000000001</v>
      </c>
      <c r="E40" s="626">
        <v>7.58</v>
      </c>
      <c r="F40" s="626" t="s">
        <v>859</v>
      </c>
      <c r="G40" s="626">
        <v>40</v>
      </c>
      <c r="H40" s="626">
        <v>1.7241</v>
      </c>
      <c r="I40" s="626">
        <v>0.38400000000000001</v>
      </c>
      <c r="J40" s="629"/>
      <c r="K40" s="628">
        <f>Table4[[#This Row],[Qty]]*Table4[[#This Row],[Gallon Capacity Per Linear Foot]]</f>
        <v>0</v>
      </c>
      <c r="L40" s="628">
        <f>Table4[[#This Row],[Gallons]]*7.48</f>
        <v>0</v>
      </c>
      <c r="M40" s="628">
        <f>Table4[[#This Row],[Qty]]*Table4[[#This Row],[Weight per Foot]]</f>
        <v>0</v>
      </c>
      <c r="N40" s="628">
        <f>Table4[[#This Row],[Pipe Wt. ]]+Table4[[#This Row],[Fluid Wt. ]]</f>
        <v>0</v>
      </c>
    </row>
    <row r="41" spans="1:14" x14ac:dyDescent="0.2">
      <c r="A41" s="626">
        <v>3</v>
      </c>
      <c r="B41" s="626">
        <v>3.5</v>
      </c>
      <c r="C41" s="626">
        <v>0.25</v>
      </c>
      <c r="D41" s="626">
        <v>3</v>
      </c>
      <c r="E41" s="626">
        <v>8.69</v>
      </c>
      <c r="F41" s="626"/>
      <c r="G41" s="626"/>
      <c r="H41" s="626">
        <v>1.9372</v>
      </c>
      <c r="I41" s="626">
        <v>0.36720000000000003</v>
      </c>
      <c r="J41" s="629"/>
      <c r="K41" s="628">
        <f>Table4[[#This Row],[Qty]]*Table4[[#This Row],[Gallon Capacity Per Linear Foot]]</f>
        <v>0</v>
      </c>
      <c r="L41" s="628">
        <f>Table4[[#This Row],[Gallons]]*7.48</f>
        <v>0</v>
      </c>
      <c r="M41" s="628">
        <f>Table4[[#This Row],[Qty]]*Table4[[#This Row],[Weight per Foot]]</f>
        <v>0</v>
      </c>
      <c r="N41" s="628">
        <f>Table4[[#This Row],[Pipe Wt. ]]+Table4[[#This Row],[Fluid Wt. ]]</f>
        <v>0</v>
      </c>
    </row>
    <row r="42" spans="1:14" x14ac:dyDescent="0.2">
      <c r="A42" s="626">
        <v>3</v>
      </c>
      <c r="B42" s="626">
        <v>3.5</v>
      </c>
      <c r="C42" s="626">
        <v>0.28100000000000003</v>
      </c>
      <c r="D42" s="626">
        <v>2.9380000000000002</v>
      </c>
      <c r="E42" s="626">
        <v>9.67</v>
      </c>
      <c r="F42" s="626"/>
      <c r="G42" s="626"/>
      <c r="H42" s="626">
        <v>2.1206999999999998</v>
      </c>
      <c r="I42" s="626">
        <v>0.35210000000000002</v>
      </c>
      <c r="J42" s="629"/>
      <c r="K42" s="628">
        <f>Table4[[#This Row],[Qty]]*Table4[[#This Row],[Gallon Capacity Per Linear Foot]]</f>
        <v>0</v>
      </c>
      <c r="L42" s="628">
        <f>Table4[[#This Row],[Gallons]]*7.48</f>
        <v>0</v>
      </c>
      <c r="M42" s="628">
        <f>Table4[[#This Row],[Qty]]*Table4[[#This Row],[Weight per Foot]]</f>
        <v>0</v>
      </c>
      <c r="N42" s="628">
        <f>Table4[[#This Row],[Pipe Wt. ]]+Table4[[#This Row],[Fluid Wt. ]]</f>
        <v>0</v>
      </c>
    </row>
    <row r="43" spans="1:14" x14ac:dyDescent="0.2">
      <c r="A43" s="626">
        <v>3</v>
      </c>
      <c r="B43" s="626">
        <v>3.5</v>
      </c>
      <c r="C43" s="626">
        <v>0.3</v>
      </c>
      <c r="D43" s="626">
        <v>2.9</v>
      </c>
      <c r="E43" s="626">
        <v>10.26</v>
      </c>
      <c r="F43" s="626" t="s">
        <v>857</v>
      </c>
      <c r="G43" s="626">
        <v>80</v>
      </c>
      <c r="H43" s="626">
        <v>2.2252999999999998</v>
      </c>
      <c r="I43" s="626">
        <v>0.34310000000000002</v>
      </c>
      <c r="J43" s="629"/>
      <c r="K43" s="628">
        <f>Table4[[#This Row],[Qty]]*Table4[[#This Row],[Gallon Capacity Per Linear Foot]]</f>
        <v>0</v>
      </c>
      <c r="L43" s="628">
        <f>Table4[[#This Row],[Gallons]]*7.48</f>
        <v>0</v>
      </c>
      <c r="M43" s="628">
        <f>Table4[[#This Row],[Qty]]*Table4[[#This Row],[Weight per Foot]]</f>
        <v>0</v>
      </c>
      <c r="N43" s="628">
        <f>Table4[[#This Row],[Pipe Wt. ]]+Table4[[#This Row],[Fluid Wt. ]]</f>
        <v>0</v>
      </c>
    </row>
    <row r="44" spans="1:14" x14ac:dyDescent="0.2">
      <c r="A44" s="626">
        <v>3</v>
      </c>
      <c r="B44" s="626">
        <v>3.5</v>
      </c>
      <c r="C44" s="626">
        <v>0.438</v>
      </c>
      <c r="D44" s="626">
        <v>2.6240000000000001</v>
      </c>
      <c r="E44" s="626">
        <v>14.34</v>
      </c>
      <c r="F44" s="626"/>
      <c r="G44" s="626">
        <v>160</v>
      </c>
      <c r="H44" s="626">
        <v>2.8774000000000002</v>
      </c>
      <c r="I44" s="626">
        <v>0.28110000000000002</v>
      </c>
      <c r="J44" s="629"/>
      <c r="K44" s="628">
        <f>Table4[[#This Row],[Qty]]*Table4[[#This Row],[Gallon Capacity Per Linear Foot]]</f>
        <v>0</v>
      </c>
      <c r="L44" s="628">
        <f>Table4[[#This Row],[Gallons]]*7.48</f>
        <v>0</v>
      </c>
      <c r="M44" s="628">
        <f>Table4[[#This Row],[Qty]]*Table4[[#This Row],[Weight per Foot]]</f>
        <v>0</v>
      </c>
      <c r="N44" s="628">
        <f>Table4[[#This Row],[Pipe Wt. ]]+Table4[[#This Row],[Fluid Wt. ]]</f>
        <v>0</v>
      </c>
    </row>
    <row r="45" spans="1:14" x14ac:dyDescent="0.2">
      <c r="A45" s="626">
        <v>3</v>
      </c>
      <c r="B45" s="626">
        <v>3.5</v>
      </c>
      <c r="C45" s="626">
        <v>0.6</v>
      </c>
      <c r="D45" s="626">
        <v>2.2999999999999998</v>
      </c>
      <c r="E45" s="626">
        <v>18.600000000000001</v>
      </c>
      <c r="F45" s="626" t="s">
        <v>858</v>
      </c>
      <c r="G45" s="626"/>
      <c r="H45" s="626">
        <v>3.4243000000000001</v>
      </c>
      <c r="I45" s="626">
        <v>0.21579999999999999</v>
      </c>
      <c r="J45" s="629"/>
      <c r="K45" s="628">
        <f>Table4[[#This Row],[Qty]]*Table4[[#This Row],[Gallon Capacity Per Linear Foot]]</f>
        <v>0</v>
      </c>
      <c r="L45" s="628">
        <f>Table4[[#This Row],[Gallons]]*7.48</f>
        <v>0</v>
      </c>
      <c r="M45" s="628">
        <f>Table4[[#This Row],[Qty]]*Table4[[#This Row],[Weight per Foot]]</f>
        <v>0</v>
      </c>
      <c r="N45" s="628">
        <f>Table4[[#This Row],[Pipe Wt. ]]+Table4[[#This Row],[Fluid Wt. ]]</f>
        <v>0</v>
      </c>
    </row>
    <row r="46" spans="1:14" x14ac:dyDescent="0.2">
      <c r="A46" s="630">
        <v>3.5</v>
      </c>
      <c r="B46" s="626">
        <v>4</v>
      </c>
      <c r="C46" s="626">
        <v>0.12</v>
      </c>
      <c r="D46" s="626">
        <v>3.76</v>
      </c>
      <c r="E46" s="626">
        <v>4.9800000000000004</v>
      </c>
      <c r="F46" s="626"/>
      <c r="G46" s="626">
        <v>10</v>
      </c>
      <c r="H46" s="626">
        <v>1.3775999999999999</v>
      </c>
      <c r="I46" s="626">
        <v>0.57679999999999998</v>
      </c>
      <c r="J46" s="629"/>
      <c r="K46" s="628">
        <f>Table4[[#This Row],[Qty]]*Table4[[#This Row],[Gallon Capacity Per Linear Foot]]</f>
        <v>0</v>
      </c>
      <c r="L46" s="628">
        <f>Table4[[#This Row],[Gallons]]*7.48</f>
        <v>0</v>
      </c>
      <c r="M46" s="628">
        <f>Table4[[#This Row],[Qty]]*Table4[[#This Row],[Weight per Foot]]</f>
        <v>0</v>
      </c>
      <c r="N46" s="628">
        <f>Table4[[#This Row],[Pipe Wt. ]]+Table4[[#This Row],[Fluid Wt. ]]</f>
        <v>0</v>
      </c>
    </row>
    <row r="47" spans="1:14" x14ac:dyDescent="0.2">
      <c r="A47" s="630">
        <v>3.5</v>
      </c>
      <c r="B47" s="626">
        <v>4</v>
      </c>
      <c r="C47" s="626">
        <v>0.22600000000000001</v>
      </c>
      <c r="D47" s="626">
        <v>3.548</v>
      </c>
      <c r="E47" s="626">
        <v>9.1199999999999992</v>
      </c>
      <c r="F47" s="626" t="s">
        <v>859</v>
      </c>
      <c r="G47" s="626">
        <v>140</v>
      </c>
      <c r="H47" s="626">
        <v>2.3938999999999999</v>
      </c>
      <c r="I47" s="626">
        <v>0.51359999999999995</v>
      </c>
      <c r="J47" s="629"/>
      <c r="K47" s="628">
        <f>Table4[[#This Row],[Qty]]*Table4[[#This Row],[Gallon Capacity Per Linear Foot]]</f>
        <v>0</v>
      </c>
      <c r="L47" s="628">
        <f>Table4[[#This Row],[Gallons]]*7.48</f>
        <v>0</v>
      </c>
      <c r="M47" s="628">
        <f>Table4[[#This Row],[Qty]]*Table4[[#This Row],[Weight per Foot]]</f>
        <v>0</v>
      </c>
      <c r="N47" s="628">
        <f>Table4[[#This Row],[Pipe Wt. ]]+Table4[[#This Row],[Fluid Wt. ]]</f>
        <v>0</v>
      </c>
    </row>
    <row r="48" spans="1:14" x14ac:dyDescent="0.2">
      <c r="A48" s="630">
        <v>3.5</v>
      </c>
      <c r="B48" s="626">
        <v>4</v>
      </c>
      <c r="C48" s="626">
        <v>0.25</v>
      </c>
      <c r="D48" s="626">
        <v>3.5</v>
      </c>
      <c r="E48" s="626">
        <v>10.02</v>
      </c>
      <c r="F48" s="626"/>
      <c r="G48" s="626"/>
      <c r="H48" s="626">
        <v>2.6000999999999999</v>
      </c>
      <c r="I48" s="626">
        <v>0.49980000000000002</v>
      </c>
      <c r="J48" s="629"/>
      <c r="K48" s="628">
        <f>Table4[[#This Row],[Qty]]*Table4[[#This Row],[Gallon Capacity Per Linear Foot]]</f>
        <v>0</v>
      </c>
      <c r="L48" s="628">
        <f>Table4[[#This Row],[Gallons]]*7.48</f>
        <v>0</v>
      </c>
      <c r="M48" s="628">
        <f>Table4[[#This Row],[Qty]]*Table4[[#This Row],[Weight per Foot]]</f>
        <v>0</v>
      </c>
      <c r="N48" s="628">
        <f>Table4[[#This Row],[Pipe Wt. ]]+Table4[[#This Row],[Fluid Wt. ]]</f>
        <v>0</v>
      </c>
    </row>
    <row r="49" spans="1:14" x14ac:dyDescent="0.2">
      <c r="A49" s="630">
        <v>3.5</v>
      </c>
      <c r="B49" s="626">
        <v>4</v>
      </c>
      <c r="C49" s="626">
        <v>0.28100000000000003</v>
      </c>
      <c r="D49" s="626">
        <v>3.4380000000000002</v>
      </c>
      <c r="E49" s="626">
        <v>11.17</v>
      </c>
      <c r="F49" s="626"/>
      <c r="G49" s="626"/>
      <c r="H49" s="626">
        <v>2.8561999999999999</v>
      </c>
      <c r="I49" s="626">
        <v>0.48209999999999997</v>
      </c>
      <c r="J49" s="629"/>
      <c r="K49" s="628">
        <f>Table4[[#This Row],[Qty]]*Table4[[#This Row],[Gallon Capacity Per Linear Foot]]</f>
        <v>0</v>
      </c>
      <c r="L49" s="628">
        <f>Table4[[#This Row],[Gallons]]*7.48</f>
        <v>0</v>
      </c>
      <c r="M49" s="628">
        <f>Table4[[#This Row],[Qty]]*Table4[[#This Row],[Weight per Foot]]</f>
        <v>0</v>
      </c>
      <c r="N49" s="628">
        <f>Table4[[#This Row],[Pipe Wt. ]]+Table4[[#This Row],[Fluid Wt. ]]</f>
        <v>0</v>
      </c>
    </row>
    <row r="50" spans="1:14" x14ac:dyDescent="0.2">
      <c r="A50" s="630">
        <v>3.5</v>
      </c>
      <c r="B50" s="626">
        <v>4</v>
      </c>
      <c r="C50" s="626">
        <v>0.318</v>
      </c>
      <c r="D50" s="626">
        <v>3.3639999999999999</v>
      </c>
      <c r="E50" s="626">
        <v>12.52</v>
      </c>
      <c r="F50" s="626" t="s">
        <v>857</v>
      </c>
      <c r="G50" s="626">
        <v>80</v>
      </c>
      <c r="H50" s="626">
        <v>3.14</v>
      </c>
      <c r="I50" s="626">
        <v>0.4617</v>
      </c>
      <c r="J50" s="629"/>
      <c r="K50" s="628">
        <f>Table4[[#This Row],[Qty]]*Table4[[#This Row],[Gallon Capacity Per Linear Foot]]</f>
        <v>0</v>
      </c>
      <c r="L50" s="628">
        <f>Table4[[#This Row],[Gallons]]*7.48</f>
        <v>0</v>
      </c>
      <c r="M50" s="628">
        <f>Table4[[#This Row],[Qty]]*Table4[[#This Row],[Weight per Foot]]</f>
        <v>0</v>
      </c>
      <c r="N50" s="628">
        <f>Table4[[#This Row],[Pipe Wt. ]]+Table4[[#This Row],[Fluid Wt. ]]</f>
        <v>0</v>
      </c>
    </row>
    <row r="51" spans="1:14" x14ac:dyDescent="0.2">
      <c r="A51" s="630">
        <v>3.5</v>
      </c>
      <c r="B51" s="626">
        <v>4</v>
      </c>
      <c r="C51" s="626">
        <v>0.63600000000000001</v>
      </c>
      <c r="D51" s="626" t="s">
        <v>861</v>
      </c>
      <c r="E51" s="626">
        <v>22.87</v>
      </c>
      <c r="F51" s="626" t="s">
        <v>858</v>
      </c>
      <c r="G51" s="626"/>
      <c r="H51" s="626">
        <v>4.8795000000000002</v>
      </c>
      <c r="I51" s="626">
        <v>0.3085</v>
      </c>
      <c r="J51" s="629"/>
      <c r="K51" s="628">
        <f>Table4[[#This Row],[Qty]]*Table4[[#This Row],[Gallon Capacity Per Linear Foot]]</f>
        <v>0</v>
      </c>
      <c r="L51" s="628">
        <f>Table4[[#This Row],[Gallons]]*7.48</f>
        <v>0</v>
      </c>
      <c r="M51" s="628">
        <f>Table4[[#This Row],[Qty]]*Table4[[#This Row],[Weight per Foot]]</f>
        <v>0</v>
      </c>
      <c r="N51" s="628">
        <f>Table4[[#This Row],[Pipe Wt. ]]+Table4[[#This Row],[Fluid Wt. ]]</f>
        <v>0</v>
      </c>
    </row>
    <row r="52" spans="1:14" x14ac:dyDescent="0.2">
      <c r="A52" s="626">
        <v>4</v>
      </c>
      <c r="B52" s="626">
        <v>4.5</v>
      </c>
      <c r="C52" s="626">
        <v>0.12</v>
      </c>
      <c r="D52" s="626">
        <v>4.26</v>
      </c>
      <c r="E52" s="626">
        <v>5.62</v>
      </c>
      <c r="F52" s="626"/>
      <c r="G52" s="626">
        <v>10</v>
      </c>
      <c r="H52" s="626">
        <v>1.7612000000000001</v>
      </c>
      <c r="I52" s="626">
        <v>0.74039999999999995</v>
      </c>
      <c r="J52" s="629"/>
      <c r="K52" s="628">
        <f>Table4[[#This Row],[Qty]]*Table4[[#This Row],[Gallon Capacity Per Linear Foot]]</f>
        <v>0</v>
      </c>
      <c r="L52" s="628">
        <f>Table4[[#This Row],[Gallons]]*7.48</f>
        <v>0</v>
      </c>
      <c r="M52" s="628">
        <f>Table4[[#This Row],[Qty]]*Table4[[#This Row],[Weight per Foot]]</f>
        <v>0</v>
      </c>
      <c r="N52" s="628">
        <f>Table4[[#This Row],[Pipe Wt. ]]+Table4[[#This Row],[Fluid Wt. ]]</f>
        <v>0</v>
      </c>
    </row>
    <row r="53" spans="1:14" x14ac:dyDescent="0.2">
      <c r="A53" s="626">
        <v>4</v>
      </c>
      <c r="B53" s="626">
        <v>4.5</v>
      </c>
      <c r="C53" s="626">
        <v>0.156</v>
      </c>
      <c r="D53" s="626">
        <v>4.1879999999999997</v>
      </c>
      <c r="E53" s="626">
        <v>7.24</v>
      </c>
      <c r="F53" s="626"/>
      <c r="G53" s="626"/>
      <c r="H53" s="626">
        <v>2.2353999999999998</v>
      </c>
      <c r="I53" s="626">
        <v>0.71560000000000001</v>
      </c>
      <c r="J53" s="629"/>
      <c r="K53" s="628">
        <f>Table4[[#This Row],[Qty]]*Table4[[#This Row],[Gallon Capacity Per Linear Foot]]</f>
        <v>0</v>
      </c>
      <c r="L53" s="628">
        <f>Table4[[#This Row],[Gallons]]*7.48</f>
        <v>0</v>
      </c>
      <c r="M53" s="628">
        <f>Table4[[#This Row],[Qty]]*Table4[[#This Row],[Weight per Foot]]</f>
        <v>0</v>
      </c>
      <c r="N53" s="628">
        <f>Table4[[#This Row],[Pipe Wt. ]]+Table4[[#This Row],[Fluid Wt. ]]</f>
        <v>0</v>
      </c>
    </row>
    <row r="54" spans="1:14" x14ac:dyDescent="0.2">
      <c r="A54" s="626">
        <v>4</v>
      </c>
      <c r="B54" s="626">
        <v>4.5</v>
      </c>
      <c r="C54" s="626">
        <v>0.188</v>
      </c>
      <c r="D54" s="626">
        <v>4.1239999999999997</v>
      </c>
      <c r="E54" s="626">
        <v>8.67</v>
      </c>
      <c r="F54" s="626"/>
      <c r="G54" s="626"/>
      <c r="H54" s="626">
        <v>2.6295999999999999</v>
      </c>
      <c r="I54" s="626">
        <v>0.69420000000000004</v>
      </c>
      <c r="J54" s="629"/>
      <c r="K54" s="628">
        <f>Table4[[#This Row],[Qty]]*Table4[[#This Row],[Gallon Capacity Per Linear Foot]]</f>
        <v>0</v>
      </c>
      <c r="L54" s="628">
        <f>Table4[[#This Row],[Gallons]]*7.48</f>
        <v>0</v>
      </c>
      <c r="M54" s="628">
        <f>Table4[[#This Row],[Qty]]*Table4[[#This Row],[Weight per Foot]]</f>
        <v>0</v>
      </c>
      <c r="N54" s="628">
        <f>Table4[[#This Row],[Pipe Wt. ]]+Table4[[#This Row],[Fluid Wt. ]]</f>
        <v>0</v>
      </c>
    </row>
    <row r="55" spans="1:14" x14ac:dyDescent="0.2">
      <c r="A55" s="626">
        <v>4</v>
      </c>
      <c r="B55" s="626">
        <v>4.5</v>
      </c>
      <c r="C55" s="626">
        <v>0.20300000000000001</v>
      </c>
      <c r="D55" s="626">
        <v>4.0940000000000003</v>
      </c>
      <c r="E55" s="626">
        <v>9.32</v>
      </c>
      <c r="F55" s="626"/>
      <c r="G55" s="626"/>
      <c r="H55" s="626">
        <v>2.8172999999999999</v>
      </c>
      <c r="I55" s="626">
        <v>0.68379999999999996</v>
      </c>
      <c r="J55" s="629"/>
      <c r="K55" s="628">
        <f>Table4[[#This Row],[Qty]]*Table4[[#This Row],[Gallon Capacity Per Linear Foot]]</f>
        <v>0</v>
      </c>
      <c r="L55" s="628">
        <f>Table4[[#This Row],[Gallons]]*7.48</f>
        <v>0</v>
      </c>
      <c r="M55" s="628">
        <f>Table4[[#This Row],[Qty]]*Table4[[#This Row],[Weight per Foot]]</f>
        <v>0</v>
      </c>
      <c r="N55" s="628">
        <f>Table4[[#This Row],[Pipe Wt. ]]+Table4[[#This Row],[Fluid Wt. ]]</f>
        <v>0</v>
      </c>
    </row>
    <row r="56" spans="1:14" x14ac:dyDescent="0.2">
      <c r="A56" s="626">
        <v>4</v>
      </c>
      <c r="B56" s="626">
        <v>4.5</v>
      </c>
      <c r="C56" s="626">
        <v>0.219</v>
      </c>
      <c r="D56" s="626">
        <v>4.0620000000000003</v>
      </c>
      <c r="E56" s="626">
        <v>10.02</v>
      </c>
      <c r="F56" s="626"/>
      <c r="G56" s="626"/>
      <c r="H56" s="626">
        <v>3.0184000000000002</v>
      </c>
      <c r="I56" s="626">
        <v>0.67249999999999999</v>
      </c>
      <c r="J56" s="629"/>
      <c r="K56" s="628">
        <f>Table4[[#This Row],[Qty]]*Table4[[#This Row],[Gallon Capacity Per Linear Foot]]</f>
        <v>0</v>
      </c>
      <c r="L56" s="628">
        <f>Table4[[#This Row],[Gallons]]*7.48</f>
        <v>0</v>
      </c>
      <c r="M56" s="628">
        <f>Table4[[#This Row],[Qty]]*Table4[[#This Row],[Weight per Foot]]</f>
        <v>0</v>
      </c>
      <c r="N56" s="628">
        <f>Table4[[#This Row],[Pipe Wt. ]]+Table4[[#This Row],[Fluid Wt. ]]</f>
        <v>0</v>
      </c>
    </row>
    <row r="57" spans="1:14" x14ac:dyDescent="0.2">
      <c r="A57" s="626">
        <v>4</v>
      </c>
      <c r="B57" s="626">
        <v>4.5</v>
      </c>
      <c r="C57" s="626">
        <v>0.23699999999999999</v>
      </c>
      <c r="D57" s="626">
        <v>4.0259999999999998</v>
      </c>
      <c r="E57" s="626">
        <v>10.8</v>
      </c>
      <c r="F57" s="626" t="s">
        <v>859</v>
      </c>
      <c r="G57" s="626">
        <v>40</v>
      </c>
      <c r="H57" s="626">
        <v>3.2145000000000001</v>
      </c>
      <c r="I57" s="626">
        <v>0.6613</v>
      </c>
      <c r="J57" s="629"/>
      <c r="K57" s="628">
        <f>Table4[[#This Row],[Qty]]*Table4[[#This Row],[Gallon Capacity Per Linear Foot]]</f>
        <v>0</v>
      </c>
      <c r="L57" s="628">
        <f>Table4[[#This Row],[Gallons]]*7.48</f>
        <v>0</v>
      </c>
      <c r="M57" s="628">
        <f>Table4[[#This Row],[Qty]]*Table4[[#This Row],[Weight per Foot]]</f>
        <v>0</v>
      </c>
      <c r="N57" s="628">
        <f>Table4[[#This Row],[Pipe Wt. ]]+Table4[[#This Row],[Fluid Wt. ]]</f>
        <v>0</v>
      </c>
    </row>
    <row r="58" spans="1:14" x14ac:dyDescent="0.2">
      <c r="A58" s="626">
        <v>4</v>
      </c>
      <c r="B58" s="626">
        <v>4.5</v>
      </c>
      <c r="C58" s="626">
        <v>0.25</v>
      </c>
      <c r="D58" s="626">
        <v>4</v>
      </c>
      <c r="E58" s="626">
        <v>11.36</v>
      </c>
      <c r="F58" s="626"/>
      <c r="G58" s="626"/>
      <c r="H58" s="626">
        <v>3.3611</v>
      </c>
      <c r="I58" s="626">
        <v>0.65280000000000005</v>
      </c>
      <c r="J58" s="629"/>
      <c r="K58" s="628">
        <f>Table4[[#This Row],[Qty]]*Table4[[#This Row],[Gallon Capacity Per Linear Foot]]</f>
        <v>0</v>
      </c>
      <c r="L58" s="628">
        <f>Table4[[#This Row],[Gallons]]*7.48</f>
        <v>0</v>
      </c>
      <c r="M58" s="628">
        <f>Table4[[#This Row],[Qty]]*Table4[[#This Row],[Weight per Foot]]</f>
        <v>0</v>
      </c>
      <c r="N58" s="628">
        <f>Table4[[#This Row],[Pipe Wt. ]]+Table4[[#This Row],[Fluid Wt. ]]</f>
        <v>0</v>
      </c>
    </row>
    <row r="59" spans="1:14" x14ac:dyDescent="0.2">
      <c r="A59" s="626">
        <v>4</v>
      </c>
      <c r="B59" s="626">
        <v>4.5</v>
      </c>
      <c r="C59" s="626">
        <v>0.28100000000000003</v>
      </c>
      <c r="D59" s="626">
        <v>3.9380000000000002</v>
      </c>
      <c r="E59" s="626">
        <v>12.67</v>
      </c>
      <c r="F59" s="626"/>
      <c r="G59" s="626">
        <v>60</v>
      </c>
      <c r="H59" s="626">
        <v>3.7021000000000002</v>
      </c>
      <c r="I59" s="626">
        <v>0.63260000000000005</v>
      </c>
      <c r="J59" s="629"/>
      <c r="K59" s="628">
        <f>Table4[[#This Row],[Qty]]*Table4[[#This Row],[Gallon Capacity Per Linear Foot]]</f>
        <v>0</v>
      </c>
      <c r="L59" s="628">
        <f>Table4[[#This Row],[Gallons]]*7.48</f>
        <v>0</v>
      </c>
      <c r="M59" s="628">
        <f>Table4[[#This Row],[Qty]]*Table4[[#This Row],[Weight per Foot]]</f>
        <v>0</v>
      </c>
      <c r="N59" s="628">
        <f>Table4[[#This Row],[Pipe Wt. ]]+Table4[[#This Row],[Fluid Wt. ]]</f>
        <v>0</v>
      </c>
    </row>
    <row r="60" spans="1:14" x14ac:dyDescent="0.2">
      <c r="A60" s="626">
        <v>4</v>
      </c>
      <c r="B60" s="626">
        <v>4.5</v>
      </c>
      <c r="C60" s="626">
        <v>0.312</v>
      </c>
      <c r="D60" s="626">
        <v>3.8759999999999999</v>
      </c>
      <c r="E60" s="626">
        <v>13.97</v>
      </c>
      <c r="F60" s="626"/>
      <c r="G60" s="626"/>
      <c r="H60" s="626">
        <v>4.0273000000000003</v>
      </c>
      <c r="I60" s="626">
        <v>0.61260000000000003</v>
      </c>
      <c r="J60" s="629"/>
      <c r="K60" s="628">
        <f>Table4[[#This Row],[Qty]]*Table4[[#This Row],[Gallon Capacity Per Linear Foot]]</f>
        <v>0</v>
      </c>
      <c r="L60" s="628">
        <f>Table4[[#This Row],[Gallons]]*7.48</f>
        <v>0</v>
      </c>
      <c r="M60" s="628">
        <f>Table4[[#This Row],[Qty]]*Table4[[#This Row],[Weight per Foot]]</f>
        <v>0</v>
      </c>
      <c r="N60" s="628">
        <f>Table4[[#This Row],[Pipe Wt. ]]+Table4[[#This Row],[Fluid Wt. ]]</f>
        <v>0</v>
      </c>
    </row>
    <row r="61" spans="1:14" x14ac:dyDescent="0.2">
      <c r="A61" s="626">
        <v>4</v>
      </c>
      <c r="B61" s="626">
        <v>4.5</v>
      </c>
      <c r="C61" s="626">
        <v>0.33700000000000002</v>
      </c>
      <c r="D61" s="626">
        <v>3.8260000000000001</v>
      </c>
      <c r="E61" s="626">
        <v>15</v>
      </c>
      <c r="F61" s="626" t="s">
        <v>857</v>
      </c>
      <c r="G61" s="626">
        <v>80</v>
      </c>
      <c r="H61" s="626">
        <v>4.2713000000000001</v>
      </c>
      <c r="I61" s="626">
        <v>0.59719999999999995</v>
      </c>
      <c r="J61" s="629"/>
      <c r="K61" s="628">
        <f>Table4[[#This Row],[Qty]]*Table4[[#This Row],[Gallon Capacity Per Linear Foot]]</f>
        <v>0</v>
      </c>
      <c r="L61" s="628">
        <f>Table4[[#This Row],[Gallons]]*7.48</f>
        <v>0</v>
      </c>
      <c r="M61" s="628">
        <f>Table4[[#This Row],[Qty]]*Table4[[#This Row],[Weight per Foot]]</f>
        <v>0</v>
      </c>
      <c r="N61" s="628">
        <f>Table4[[#This Row],[Pipe Wt. ]]+Table4[[#This Row],[Fluid Wt. ]]</f>
        <v>0</v>
      </c>
    </row>
    <row r="62" spans="1:14" x14ac:dyDescent="0.2">
      <c r="A62" s="626">
        <v>4</v>
      </c>
      <c r="B62" s="626">
        <v>4.5</v>
      </c>
      <c r="C62" s="626">
        <v>0.438</v>
      </c>
      <c r="D62" s="626">
        <v>3.6240000000000001</v>
      </c>
      <c r="E62" s="626">
        <v>19.02</v>
      </c>
      <c r="F62" s="626"/>
      <c r="G62" s="626">
        <v>120</v>
      </c>
      <c r="H62" s="626">
        <v>5.1790000000000003</v>
      </c>
      <c r="I62" s="626">
        <v>0.53610000000000002</v>
      </c>
      <c r="J62" s="629"/>
      <c r="K62" s="628">
        <f>Table4[[#This Row],[Qty]]*Table4[[#This Row],[Gallon Capacity Per Linear Foot]]</f>
        <v>0</v>
      </c>
      <c r="L62" s="628">
        <f>Table4[[#This Row],[Gallons]]*7.48</f>
        <v>0</v>
      </c>
      <c r="M62" s="628">
        <f>Table4[[#This Row],[Qty]]*Table4[[#This Row],[Weight per Foot]]</f>
        <v>0</v>
      </c>
      <c r="N62" s="628">
        <f>Table4[[#This Row],[Pipe Wt. ]]+Table4[[#This Row],[Fluid Wt. ]]</f>
        <v>0</v>
      </c>
    </row>
    <row r="63" spans="1:14" x14ac:dyDescent="0.2">
      <c r="A63" s="626">
        <v>4</v>
      </c>
      <c r="B63" s="626">
        <v>4.5</v>
      </c>
      <c r="C63" s="626">
        <v>0.53100000000000003</v>
      </c>
      <c r="D63" s="626">
        <v>3.4380000000000002</v>
      </c>
      <c r="E63" s="626">
        <v>22.53</v>
      </c>
      <c r="F63" s="626"/>
      <c r="G63" s="626">
        <v>160</v>
      </c>
      <c r="H63" s="626">
        <v>5.8997000000000002</v>
      </c>
      <c r="I63" s="626">
        <v>0.48220000000000002</v>
      </c>
      <c r="J63" s="629"/>
      <c r="K63" s="628">
        <f>Table4[[#This Row],[Qty]]*Table4[[#This Row],[Gallon Capacity Per Linear Foot]]</f>
        <v>0</v>
      </c>
      <c r="L63" s="628">
        <f>Table4[[#This Row],[Gallons]]*7.48</f>
        <v>0</v>
      </c>
      <c r="M63" s="628">
        <f>Table4[[#This Row],[Qty]]*Table4[[#This Row],[Weight per Foot]]</f>
        <v>0</v>
      </c>
      <c r="N63" s="628">
        <f>Table4[[#This Row],[Pipe Wt. ]]+Table4[[#This Row],[Fluid Wt. ]]</f>
        <v>0</v>
      </c>
    </row>
    <row r="64" spans="1:14" x14ac:dyDescent="0.2">
      <c r="A64" s="626">
        <v>4</v>
      </c>
      <c r="B64" s="626">
        <v>4.5</v>
      </c>
      <c r="C64" s="626">
        <v>0.67400000000000004</v>
      </c>
      <c r="D64" s="626">
        <v>3.1520000000000001</v>
      </c>
      <c r="E64" s="626">
        <v>27.57</v>
      </c>
      <c r="F64" s="626" t="s">
        <v>858</v>
      </c>
      <c r="G64" s="626"/>
      <c r="H64" s="626">
        <v>6.7927</v>
      </c>
      <c r="I64" s="626">
        <v>0.40539999999999998</v>
      </c>
      <c r="J64" s="629"/>
      <c r="K64" s="628">
        <f>Table4[[#This Row],[Qty]]*Table4[[#This Row],[Gallon Capacity Per Linear Foot]]</f>
        <v>0</v>
      </c>
      <c r="L64" s="628">
        <f>Table4[[#This Row],[Gallons]]*7.48</f>
        <v>0</v>
      </c>
      <c r="M64" s="628">
        <f>Table4[[#This Row],[Qty]]*Table4[[#This Row],[Weight per Foot]]</f>
        <v>0</v>
      </c>
      <c r="N64" s="628">
        <f>Table4[[#This Row],[Pipe Wt. ]]+Table4[[#This Row],[Fluid Wt. ]]</f>
        <v>0</v>
      </c>
    </row>
    <row r="65" spans="1:14" x14ac:dyDescent="0.2">
      <c r="A65" s="626">
        <v>5</v>
      </c>
      <c r="B65" s="626">
        <v>5.5629999999999997</v>
      </c>
      <c r="C65" s="626">
        <v>0.188</v>
      </c>
      <c r="D65" s="626">
        <v>5.1870000000000003</v>
      </c>
      <c r="E65" s="626">
        <v>10.8</v>
      </c>
      <c r="F65" s="626"/>
      <c r="G65" s="626"/>
      <c r="H65" s="626">
        <v>4.1161000000000003</v>
      </c>
      <c r="I65" s="626">
        <v>1.0979000000000001</v>
      </c>
      <c r="J65" s="629"/>
      <c r="K65" s="628">
        <f>Table4[[#This Row],[Qty]]*Table4[[#This Row],[Gallon Capacity Per Linear Foot]]</f>
        <v>0</v>
      </c>
      <c r="L65" s="628">
        <f>Table4[[#This Row],[Gallons]]*7.48</f>
        <v>0</v>
      </c>
      <c r="M65" s="628">
        <f>Table4[[#This Row],[Qty]]*Table4[[#This Row],[Weight per Foot]]</f>
        <v>0</v>
      </c>
      <c r="N65" s="628">
        <f>Table4[[#This Row],[Pipe Wt. ]]+Table4[[#This Row],[Fluid Wt. ]]</f>
        <v>0</v>
      </c>
    </row>
    <row r="66" spans="1:14" x14ac:dyDescent="0.2">
      <c r="A66" s="626">
        <v>5</v>
      </c>
      <c r="B66" s="626">
        <v>5.5629999999999997</v>
      </c>
      <c r="C66" s="626">
        <v>0.219</v>
      </c>
      <c r="D66" s="626">
        <v>5.125</v>
      </c>
      <c r="E66" s="626">
        <v>12.51</v>
      </c>
      <c r="F66" s="626"/>
      <c r="G66" s="626"/>
      <c r="H66" s="626">
        <v>4.7279</v>
      </c>
      <c r="I66" s="626">
        <v>1.0716000000000001</v>
      </c>
      <c r="J66" s="629"/>
      <c r="K66" s="628">
        <f>Table4[[#This Row],[Qty]]*Table4[[#This Row],[Gallon Capacity Per Linear Foot]]</f>
        <v>0</v>
      </c>
      <c r="L66" s="628">
        <f>Table4[[#This Row],[Gallons]]*7.48</f>
        <v>0</v>
      </c>
      <c r="M66" s="628">
        <f>Table4[[#This Row],[Qty]]*Table4[[#This Row],[Weight per Foot]]</f>
        <v>0</v>
      </c>
      <c r="N66" s="628">
        <f>Table4[[#This Row],[Pipe Wt. ]]+Table4[[#This Row],[Fluid Wt. ]]</f>
        <v>0</v>
      </c>
    </row>
    <row r="67" spans="1:14" x14ac:dyDescent="0.2">
      <c r="A67" s="626">
        <v>5</v>
      </c>
      <c r="B67" s="626">
        <v>5.5629999999999997</v>
      </c>
      <c r="C67" s="626">
        <v>0.25800000000000001</v>
      </c>
      <c r="D67" s="626">
        <v>5.0469999999999997</v>
      </c>
      <c r="E67" s="626">
        <v>14.63</v>
      </c>
      <c r="F67" s="626" t="s">
        <v>859</v>
      </c>
      <c r="G67" s="626">
        <v>40</v>
      </c>
      <c r="H67" s="626">
        <v>5.45</v>
      </c>
      <c r="I67" s="626">
        <v>1.0390999999999999</v>
      </c>
      <c r="J67" s="629"/>
      <c r="K67" s="628">
        <f>Table4[[#This Row],[Qty]]*Table4[[#This Row],[Gallon Capacity Per Linear Foot]]</f>
        <v>0</v>
      </c>
      <c r="L67" s="628">
        <f>Table4[[#This Row],[Gallons]]*7.48</f>
        <v>0</v>
      </c>
      <c r="M67" s="628">
        <f>Table4[[#This Row],[Qty]]*Table4[[#This Row],[Weight per Foot]]</f>
        <v>0</v>
      </c>
      <c r="N67" s="628">
        <f>Table4[[#This Row],[Pipe Wt. ]]+Table4[[#This Row],[Fluid Wt. ]]</f>
        <v>0</v>
      </c>
    </row>
    <row r="68" spans="1:14" x14ac:dyDescent="0.2">
      <c r="A68" s="626">
        <v>5</v>
      </c>
      <c r="B68" s="626">
        <v>5.5629999999999997</v>
      </c>
      <c r="C68" s="626">
        <v>0.28100000000000003</v>
      </c>
      <c r="D68" s="626">
        <v>5.0010000000000003</v>
      </c>
      <c r="E68" s="626">
        <v>15.87</v>
      </c>
      <c r="F68" s="626"/>
      <c r="G68" s="626"/>
      <c r="H68" s="626">
        <v>5.8643999999999998</v>
      </c>
      <c r="I68" s="626">
        <v>1.0204</v>
      </c>
      <c r="J68" s="629"/>
      <c r="K68" s="628">
        <f>Table4[[#This Row],[Qty]]*Table4[[#This Row],[Gallon Capacity Per Linear Foot]]</f>
        <v>0</v>
      </c>
      <c r="L68" s="628">
        <f>Table4[[#This Row],[Gallons]]*7.48</f>
        <v>0</v>
      </c>
      <c r="M68" s="628">
        <f>Table4[[#This Row],[Qty]]*Table4[[#This Row],[Weight per Foot]]</f>
        <v>0</v>
      </c>
      <c r="N68" s="628">
        <f>Table4[[#This Row],[Pipe Wt. ]]+Table4[[#This Row],[Fluid Wt. ]]</f>
        <v>0</v>
      </c>
    </row>
    <row r="69" spans="1:14" x14ac:dyDescent="0.2">
      <c r="A69" s="626">
        <v>5</v>
      </c>
      <c r="B69" s="626">
        <v>5.5629999999999997</v>
      </c>
      <c r="C69" s="626">
        <v>0.312</v>
      </c>
      <c r="D69" s="626">
        <v>4.9390000000000001</v>
      </c>
      <c r="E69" s="626">
        <v>17.510000000000002</v>
      </c>
      <c r="F69" s="626"/>
      <c r="G69" s="626"/>
      <c r="H69" s="626">
        <v>6.4074</v>
      </c>
      <c r="I69" s="626">
        <v>0.99646999999999997</v>
      </c>
      <c r="J69" s="629"/>
      <c r="K69" s="628">
        <f>Table4[[#This Row],[Qty]]*Table4[[#This Row],[Gallon Capacity Per Linear Foot]]</f>
        <v>0</v>
      </c>
      <c r="L69" s="628">
        <f>Table4[[#This Row],[Gallons]]*7.48</f>
        <v>0</v>
      </c>
      <c r="M69" s="628">
        <f>Table4[[#This Row],[Qty]]*Table4[[#This Row],[Weight per Foot]]</f>
        <v>0</v>
      </c>
      <c r="N69" s="628">
        <f>Table4[[#This Row],[Pipe Wt. ]]+Table4[[#This Row],[Fluid Wt. ]]</f>
        <v>0</v>
      </c>
    </row>
    <row r="70" spans="1:14" x14ac:dyDescent="0.2">
      <c r="A70" s="626">
        <v>5</v>
      </c>
      <c r="B70" s="626">
        <v>5.5629999999999997</v>
      </c>
      <c r="C70" s="626">
        <v>0.34399999999999997</v>
      </c>
      <c r="D70" s="626">
        <v>4.875</v>
      </c>
      <c r="E70" s="626">
        <v>19.190000000000001</v>
      </c>
      <c r="F70" s="626"/>
      <c r="G70" s="626"/>
      <c r="H70" s="626">
        <v>6.9358000000000004</v>
      </c>
      <c r="I70" s="626">
        <v>0.96960000000000002</v>
      </c>
      <c r="J70" s="629"/>
      <c r="K70" s="628">
        <f>Table4[[#This Row],[Qty]]*Table4[[#This Row],[Gallon Capacity Per Linear Foot]]</f>
        <v>0</v>
      </c>
      <c r="L70" s="628">
        <f>Table4[[#This Row],[Gallons]]*7.48</f>
        <v>0</v>
      </c>
      <c r="M70" s="628">
        <f>Table4[[#This Row],[Qty]]*Table4[[#This Row],[Weight per Foot]]</f>
        <v>0</v>
      </c>
      <c r="N70" s="628">
        <f>Table4[[#This Row],[Pipe Wt. ]]+Table4[[#This Row],[Fluid Wt. ]]</f>
        <v>0</v>
      </c>
    </row>
    <row r="71" spans="1:14" x14ac:dyDescent="0.2">
      <c r="A71" s="626">
        <v>5</v>
      </c>
      <c r="B71" s="626">
        <v>5.5629999999999997</v>
      </c>
      <c r="C71" s="626">
        <v>0.375</v>
      </c>
      <c r="D71" s="626">
        <v>4.8129999999999997</v>
      </c>
      <c r="E71" s="626">
        <v>20.8</v>
      </c>
      <c r="F71" s="626" t="s">
        <v>857</v>
      </c>
      <c r="G71" s="626">
        <v>80</v>
      </c>
      <c r="H71" s="626">
        <v>7.43</v>
      </c>
      <c r="I71" s="626">
        <v>0.94489999999999996</v>
      </c>
      <c r="J71" s="629"/>
      <c r="K71" s="628">
        <f>Table4[[#This Row],[Qty]]*Table4[[#This Row],[Gallon Capacity Per Linear Foot]]</f>
        <v>0</v>
      </c>
      <c r="L71" s="628">
        <f>Table4[[#This Row],[Gallons]]*7.48</f>
        <v>0</v>
      </c>
      <c r="M71" s="628">
        <f>Table4[[#This Row],[Qty]]*Table4[[#This Row],[Weight per Foot]]</f>
        <v>0</v>
      </c>
      <c r="N71" s="628">
        <f>Table4[[#This Row],[Pipe Wt. ]]+Table4[[#This Row],[Fluid Wt. ]]</f>
        <v>0</v>
      </c>
    </row>
    <row r="72" spans="1:14" x14ac:dyDescent="0.2">
      <c r="A72" s="626">
        <v>5</v>
      </c>
      <c r="B72" s="626">
        <v>5.5629999999999997</v>
      </c>
      <c r="C72" s="626">
        <v>0.5</v>
      </c>
      <c r="D72" s="626">
        <v>4.5629999999999997</v>
      </c>
      <c r="E72" s="626">
        <v>27.06</v>
      </c>
      <c r="F72" s="626"/>
      <c r="G72" s="626">
        <v>120</v>
      </c>
      <c r="H72" s="626">
        <v>9.2533999999999992</v>
      </c>
      <c r="I72" s="626">
        <v>0.84950000000000003</v>
      </c>
      <c r="J72" s="629"/>
      <c r="K72" s="628">
        <f>Table4[[#This Row],[Qty]]*Table4[[#This Row],[Gallon Capacity Per Linear Foot]]</f>
        <v>0</v>
      </c>
      <c r="L72" s="628">
        <f>Table4[[#This Row],[Gallons]]*7.48</f>
        <v>0</v>
      </c>
      <c r="M72" s="628">
        <f>Table4[[#This Row],[Qty]]*Table4[[#This Row],[Weight per Foot]]</f>
        <v>0</v>
      </c>
      <c r="N72" s="628">
        <f>Table4[[#This Row],[Pipe Wt. ]]+Table4[[#This Row],[Fluid Wt. ]]</f>
        <v>0</v>
      </c>
    </row>
    <row r="73" spans="1:14" x14ac:dyDescent="0.2">
      <c r="A73" s="626">
        <v>5</v>
      </c>
      <c r="B73" s="626">
        <v>5.5629999999999997</v>
      </c>
      <c r="C73" s="626">
        <v>0.625</v>
      </c>
      <c r="D73" s="626">
        <v>4.3129999999999997</v>
      </c>
      <c r="E73" s="626">
        <v>32.99</v>
      </c>
      <c r="F73" s="626"/>
      <c r="G73" s="626">
        <v>160</v>
      </c>
      <c r="H73" s="626">
        <v>10.797599999999999</v>
      </c>
      <c r="I73" s="626">
        <v>0.75900000000000001</v>
      </c>
      <c r="J73" s="629"/>
      <c r="K73" s="628">
        <f>Table4[[#This Row],[Qty]]*Table4[[#This Row],[Gallon Capacity Per Linear Foot]]</f>
        <v>0</v>
      </c>
      <c r="L73" s="628">
        <f>Table4[[#This Row],[Gallons]]*7.48</f>
        <v>0</v>
      </c>
      <c r="M73" s="628">
        <f>Table4[[#This Row],[Qty]]*Table4[[#This Row],[Weight per Foot]]</f>
        <v>0</v>
      </c>
      <c r="N73" s="628">
        <f>Table4[[#This Row],[Pipe Wt. ]]+Table4[[#This Row],[Fluid Wt. ]]</f>
        <v>0</v>
      </c>
    </row>
    <row r="74" spans="1:14" x14ac:dyDescent="0.2">
      <c r="A74" s="626">
        <v>5</v>
      </c>
      <c r="B74" s="626">
        <v>5.5629999999999997</v>
      </c>
      <c r="C74" s="626">
        <v>0.75</v>
      </c>
      <c r="D74" s="626">
        <v>4.0629999999999997</v>
      </c>
      <c r="E74" s="626">
        <v>38.590000000000003</v>
      </c>
      <c r="F74" s="626" t="s">
        <v>858</v>
      </c>
      <c r="G74" s="626"/>
      <c r="H74" s="626">
        <v>12.0954</v>
      </c>
      <c r="I74" s="626">
        <v>0.6734</v>
      </c>
      <c r="J74" s="629"/>
      <c r="K74" s="628">
        <f>Table4[[#This Row],[Qty]]*Table4[[#This Row],[Gallon Capacity Per Linear Foot]]</f>
        <v>0</v>
      </c>
      <c r="L74" s="628">
        <f>Table4[[#This Row],[Gallons]]*7.48</f>
        <v>0</v>
      </c>
      <c r="M74" s="628">
        <f>Table4[[#This Row],[Qty]]*Table4[[#This Row],[Weight per Foot]]</f>
        <v>0</v>
      </c>
      <c r="N74" s="628">
        <f>Table4[[#This Row],[Pipe Wt. ]]+Table4[[#This Row],[Fluid Wt. ]]</f>
        <v>0</v>
      </c>
    </row>
    <row r="75" spans="1:14" x14ac:dyDescent="0.2">
      <c r="A75" s="626">
        <v>6</v>
      </c>
      <c r="B75" s="626">
        <v>6.625</v>
      </c>
      <c r="C75" s="626">
        <v>0.109</v>
      </c>
      <c r="D75" s="626">
        <v>6.407</v>
      </c>
      <c r="E75" s="626">
        <v>7.59</v>
      </c>
      <c r="F75" s="626"/>
      <c r="G75" s="626">
        <v>5</v>
      </c>
      <c r="H75" s="626">
        <v>3.5769000000000002</v>
      </c>
      <c r="I75" s="626">
        <v>1.6748000000000001</v>
      </c>
      <c r="J75" s="629"/>
      <c r="K75" s="628">
        <f>Table4[[#This Row],[Qty]]*Table4[[#This Row],[Gallon Capacity Per Linear Foot]]</f>
        <v>0</v>
      </c>
      <c r="L75" s="628">
        <f>Table4[[#This Row],[Gallons]]*7.48</f>
        <v>0</v>
      </c>
      <c r="M75" s="628">
        <f>Table4[[#This Row],[Qty]]*Table4[[#This Row],[Weight per Foot]]</f>
        <v>0</v>
      </c>
      <c r="N75" s="628">
        <f>Table4[[#This Row],[Pipe Wt. ]]+Table4[[#This Row],[Fluid Wt. ]]</f>
        <v>0</v>
      </c>
    </row>
    <row r="76" spans="1:14" x14ac:dyDescent="0.2">
      <c r="A76" s="626">
        <v>6</v>
      </c>
      <c r="B76" s="626">
        <v>6.625</v>
      </c>
      <c r="C76" s="626">
        <v>0.13400000000000001</v>
      </c>
      <c r="D76" s="626">
        <v>6.3570000000000002</v>
      </c>
      <c r="E76" s="626">
        <v>9.3000000000000007</v>
      </c>
      <c r="F76" s="626"/>
      <c r="G76" s="626">
        <v>10</v>
      </c>
      <c r="H76" s="626">
        <v>4.3475000000000001</v>
      </c>
      <c r="I76" s="626">
        <v>1.6488</v>
      </c>
      <c r="J76" s="629"/>
      <c r="K76" s="628">
        <f>Table4[[#This Row],[Qty]]*Table4[[#This Row],[Gallon Capacity Per Linear Foot]]</f>
        <v>0</v>
      </c>
      <c r="L76" s="628">
        <f>Table4[[#This Row],[Gallons]]*7.48</f>
        <v>0</v>
      </c>
      <c r="M76" s="628">
        <f>Table4[[#This Row],[Qty]]*Table4[[#This Row],[Weight per Foot]]</f>
        <v>0</v>
      </c>
      <c r="N76" s="628">
        <f>Table4[[#This Row],[Pipe Wt. ]]+Table4[[#This Row],[Fluid Wt. ]]</f>
        <v>0</v>
      </c>
    </row>
    <row r="77" spans="1:14" x14ac:dyDescent="0.2">
      <c r="A77" s="626">
        <v>6</v>
      </c>
      <c r="B77" s="626">
        <v>6.625</v>
      </c>
      <c r="C77" s="626">
        <v>0.156</v>
      </c>
      <c r="D77" s="626">
        <v>6.3129999999999997</v>
      </c>
      <c r="E77" s="626">
        <v>10.79</v>
      </c>
      <c r="F77" s="626"/>
      <c r="G77" s="626"/>
      <c r="H77" s="626">
        <v>5.0106999999999999</v>
      </c>
      <c r="I77" s="626">
        <v>1.6259999999999999</v>
      </c>
      <c r="J77" s="629"/>
      <c r="K77" s="628">
        <f>Table4[[#This Row],[Qty]]*Table4[[#This Row],[Gallon Capacity Per Linear Foot]]</f>
        <v>0</v>
      </c>
      <c r="L77" s="628">
        <f>Table4[[#This Row],[Gallons]]*7.48</f>
        <v>0</v>
      </c>
      <c r="M77" s="628">
        <f>Table4[[#This Row],[Qty]]*Table4[[#This Row],[Weight per Foot]]</f>
        <v>0</v>
      </c>
      <c r="N77" s="628">
        <f>Table4[[#This Row],[Pipe Wt. ]]+Table4[[#This Row],[Fluid Wt. ]]</f>
        <v>0</v>
      </c>
    </row>
    <row r="78" spans="1:14" x14ac:dyDescent="0.2">
      <c r="A78" s="626">
        <v>6</v>
      </c>
      <c r="B78" s="626">
        <v>6.625</v>
      </c>
      <c r="C78" s="626">
        <v>0.188</v>
      </c>
      <c r="D78" s="626">
        <v>6.2489999999999997</v>
      </c>
      <c r="E78" s="626">
        <v>12.94</v>
      </c>
      <c r="F78" s="626"/>
      <c r="G78" s="626"/>
      <c r="H78" s="626">
        <v>5.9351000000000003</v>
      </c>
      <c r="I78" s="626">
        <v>1.5936999999999999</v>
      </c>
      <c r="J78" s="629"/>
      <c r="K78" s="628">
        <f>Table4[[#This Row],[Qty]]*Table4[[#This Row],[Gallon Capacity Per Linear Foot]]</f>
        <v>0</v>
      </c>
      <c r="L78" s="628">
        <f>Table4[[#This Row],[Gallons]]*7.48</f>
        <v>0</v>
      </c>
      <c r="M78" s="628">
        <f>Table4[[#This Row],[Qty]]*Table4[[#This Row],[Weight per Foot]]</f>
        <v>0</v>
      </c>
      <c r="N78" s="628">
        <f>Table4[[#This Row],[Pipe Wt. ]]+Table4[[#This Row],[Fluid Wt. ]]</f>
        <v>0</v>
      </c>
    </row>
    <row r="79" spans="1:14" x14ac:dyDescent="0.2">
      <c r="A79" s="626">
        <v>6</v>
      </c>
      <c r="B79" s="626">
        <v>6.625</v>
      </c>
      <c r="C79" s="626">
        <v>0.20300000000000001</v>
      </c>
      <c r="D79" s="626">
        <v>6.2190000000000003</v>
      </c>
      <c r="E79" s="626">
        <v>13.94</v>
      </c>
      <c r="F79" s="626"/>
      <c r="G79" s="626"/>
      <c r="H79" s="626">
        <v>6.3803999999999998</v>
      </c>
      <c r="I79" s="626">
        <v>1.5780000000000001</v>
      </c>
      <c r="J79" s="629"/>
      <c r="K79" s="628">
        <f>Table4[[#This Row],[Qty]]*Table4[[#This Row],[Gallon Capacity Per Linear Foot]]</f>
        <v>0</v>
      </c>
      <c r="L79" s="628">
        <f>Table4[[#This Row],[Gallons]]*7.48</f>
        <v>0</v>
      </c>
      <c r="M79" s="628">
        <f>Table4[[#This Row],[Qty]]*Table4[[#This Row],[Weight per Foot]]</f>
        <v>0</v>
      </c>
      <c r="N79" s="628">
        <f>Table4[[#This Row],[Pipe Wt. ]]+Table4[[#This Row],[Fluid Wt. ]]</f>
        <v>0</v>
      </c>
    </row>
    <row r="80" spans="1:14" x14ac:dyDescent="0.2">
      <c r="A80" s="626">
        <v>6</v>
      </c>
      <c r="B80" s="626">
        <v>6.625</v>
      </c>
      <c r="C80" s="626">
        <v>0.219</v>
      </c>
      <c r="D80" s="626">
        <v>6.1870000000000003</v>
      </c>
      <c r="E80" s="626">
        <v>15</v>
      </c>
      <c r="F80" s="626"/>
      <c r="G80" s="626"/>
      <c r="H80" s="626">
        <v>6.8261000000000003</v>
      </c>
      <c r="I80" s="626">
        <v>1.5620000000000001</v>
      </c>
      <c r="J80" s="629"/>
      <c r="K80" s="628">
        <f>Table4[[#This Row],[Qty]]*Table4[[#This Row],[Gallon Capacity Per Linear Foot]]</f>
        <v>0</v>
      </c>
      <c r="L80" s="628">
        <f>Table4[[#This Row],[Gallons]]*7.48</f>
        <v>0</v>
      </c>
      <c r="M80" s="628">
        <f>Table4[[#This Row],[Qty]]*Table4[[#This Row],[Weight per Foot]]</f>
        <v>0</v>
      </c>
      <c r="N80" s="628">
        <f>Table4[[#This Row],[Pipe Wt. ]]+Table4[[#This Row],[Fluid Wt. ]]</f>
        <v>0</v>
      </c>
    </row>
    <row r="81" spans="1:14" x14ac:dyDescent="0.2">
      <c r="A81" s="626">
        <v>6</v>
      </c>
      <c r="B81" s="626">
        <v>6.625</v>
      </c>
      <c r="C81" s="626">
        <v>0.25</v>
      </c>
      <c r="D81" s="626">
        <v>6.125</v>
      </c>
      <c r="E81" s="626">
        <v>17.04</v>
      </c>
      <c r="F81" s="626"/>
      <c r="G81" s="626"/>
      <c r="H81" s="626">
        <v>7.6905000000000001</v>
      </c>
      <c r="I81" s="626">
        <v>1.5306</v>
      </c>
      <c r="J81" s="629"/>
      <c r="K81" s="628">
        <f>Table4[[#This Row],[Qty]]*Table4[[#This Row],[Gallon Capacity Per Linear Foot]]</f>
        <v>0</v>
      </c>
      <c r="L81" s="628">
        <f>Table4[[#This Row],[Gallons]]*7.48</f>
        <v>0</v>
      </c>
      <c r="M81" s="628">
        <f>Table4[[#This Row],[Qty]]*Table4[[#This Row],[Weight per Foot]]</f>
        <v>0</v>
      </c>
      <c r="N81" s="628">
        <f>Table4[[#This Row],[Pipe Wt. ]]+Table4[[#This Row],[Fluid Wt. ]]</f>
        <v>0</v>
      </c>
    </row>
    <row r="82" spans="1:14" x14ac:dyDescent="0.2">
      <c r="A82" s="626">
        <v>6</v>
      </c>
      <c r="B82" s="626">
        <v>6.625</v>
      </c>
      <c r="C82" s="626">
        <v>0.28000000000000003</v>
      </c>
      <c r="D82" s="626">
        <v>6.0650000000000004</v>
      </c>
      <c r="E82" s="626">
        <v>18.989999999999998</v>
      </c>
      <c r="F82" s="626" t="s">
        <v>859</v>
      </c>
      <c r="G82" s="626">
        <v>40</v>
      </c>
      <c r="H82" s="626">
        <v>8.4957999999999991</v>
      </c>
      <c r="I82" s="626">
        <v>1.5007999999999999</v>
      </c>
      <c r="J82" s="629"/>
      <c r="K82" s="628">
        <f>Table4[[#This Row],[Qty]]*Table4[[#This Row],[Gallon Capacity Per Linear Foot]]</f>
        <v>0</v>
      </c>
      <c r="L82" s="628">
        <f>Table4[[#This Row],[Gallons]]*7.48</f>
        <v>0</v>
      </c>
      <c r="M82" s="628">
        <f>Table4[[#This Row],[Qty]]*Table4[[#This Row],[Weight per Foot]]</f>
        <v>0</v>
      </c>
      <c r="N82" s="628">
        <f>Table4[[#This Row],[Pipe Wt. ]]+Table4[[#This Row],[Fluid Wt. ]]</f>
        <v>0</v>
      </c>
    </row>
    <row r="83" spans="1:14" x14ac:dyDescent="0.2">
      <c r="A83" s="626">
        <v>6</v>
      </c>
      <c r="B83" s="626">
        <v>6.625</v>
      </c>
      <c r="C83" s="626">
        <v>0.312</v>
      </c>
      <c r="D83" s="626">
        <v>6.0010000000000003</v>
      </c>
      <c r="E83" s="626">
        <v>21.06</v>
      </c>
      <c r="F83" s="626"/>
      <c r="G83" s="626"/>
      <c r="H83" s="626">
        <v>9.3415999999999997</v>
      </c>
      <c r="I83" s="626">
        <v>1.4688000000000001</v>
      </c>
      <c r="J83" s="629"/>
      <c r="K83" s="628">
        <f>Table4[[#This Row],[Qty]]*Table4[[#This Row],[Gallon Capacity Per Linear Foot]]</f>
        <v>0</v>
      </c>
      <c r="L83" s="628">
        <f>Table4[[#This Row],[Gallons]]*7.48</f>
        <v>0</v>
      </c>
      <c r="M83" s="628">
        <f>Table4[[#This Row],[Qty]]*Table4[[#This Row],[Weight per Foot]]</f>
        <v>0</v>
      </c>
      <c r="N83" s="628">
        <f>Table4[[#This Row],[Pipe Wt. ]]+Table4[[#This Row],[Fluid Wt. ]]</f>
        <v>0</v>
      </c>
    </row>
    <row r="84" spans="1:14" x14ac:dyDescent="0.2">
      <c r="A84" s="626">
        <v>6</v>
      </c>
      <c r="B84" s="626">
        <v>6.625</v>
      </c>
      <c r="C84" s="626">
        <v>0.34399999999999997</v>
      </c>
      <c r="D84" s="626">
        <v>5.9370000000000003</v>
      </c>
      <c r="E84" s="626">
        <v>23.1</v>
      </c>
      <c r="F84" s="626"/>
      <c r="G84" s="626"/>
      <c r="H84" s="626">
        <v>10.111000000000001</v>
      </c>
      <c r="I84" s="626">
        <v>1.4391</v>
      </c>
      <c r="J84" s="629"/>
      <c r="K84" s="628">
        <f>Table4[[#This Row],[Qty]]*Table4[[#This Row],[Gallon Capacity Per Linear Foot]]</f>
        <v>0</v>
      </c>
      <c r="L84" s="628">
        <f>Table4[[#This Row],[Gallons]]*7.48</f>
        <v>0</v>
      </c>
      <c r="M84" s="628">
        <f>Table4[[#This Row],[Qty]]*Table4[[#This Row],[Weight per Foot]]</f>
        <v>0</v>
      </c>
      <c r="N84" s="628">
        <f>Table4[[#This Row],[Pipe Wt. ]]+Table4[[#This Row],[Fluid Wt. ]]</f>
        <v>0</v>
      </c>
    </row>
    <row r="85" spans="1:14" x14ac:dyDescent="0.2">
      <c r="A85" s="626">
        <v>6</v>
      </c>
      <c r="B85" s="626">
        <v>6.625</v>
      </c>
      <c r="C85" s="626">
        <v>0.375</v>
      </c>
      <c r="D85" s="626">
        <v>5.875</v>
      </c>
      <c r="E85" s="626">
        <v>25.05</v>
      </c>
      <c r="F85" s="626"/>
      <c r="G85" s="626"/>
      <c r="H85" s="626">
        <v>10.893000000000001</v>
      </c>
      <c r="I85" s="626">
        <v>1.4081999999999999</v>
      </c>
      <c r="J85" s="629"/>
      <c r="K85" s="628">
        <f>Table4[[#This Row],[Qty]]*Table4[[#This Row],[Gallon Capacity Per Linear Foot]]</f>
        <v>0</v>
      </c>
      <c r="L85" s="628">
        <f>Table4[[#This Row],[Gallons]]*7.48</f>
        <v>0</v>
      </c>
      <c r="M85" s="628">
        <f>Table4[[#This Row],[Qty]]*Table4[[#This Row],[Weight per Foot]]</f>
        <v>0</v>
      </c>
      <c r="N85" s="628">
        <f>Table4[[#This Row],[Pipe Wt. ]]+Table4[[#This Row],[Fluid Wt. ]]</f>
        <v>0</v>
      </c>
    </row>
    <row r="86" spans="1:14" x14ac:dyDescent="0.2">
      <c r="A86" s="626">
        <v>6</v>
      </c>
      <c r="B86" s="626">
        <v>6.625</v>
      </c>
      <c r="C86" s="626">
        <v>0.432</v>
      </c>
      <c r="D86" s="626">
        <v>5.7610000000000001</v>
      </c>
      <c r="E86" s="626">
        <v>28.6</v>
      </c>
      <c r="F86" s="626" t="s">
        <v>857</v>
      </c>
      <c r="G86" s="626">
        <v>80</v>
      </c>
      <c r="H86" s="626">
        <v>12.224</v>
      </c>
      <c r="I86" s="626">
        <v>1.3541000000000001</v>
      </c>
      <c r="J86" s="629"/>
      <c r="K86" s="628">
        <f>Table4[[#This Row],[Qty]]*Table4[[#This Row],[Gallon Capacity Per Linear Foot]]</f>
        <v>0</v>
      </c>
      <c r="L86" s="628">
        <f>Table4[[#This Row],[Gallons]]*7.48</f>
        <v>0</v>
      </c>
      <c r="M86" s="628">
        <f>Table4[[#This Row],[Qty]]*Table4[[#This Row],[Weight per Foot]]</f>
        <v>0</v>
      </c>
      <c r="N86" s="628">
        <f>Table4[[#This Row],[Pipe Wt. ]]+Table4[[#This Row],[Fluid Wt. ]]</f>
        <v>0</v>
      </c>
    </row>
    <row r="87" spans="1:14" x14ac:dyDescent="0.2">
      <c r="A87" s="626">
        <v>6</v>
      </c>
      <c r="B87" s="626">
        <v>6.625</v>
      </c>
      <c r="C87" s="626">
        <v>0.5</v>
      </c>
      <c r="D87" s="626">
        <v>5.625</v>
      </c>
      <c r="E87" s="626">
        <v>32.74</v>
      </c>
      <c r="F87" s="626"/>
      <c r="G87" s="626"/>
      <c r="H87" s="626">
        <v>13.711</v>
      </c>
      <c r="I87" s="626">
        <v>1.2908999999999999</v>
      </c>
      <c r="J87" s="629"/>
      <c r="K87" s="628">
        <f>Table4[[#This Row],[Qty]]*Table4[[#This Row],[Gallon Capacity Per Linear Foot]]</f>
        <v>0</v>
      </c>
      <c r="L87" s="628">
        <f>Table4[[#This Row],[Gallons]]*7.48</f>
        <v>0</v>
      </c>
      <c r="M87" s="628">
        <f>Table4[[#This Row],[Qty]]*Table4[[#This Row],[Weight per Foot]]</f>
        <v>0</v>
      </c>
      <c r="N87" s="628">
        <f>Table4[[#This Row],[Pipe Wt. ]]+Table4[[#This Row],[Fluid Wt. ]]</f>
        <v>0</v>
      </c>
    </row>
    <row r="88" spans="1:14" x14ac:dyDescent="0.2">
      <c r="A88" s="626">
        <v>6</v>
      </c>
      <c r="B88" s="626">
        <v>6.625</v>
      </c>
      <c r="C88" s="626">
        <v>0.56200000000000006</v>
      </c>
      <c r="D88" s="626">
        <v>5.5010000000000003</v>
      </c>
      <c r="E88" s="626">
        <v>36.43</v>
      </c>
      <c r="F88" s="626"/>
      <c r="G88" s="626">
        <v>120</v>
      </c>
      <c r="H88" s="626">
        <v>14.980600000000001</v>
      </c>
      <c r="I88" s="626">
        <v>1.2345999999999999</v>
      </c>
      <c r="J88" s="629"/>
      <c r="K88" s="628">
        <f>Table4[[#This Row],[Qty]]*Table4[[#This Row],[Gallon Capacity Per Linear Foot]]</f>
        <v>0</v>
      </c>
      <c r="L88" s="628">
        <f>Table4[[#This Row],[Gallons]]*7.48</f>
        <v>0</v>
      </c>
      <c r="M88" s="628">
        <f>Table4[[#This Row],[Qty]]*Table4[[#This Row],[Weight per Foot]]</f>
        <v>0</v>
      </c>
      <c r="N88" s="628">
        <f>Table4[[#This Row],[Pipe Wt. ]]+Table4[[#This Row],[Fluid Wt. ]]</f>
        <v>0</v>
      </c>
    </row>
    <row r="89" spans="1:14" x14ac:dyDescent="0.2">
      <c r="A89" s="626">
        <v>6</v>
      </c>
      <c r="B89" s="626">
        <v>6.625</v>
      </c>
      <c r="C89" s="626">
        <v>0.625</v>
      </c>
      <c r="D89" s="626">
        <v>5.375</v>
      </c>
      <c r="E89" s="626">
        <v>40.090000000000003</v>
      </c>
      <c r="F89" s="626"/>
      <c r="G89" s="626"/>
      <c r="H89" s="626">
        <v>16.182099999999998</v>
      </c>
      <c r="I89" s="626">
        <v>1.1787000000000001</v>
      </c>
      <c r="J89" s="629"/>
      <c r="K89" s="628">
        <f>Table4[[#This Row],[Qty]]*Table4[[#This Row],[Gallon Capacity Per Linear Foot]]</f>
        <v>0</v>
      </c>
      <c r="L89" s="628">
        <f>Table4[[#This Row],[Gallons]]*7.48</f>
        <v>0</v>
      </c>
      <c r="M89" s="628">
        <f>Table4[[#This Row],[Qty]]*Table4[[#This Row],[Weight per Foot]]</f>
        <v>0</v>
      </c>
      <c r="N89" s="628">
        <f>Table4[[#This Row],[Pipe Wt. ]]+Table4[[#This Row],[Fluid Wt. ]]</f>
        <v>0</v>
      </c>
    </row>
    <row r="90" spans="1:14" x14ac:dyDescent="0.2">
      <c r="A90" s="626">
        <v>6</v>
      </c>
      <c r="B90" s="626">
        <v>6.625</v>
      </c>
      <c r="C90" s="626">
        <v>0.71899999999999997</v>
      </c>
      <c r="D90" s="626">
        <v>5.1870000000000003</v>
      </c>
      <c r="E90" s="626">
        <v>45.39</v>
      </c>
      <c r="F90" s="626"/>
      <c r="G90" s="626">
        <v>160</v>
      </c>
      <c r="H90" s="626">
        <v>17.824300000000001</v>
      </c>
      <c r="I90" s="626">
        <v>1.0976999999999999</v>
      </c>
      <c r="J90" s="629"/>
      <c r="K90" s="628">
        <f>Table4[[#This Row],[Qty]]*Table4[[#This Row],[Gallon Capacity Per Linear Foot]]</f>
        <v>0</v>
      </c>
      <c r="L90" s="628">
        <f>Table4[[#This Row],[Gallons]]*7.48</f>
        <v>0</v>
      </c>
      <c r="M90" s="628">
        <f>Table4[[#This Row],[Qty]]*Table4[[#This Row],[Weight per Foot]]</f>
        <v>0</v>
      </c>
      <c r="N90" s="628">
        <f>Table4[[#This Row],[Pipe Wt. ]]+Table4[[#This Row],[Fluid Wt. ]]</f>
        <v>0</v>
      </c>
    </row>
    <row r="91" spans="1:14" x14ac:dyDescent="0.2">
      <c r="A91" s="626">
        <v>6</v>
      </c>
      <c r="B91" s="626">
        <v>6.625</v>
      </c>
      <c r="C91" s="626">
        <v>0.86399999999999999</v>
      </c>
      <c r="D91" s="626">
        <v>4.8970000000000002</v>
      </c>
      <c r="E91" s="626">
        <v>53.21</v>
      </c>
      <c r="F91" s="626" t="s">
        <v>858</v>
      </c>
      <c r="G91" s="626"/>
      <c r="H91" s="626">
        <v>20.024999999999999</v>
      </c>
      <c r="I91" s="626">
        <v>0.97840000000000005</v>
      </c>
      <c r="J91" s="629"/>
      <c r="K91" s="628">
        <f>Table4[[#This Row],[Qty]]*Table4[[#This Row],[Gallon Capacity Per Linear Foot]]</f>
        <v>0</v>
      </c>
      <c r="L91" s="628">
        <f>Table4[[#This Row],[Gallons]]*7.48</f>
        <v>0</v>
      </c>
      <c r="M91" s="628">
        <f>Table4[[#This Row],[Qty]]*Table4[[#This Row],[Weight per Foot]]</f>
        <v>0</v>
      </c>
      <c r="N91" s="628">
        <f>Table4[[#This Row],[Pipe Wt. ]]+Table4[[#This Row],[Fluid Wt. ]]</f>
        <v>0</v>
      </c>
    </row>
    <row r="92" spans="1:14" x14ac:dyDescent="0.2">
      <c r="A92" s="626">
        <v>6</v>
      </c>
      <c r="B92" s="626">
        <v>6.625</v>
      </c>
      <c r="C92" s="626">
        <v>1</v>
      </c>
      <c r="D92" s="626">
        <v>4.625</v>
      </c>
      <c r="E92" s="626">
        <v>60.13</v>
      </c>
      <c r="F92" s="626"/>
      <c r="G92" s="626"/>
      <c r="H92" s="626">
        <v>21.771899999999999</v>
      </c>
      <c r="I92" s="626">
        <v>0.87270000000000003</v>
      </c>
      <c r="J92" s="629"/>
      <c r="K92" s="628">
        <f>Table4[[#This Row],[Qty]]*Table4[[#This Row],[Gallon Capacity Per Linear Foot]]</f>
        <v>0</v>
      </c>
      <c r="L92" s="628">
        <f>Table4[[#This Row],[Gallons]]*7.48</f>
        <v>0</v>
      </c>
      <c r="M92" s="628">
        <f>Table4[[#This Row],[Qty]]*Table4[[#This Row],[Weight per Foot]]</f>
        <v>0</v>
      </c>
      <c r="N92" s="628">
        <f>Table4[[#This Row],[Pipe Wt. ]]+Table4[[#This Row],[Fluid Wt. ]]</f>
        <v>0</v>
      </c>
    </row>
    <row r="93" spans="1:14" x14ac:dyDescent="0.2">
      <c r="A93" s="626">
        <v>6</v>
      </c>
      <c r="B93" s="626">
        <v>6.625</v>
      </c>
      <c r="C93" s="626">
        <v>1.125</v>
      </c>
      <c r="D93" s="626">
        <v>4.375</v>
      </c>
      <c r="E93" s="626">
        <v>66.14</v>
      </c>
      <c r="F93" s="626"/>
      <c r="G93" s="626"/>
      <c r="H93" s="626">
        <v>23.123699999999999</v>
      </c>
      <c r="I93" s="626">
        <v>0.78090000000000004</v>
      </c>
      <c r="J93" s="629"/>
      <c r="K93" s="628">
        <f>Table4[[#This Row],[Qty]]*Table4[[#This Row],[Gallon Capacity Per Linear Foot]]</f>
        <v>0</v>
      </c>
      <c r="L93" s="628">
        <f>Table4[[#This Row],[Gallons]]*7.48</f>
        <v>0</v>
      </c>
      <c r="M93" s="628">
        <f>Table4[[#This Row],[Qty]]*Table4[[#This Row],[Weight per Foot]]</f>
        <v>0</v>
      </c>
      <c r="N93" s="628">
        <f>Table4[[#This Row],[Pipe Wt. ]]+Table4[[#This Row],[Fluid Wt. ]]</f>
        <v>0</v>
      </c>
    </row>
    <row r="94" spans="1:14" x14ac:dyDescent="0.2">
      <c r="A94" s="626">
        <v>8</v>
      </c>
      <c r="B94" s="626">
        <v>8.625</v>
      </c>
      <c r="C94" s="626">
        <v>0.188</v>
      </c>
      <c r="D94" s="626">
        <v>8.25</v>
      </c>
      <c r="E94" s="626">
        <v>16.96</v>
      </c>
      <c r="F94" s="626"/>
      <c r="G94" s="626"/>
      <c r="H94" s="626">
        <v>10.287000000000001</v>
      </c>
      <c r="I94" s="626">
        <v>2.7768999999999999</v>
      </c>
      <c r="J94" s="629"/>
      <c r="K94" s="628">
        <f>Table4[[#This Row],[Qty]]*Table4[[#This Row],[Gallon Capacity Per Linear Foot]]</f>
        <v>0</v>
      </c>
      <c r="L94" s="628">
        <f>Table4[[#This Row],[Gallons]]*7.48</f>
        <v>0</v>
      </c>
      <c r="M94" s="628">
        <f>Table4[[#This Row],[Qty]]*Table4[[#This Row],[Weight per Foot]]</f>
        <v>0</v>
      </c>
      <c r="N94" s="628">
        <f>Table4[[#This Row],[Pipe Wt. ]]+Table4[[#This Row],[Fluid Wt. ]]</f>
        <v>0</v>
      </c>
    </row>
    <row r="95" spans="1:14" x14ac:dyDescent="0.2">
      <c r="A95" s="626">
        <v>8</v>
      </c>
      <c r="B95" s="626">
        <v>8.625</v>
      </c>
      <c r="C95" s="626">
        <v>0.20300000000000001</v>
      </c>
      <c r="D95" s="626">
        <v>8.2189999999999994</v>
      </c>
      <c r="E95" s="626">
        <v>18.28</v>
      </c>
      <c r="F95" s="626"/>
      <c r="G95" s="626"/>
      <c r="H95" s="626">
        <v>11.048999999999999</v>
      </c>
      <c r="I95" s="626">
        <v>2.7561</v>
      </c>
      <c r="J95" s="629"/>
      <c r="K95" s="628">
        <f>Table4[[#This Row],[Qty]]*Table4[[#This Row],[Gallon Capacity Per Linear Foot]]</f>
        <v>0</v>
      </c>
      <c r="L95" s="628">
        <f>Table4[[#This Row],[Gallons]]*7.48</f>
        <v>0</v>
      </c>
      <c r="M95" s="628">
        <f>Table4[[#This Row],[Qty]]*Table4[[#This Row],[Weight per Foot]]</f>
        <v>0</v>
      </c>
      <c r="N95" s="628">
        <f>Table4[[#This Row],[Pipe Wt. ]]+Table4[[#This Row],[Fluid Wt. ]]</f>
        <v>0</v>
      </c>
    </row>
    <row r="96" spans="1:14" x14ac:dyDescent="0.2">
      <c r="A96" s="626">
        <v>8</v>
      </c>
      <c r="B96" s="626">
        <v>8.625</v>
      </c>
      <c r="C96" s="626">
        <v>0.219</v>
      </c>
      <c r="D96" s="626">
        <v>8.1869999999999994</v>
      </c>
      <c r="E96" s="626">
        <v>19.68</v>
      </c>
      <c r="F96" s="626"/>
      <c r="G96" s="626"/>
      <c r="H96" s="626">
        <v>11.840999999999999</v>
      </c>
      <c r="I96" s="626">
        <v>2.7349999999999999</v>
      </c>
      <c r="J96" s="629"/>
      <c r="K96" s="628">
        <f>Table4[[#This Row],[Qty]]*Table4[[#This Row],[Gallon Capacity Per Linear Foot]]</f>
        <v>0</v>
      </c>
      <c r="L96" s="628">
        <f>Table4[[#This Row],[Gallons]]*7.48</f>
        <v>0</v>
      </c>
      <c r="M96" s="628">
        <f>Table4[[#This Row],[Qty]]*Table4[[#This Row],[Weight per Foot]]</f>
        <v>0</v>
      </c>
      <c r="N96" s="628">
        <f>Table4[[#This Row],[Pipe Wt. ]]+Table4[[#This Row],[Fluid Wt. ]]</f>
        <v>0</v>
      </c>
    </row>
    <row r="97" spans="1:14" x14ac:dyDescent="0.2">
      <c r="A97" s="626">
        <v>8</v>
      </c>
      <c r="B97" s="626">
        <v>8.625</v>
      </c>
      <c r="C97" s="626">
        <v>0.23699999999999999</v>
      </c>
      <c r="D97" s="626">
        <v>8.1509999999999998</v>
      </c>
      <c r="E97" s="626">
        <v>21.25</v>
      </c>
      <c r="F97" s="626"/>
      <c r="G97" s="626"/>
      <c r="H97" s="626">
        <v>12.795999999999999</v>
      </c>
      <c r="I97" s="626">
        <v>2.7094</v>
      </c>
      <c r="J97" s="629"/>
      <c r="K97" s="628">
        <f>Table4[[#This Row],[Qty]]*Table4[[#This Row],[Gallon Capacity Per Linear Foot]]</f>
        <v>0</v>
      </c>
      <c r="L97" s="628">
        <f>Table4[[#This Row],[Gallons]]*7.48</f>
        <v>0</v>
      </c>
      <c r="M97" s="628">
        <f>Table4[[#This Row],[Qty]]*Table4[[#This Row],[Weight per Foot]]</f>
        <v>0</v>
      </c>
      <c r="N97" s="628">
        <f>Table4[[#This Row],[Pipe Wt. ]]+Table4[[#This Row],[Fluid Wt. ]]</f>
        <v>0</v>
      </c>
    </row>
    <row r="98" spans="1:14" x14ac:dyDescent="0.2">
      <c r="A98" s="626">
        <v>8</v>
      </c>
      <c r="B98" s="626">
        <v>8.625</v>
      </c>
      <c r="C98" s="626">
        <v>0.25</v>
      </c>
      <c r="D98" s="626">
        <v>8.125</v>
      </c>
      <c r="E98" s="626">
        <v>22.38</v>
      </c>
      <c r="F98" s="626"/>
      <c r="G98" s="626">
        <v>20</v>
      </c>
      <c r="H98" s="626">
        <v>13.385</v>
      </c>
      <c r="I98" s="626">
        <v>2.6934</v>
      </c>
      <c r="J98" s="629"/>
      <c r="K98" s="628">
        <f>Table4[[#This Row],[Qty]]*Table4[[#This Row],[Gallon Capacity Per Linear Foot]]</f>
        <v>0</v>
      </c>
      <c r="L98" s="628">
        <f>Table4[[#This Row],[Gallons]]*7.48</f>
        <v>0</v>
      </c>
      <c r="M98" s="628">
        <f>Table4[[#This Row],[Qty]]*Table4[[#This Row],[Weight per Foot]]</f>
        <v>0</v>
      </c>
      <c r="N98" s="628">
        <f>Table4[[#This Row],[Pipe Wt. ]]+Table4[[#This Row],[Fluid Wt. ]]</f>
        <v>0</v>
      </c>
    </row>
    <row r="99" spans="1:14" x14ac:dyDescent="0.2">
      <c r="A99" s="626">
        <v>8</v>
      </c>
      <c r="B99" s="626">
        <v>8.625</v>
      </c>
      <c r="C99" s="626">
        <v>0.27700000000000002</v>
      </c>
      <c r="D99" s="626">
        <v>8.0709999999999997</v>
      </c>
      <c r="E99" s="626">
        <v>24.72</v>
      </c>
      <c r="F99" s="626"/>
      <c r="G99" s="626">
        <v>30</v>
      </c>
      <c r="H99" s="626">
        <v>14.69</v>
      </c>
      <c r="I99" s="626">
        <v>2.6577000000000002</v>
      </c>
      <c r="J99" s="629"/>
      <c r="K99" s="628">
        <f>Table4[[#This Row],[Qty]]*Table4[[#This Row],[Gallon Capacity Per Linear Foot]]</f>
        <v>0</v>
      </c>
      <c r="L99" s="628">
        <f>Table4[[#This Row],[Gallons]]*7.48</f>
        <v>0</v>
      </c>
      <c r="M99" s="628">
        <f>Table4[[#This Row],[Qty]]*Table4[[#This Row],[Weight per Foot]]</f>
        <v>0</v>
      </c>
      <c r="N99" s="628">
        <f>Table4[[#This Row],[Pipe Wt. ]]+Table4[[#This Row],[Fluid Wt. ]]</f>
        <v>0</v>
      </c>
    </row>
    <row r="100" spans="1:14" x14ac:dyDescent="0.2">
      <c r="A100" s="626">
        <v>8</v>
      </c>
      <c r="B100" s="626">
        <v>8.625</v>
      </c>
      <c r="C100" s="626">
        <v>0.312</v>
      </c>
      <c r="D100" s="626">
        <v>8.0009999999999994</v>
      </c>
      <c r="E100" s="626">
        <v>27.73</v>
      </c>
      <c r="F100" s="626"/>
      <c r="G100" s="626"/>
      <c r="H100" s="626">
        <v>16.367999999999999</v>
      </c>
      <c r="I100" s="626">
        <v>2.6112000000000002</v>
      </c>
      <c r="J100" s="629"/>
      <c r="K100" s="628">
        <f>Table4[[#This Row],[Qty]]*Table4[[#This Row],[Gallon Capacity Per Linear Foot]]</f>
        <v>0</v>
      </c>
      <c r="L100" s="628">
        <f>Table4[[#This Row],[Gallons]]*7.48</f>
        <v>0</v>
      </c>
      <c r="M100" s="628">
        <f>Table4[[#This Row],[Qty]]*Table4[[#This Row],[Weight per Foot]]</f>
        <v>0</v>
      </c>
      <c r="N100" s="628">
        <f>Table4[[#This Row],[Pipe Wt. ]]+Table4[[#This Row],[Fluid Wt. ]]</f>
        <v>0</v>
      </c>
    </row>
    <row r="101" spans="1:14" x14ac:dyDescent="0.2">
      <c r="A101" s="626">
        <v>8</v>
      </c>
      <c r="B101" s="626">
        <v>8.625</v>
      </c>
      <c r="C101" s="626">
        <v>0.32200000000000001</v>
      </c>
      <c r="D101" s="626">
        <v>7.9809999999999999</v>
      </c>
      <c r="E101" s="626">
        <v>28.58</v>
      </c>
      <c r="F101" s="626" t="s">
        <v>859</v>
      </c>
      <c r="G101" s="626">
        <v>40</v>
      </c>
      <c r="H101" s="626">
        <v>16.809000000000001</v>
      </c>
      <c r="I101" s="626">
        <v>2.5988000000000002</v>
      </c>
      <c r="J101" s="629"/>
      <c r="K101" s="628">
        <f>Table4[[#This Row],[Qty]]*Table4[[#This Row],[Gallon Capacity Per Linear Foot]]</f>
        <v>0</v>
      </c>
      <c r="L101" s="628">
        <f>Table4[[#This Row],[Gallons]]*7.48</f>
        <v>0</v>
      </c>
      <c r="M101" s="628">
        <f>Table4[[#This Row],[Qty]]*Table4[[#This Row],[Weight per Foot]]</f>
        <v>0</v>
      </c>
      <c r="N101" s="628">
        <f>Table4[[#This Row],[Pipe Wt. ]]+Table4[[#This Row],[Fluid Wt. ]]</f>
        <v>0</v>
      </c>
    </row>
    <row r="102" spans="1:14" x14ac:dyDescent="0.2">
      <c r="A102" s="626">
        <v>8</v>
      </c>
      <c r="B102" s="626">
        <v>8.625</v>
      </c>
      <c r="C102" s="626">
        <v>0.34399999999999997</v>
      </c>
      <c r="D102" s="626">
        <v>7.9370000000000003</v>
      </c>
      <c r="E102" s="626">
        <v>30.45</v>
      </c>
      <c r="F102" s="626"/>
      <c r="G102" s="626"/>
      <c r="H102" s="626">
        <v>17.808</v>
      </c>
      <c r="I102" s="626">
        <v>2.5706000000000002</v>
      </c>
      <c r="J102" s="629"/>
      <c r="K102" s="628">
        <f>Table4[[#This Row],[Qty]]*Table4[[#This Row],[Gallon Capacity Per Linear Foot]]</f>
        <v>0</v>
      </c>
      <c r="L102" s="628">
        <f>Table4[[#This Row],[Gallons]]*7.48</f>
        <v>0</v>
      </c>
      <c r="M102" s="628">
        <f>Table4[[#This Row],[Qty]]*Table4[[#This Row],[Weight per Foot]]</f>
        <v>0</v>
      </c>
      <c r="N102" s="628">
        <f>Table4[[#This Row],[Pipe Wt. ]]+Table4[[#This Row],[Fluid Wt. ]]</f>
        <v>0</v>
      </c>
    </row>
    <row r="103" spans="1:14" x14ac:dyDescent="0.2">
      <c r="A103" s="626">
        <v>8</v>
      </c>
      <c r="B103" s="626">
        <v>8.625</v>
      </c>
      <c r="C103" s="626">
        <v>0.375</v>
      </c>
      <c r="D103" s="626">
        <v>7.875</v>
      </c>
      <c r="E103" s="626">
        <v>33.07</v>
      </c>
      <c r="F103" s="626"/>
      <c r="G103" s="626"/>
      <c r="H103" s="626">
        <v>19.213999999999999</v>
      </c>
      <c r="I103" s="626">
        <v>2.5301999999999998</v>
      </c>
      <c r="J103" s="629"/>
      <c r="K103" s="628">
        <f>Table4[[#This Row],[Qty]]*Table4[[#This Row],[Gallon Capacity Per Linear Foot]]</f>
        <v>0</v>
      </c>
      <c r="L103" s="628">
        <f>Table4[[#This Row],[Gallons]]*7.48</f>
        <v>0</v>
      </c>
      <c r="M103" s="628">
        <f>Table4[[#This Row],[Qty]]*Table4[[#This Row],[Weight per Foot]]</f>
        <v>0</v>
      </c>
      <c r="N103" s="628">
        <f>Table4[[#This Row],[Pipe Wt. ]]+Table4[[#This Row],[Fluid Wt. ]]</f>
        <v>0</v>
      </c>
    </row>
    <row r="104" spans="1:14" x14ac:dyDescent="0.2">
      <c r="A104" s="626">
        <v>8</v>
      </c>
      <c r="B104" s="626">
        <v>8.625</v>
      </c>
      <c r="C104" s="626">
        <v>0.40600000000000003</v>
      </c>
      <c r="D104" s="626">
        <v>7.8129999999999997</v>
      </c>
      <c r="E104" s="626">
        <v>35.67</v>
      </c>
      <c r="F104" s="626"/>
      <c r="G104" s="626">
        <v>60</v>
      </c>
      <c r="H104" s="626">
        <v>20.587</v>
      </c>
      <c r="I104" s="626">
        <v>2.4902000000000002</v>
      </c>
      <c r="J104" s="629"/>
      <c r="K104" s="628">
        <f>Table4[[#This Row],[Qty]]*Table4[[#This Row],[Gallon Capacity Per Linear Foot]]</f>
        <v>0</v>
      </c>
      <c r="L104" s="628">
        <f>Table4[[#This Row],[Gallons]]*7.48</f>
        <v>0</v>
      </c>
      <c r="M104" s="628">
        <f>Table4[[#This Row],[Qty]]*Table4[[#This Row],[Weight per Foot]]</f>
        <v>0</v>
      </c>
      <c r="N104" s="628">
        <f>Table4[[#This Row],[Pipe Wt. ]]+Table4[[#This Row],[Fluid Wt. ]]</f>
        <v>0</v>
      </c>
    </row>
    <row r="105" spans="1:14" x14ac:dyDescent="0.2">
      <c r="A105" s="626">
        <v>8</v>
      </c>
      <c r="B105" s="626">
        <v>8.625</v>
      </c>
      <c r="C105" s="626">
        <v>0.438</v>
      </c>
      <c r="D105" s="626">
        <v>7.7489999999999997</v>
      </c>
      <c r="E105" s="626">
        <v>38.33</v>
      </c>
      <c r="F105" s="626"/>
      <c r="G105" s="626"/>
      <c r="H105" s="626">
        <v>21.928000000000001</v>
      </c>
      <c r="I105" s="626">
        <v>2.4504999999999999</v>
      </c>
      <c r="J105" s="629"/>
      <c r="K105" s="628">
        <f>Table4[[#This Row],[Qty]]*Table4[[#This Row],[Gallon Capacity Per Linear Foot]]</f>
        <v>0</v>
      </c>
      <c r="L105" s="628">
        <f>Table4[[#This Row],[Gallons]]*7.48</f>
        <v>0</v>
      </c>
      <c r="M105" s="628">
        <f>Table4[[#This Row],[Qty]]*Table4[[#This Row],[Weight per Foot]]</f>
        <v>0</v>
      </c>
      <c r="N105" s="628">
        <f>Table4[[#This Row],[Pipe Wt. ]]+Table4[[#This Row],[Fluid Wt. ]]</f>
        <v>0</v>
      </c>
    </row>
    <row r="106" spans="1:14" x14ac:dyDescent="0.2">
      <c r="A106" s="626">
        <v>8</v>
      </c>
      <c r="B106" s="626">
        <v>8.625</v>
      </c>
      <c r="C106" s="626">
        <v>0.5</v>
      </c>
      <c r="D106" s="626">
        <v>7.625</v>
      </c>
      <c r="E106" s="626">
        <v>43.43</v>
      </c>
      <c r="F106" s="626" t="s">
        <v>857</v>
      </c>
      <c r="G106" s="626">
        <v>80</v>
      </c>
      <c r="H106" s="626">
        <v>24.513999999999999</v>
      </c>
      <c r="I106" s="626">
        <v>2.3721000000000001</v>
      </c>
      <c r="J106" s="629"/>
      <c r="K106" s="628">
        <f>Table4[[#This Row],[Qty]]*Table4[[#This Row],[Gallon Capacity Per Linear Foot]]</f>
        <v>0</v>
      </c>
      <c r="L106" s="628">
        <f>Table4[[#This Row],[Gallons]]*7.48</f>
        <v>0</v>
      </c>
      <c r="M106" s="628">
        <f>Table4[[#This Row],[Qty]]*Table4[[#This Row],[Weight per Foot]]</f>
        <v>0</v>
      </c>
      <c r="N106" s="628">
        <f>Table4[[#This Row],[Pipe Wt. ]]+Table4[[#This Row],[Fluid Wt. ]]</f>
        <v>0</v>
      </c>
    </row>
    <row r="107" spans="1:14" x14ac:dyDescent="0.2">
      <c r="A107" s="626">
        <v>8</v>
      </c>
      <c r="B107" s="626">
        <v>8.625</v>
      </c>
      <c r="C107" s="626">
        <v>0.56200000000000006</v>
      </c>
      <c r="D107" s="626">
        <v>7.5010000000000003</v>
      </c>
      <c r="E107" s="626">
        <v>48.44</v>
      </c>
      <c r="F107" s="626"/>
      <c r="G107" s="626"/>
      <c r="H107" s="626">
        <v>26.963000000000001</v>
      </c>
      <c r="I107" s="626">
        <v>2.2955999999999999</v>
      </c>
      <c r="J107" s="629"/>
      <c r="K107" s="628">
        <f>Table4[[#This Row],[Qty]]*Table4[[#This Row],[Gallon Capacity Per Linear Foot]]</f>
        <v>0</v>
      </c>
      <c r="L107" s="628">
        <f>Table4[[#This Row],[Gallons]]*7.48</f>
        <v>0</v>
      </c>
      <c r="M107" s="628">
        <f>Table4[[#This Row],[Qty]]*Table4[[#This Row],[Weight per Foot]]</f>
        <v>0</v>
      </c>
      <c r="N107" s="628">
        <f>Table4[[#This Row],[Pipe Wt. ]]+Table4[[#This Row],[Fluid Wt. ]]</f>
        <v>0</v>
      </c>
    </row>
    <row r="108" spans="1:14" x14ac:dyDescent="0.2">
      <c r="A108" s="626">
        <v>8</v>
      </c>
      <c r="B108" s="626">
        <v>8.625</v>
      </c>
      <c r="C108" s="626">
        <v>0.59399999999999997</v>
      </c>
      <c r="D108" s="626">
        <v>7.4370000000000003</v>
      </c>
      <c r="E108" s="626">
        <v>51</v>
      </c>
      <c r="F108" s="626"/>
      <c r="G108" s="626">
        <v>100</v>
      </c>
      <c r="H108" s="626">
        <v>28.177</v>
      </c>
      <c r="I108" s="626">
        <v>2.2425000000000002</v>
      </c>
      <c r="J108" s="629"/>
      <c r="K108" s="628">
        <f>Table4[[#This Row],[Qty]]*Table4[[#This Row],[Gallon Capacity Per Linear Foot]]</f>
        <v>0</v>
      </c>
      <c r="L108" s="628">
        <f>Table4[[#This Row],[Gallons]]*7.48</f>
        <v>0</v>
      </c>
      <c r="M108" s="628">
        <f>Table4[[#This Row],[Qty]]*Table4[[#This Row],[Weight per Foot]]</f>
        <v>0</v>
      </c>
      <c r="N108" s="628">
        <f>Table4[[#This Row],[Pipe Wt. ]]+Table4[[#This Row],[Fluid Wt. ]]</f>
        <v>0</v>
      </c>
    </row>
    <row r="109" spans="1:14" x14ac:dyDescent="0.2">
      <c r="A109" s="626">
        <v>8</v>
      </c>
      <c r="B109" s="626">
        <v>8.625</v>
      </c>
      <c r="C109" s="626">
        <v>0.625</v>
      </c>
      <c r="D109" s="626">
        <v>7.375</v>
      </c>
      <c r="E109" s="626">
        <v>53.45</v>
      </c>
      <c r="F109" s="626"/>
      <c r="G109" s="626"/>
      <c r="H109" s="626">
        <v>29.324000000000002</v>
      </c>
      <c r="I109" s="626">
        <v>2.2191000000000001</v>
      </c>
      <c r="J109" s="629"/>
      <c r="K109" s="628">
        <f>Table4[[#This Row],[Qty]]*Table4[[#This Row],[Gallon Capacity Per Linear Foot]]</f>
        <v>0</v>
      </c>
      <c r="L109" s="628">
        <f>Table4[[#This Row],[Gallons]]*7.48</f>
        <v>0</v>
      </c>
      <c r="M109" s="628">
        <f>Table4[[#This Row],[Qty]]*Table4[[#This Row],[Weight per Foot]]</f>
        <v>0</v>
      </c>
      <c r="N109" s="628">
        <f>Table4[[#This Row],[Pipe Wt. ]]+Table4[[#This Row],[Fluid Wt. ]]</f>
        <v>0</v>
      </c>
    </row>
    <row r="110" spans="1:14" x14ac:dyDescent="0.2">
      <c r="A110" s="626">
        <v>8</v>
      </c>
      <c r="B110" s="626">
        <v>8.625</v>
      </c>
      <c r="C110" s="626">
        <v>0.71899999999999997</v>
      </c>
      <c r="D110" s="626">
        <v>7.1870000000000003</v>
      </c>
      <c r="E110" s="626">
        <v>60.77</v>
      </c>
      <c r="F110" s="626"/>
      <c r="G110" s="626">
        <v>120</v>
      </c>
      <c r="H110" s="626">
        <v>32.630000000000003</v>
      </c>
      <c r="I110" s="626">
        <v>2.1074000000000002</v>
      </c>
      <c r="J110" s="629"/>
      <c r="K110" s="628">
        <f>Table4[[#This Row],[Qty]]*Table4[[#This Row],[Gallon Capacity Per Linear Foot]]</f>
        <v>0</v>
      </c>
      <c r="L110" s="628">
        <f>Table4[[#This Row],[Gallons]]*7.48</f>
        <v>0</v>
      </c>
      <c r="M110" s="628">
        <f>Table4[[#This Row],[Qty]]*Table4[[#This Row],[Weight per Foot]]</f>
        <v>0</v>
      </c>
      <c r="N110" s="628">
        <f>Table4[[#This Row],[Pipe Wt. ]]+Table4[[#This Row],[Fluid Wt. ]]</f>
        <v>0</v>
      </c>
    </row>
    <row r="111" spans="1:14" x14ac:dyDescent="0.2">
      <c r="A111" s="626">
        <v>8</v>
      </c>
      <c r="B111" s="626">
        <v>8.625</v>
      </c>
      <c r="C111" s="626">
        <v>0.81200000000000006</v>
      </c>
      <c r="D111" s="626">
        <v>7.0010000000000003</v>
      </c>
      <c r="E111" s="626">
        <v>67.819999999999993</v>
      </c>
      <c r="F111" s="626"/>
      <c r="G111" s="626">
        <v>140</v>
      </c>
      <c r="H111" s="626">
        <v>35.654000000000003</v>
      </c>
      <c r="I111" s="626">
        <v>1.9998</v>
      </c>
      <c r="J111" s="629"/>
      <c r="K111" s="628">
        <f>Table4[[#This Row],[Qty]]*Table4[[#This Row],[Gallon Capacity Per Linear Foot]]</f>
        <v>0</v>
      </c>
      <c r="L111" s="628">
        <f>Table4[[#This Row],[Gallons]]*7.48</f>
        <v>0</v>
      </c>
      <c r="M111" s="628">
        <f>Table4[[#This Row],[Qty]]*Table4[[#This Row],[Weight per Foot]]</f>
        <v>0</v>
      </c>
      <c r="N111" s="628">
        <f>Table4[[#This Row],[Pipe Wt. ]]+Table4[[#This Row],[Fluid Wt. ]]</f>
        <v>0</v>
      </c>
    </row>
    <row r="112" spans="1:14" x14ac:dyDescent="0.2">
      <c r="A112" s="626">
        <v>8</v>
      </c>
      <c r="B112" s="626">
        <v>8.625</v>
      </c>
      <c r="C112" s="626">
        <v>0.875</v>
      </c>
      <c r="D112" s="626">
        <v>6.875</v>
      </c>
      <c r="E112" s="626">
        <v>72.489999999999995</v>
      </c>
      <c r="F112" s="626" t="s">
        <v>858</v>
      </c>
      <c r="G112" s="626"/>
      <c r="H112" s="626">
        <v>37.561999999999998</v>
      </c>
      <c r="I112" s="626">
        <v>1.9283999999999999</v>
      </c>
      <c r="J112" s="629"/>
      <c r="K112" s="628">
        <f>Table4[[#This Row],[Qty]]*Table4[[#This Row],[Gallon Capacity Per Linear Foot]]</f>
        <v>0</v>
      </c>
      <c r="L112" s="628">
        <f>Table4[[#This Row],[Gallons]]*7.48</f>
        <v>0</v>
      </c>
      <c r="M112" s="628">
        <f>Table4[[#This Row],[Qty]]*Table4[[#This Row],[Weight per Foot]]</f>
        <v>0</v>
      </c>
      <c r="N112" s="628">
        <f>Table4[[#This Row],[Pipe Wt. ]]+Table4[[#This Row],[Fluid Wt. ]]</f>
        <v>0</v>
      </c>
    </row>
    <row r="113" spans="1:14" x14ac:dyDescent="0.2">
      <c r="A113" s="626">
        <v>8</v>
      </c>
      <c r="B113" s="626">
        <v>8.625</v>
      </c>
      <c r="C113" s="626">
        <v>0.90600000000000003</v>
      </c>
      <c r="D113" s="626">
        <v>6.8129999999999997</v>
      </c>
      <c r="E113" s="626">
        <v>74.760000000000005</v>
      </c>
      <c r="F113" s="626"/>
      <c r="G113" s="626">
        <v>160</v>
      </c>
      <c r="H113" s="626">
        <v>38.475999999999999</v>
      </c>
      <c r="I113" s="626">
        <v>1.8937999999999999</v>
      </c>
      <c r="J113" s="629"/>
      <c r="K113" s="628">
        <f>Table4[[#This Row],[Qty]]*Table4[[#This Row],[Gallon Capacity Per Linear Foot]]</f>
        <v>0</v>
      </c>
      <c r="L113" s="628">
        <f>Table4[[#This Row],[Gallons]]*7.48</f>
        <v>0</v>
      </c>
      <c r="M113" s="628">
        <f>Table4[[#This Row],[Qty]]*Table4[[#This Row],[Weight per Foot]]</f>
        <v>0</v>
      </c>
      <c r="N113" s="628">
        <f>Table4[[#This Row],[Pipe Wt. ]]+Table4[[#This Row],[Fluid Wt. ]]</f>
        <v>0</v>
      </c>
    </row>
    <row r="114" spans="1:14" x14ac:dyDescent="0.2">
      <c r="A114" s="626">
        <v>10</v>
      </c>
      <c r="B114" s="626">
        <v>10.75</v>
      </c>
      <c r="C114" s="626">
        <v>0.188</v>
      </c>
      <c r="D114" s="626">
        <v>10.374000000000001</v>
      </c>
      <c r="E114" s="626">
        <v>21.23</v>
      </c>
      <c r="F114" s="626"/>
      <c r="G114" s="626"/>
      <c r="H114" s="626">
        <v>16.193000000000001</v>
      </c>
      <c r="I114" s="626">
        <v>4.3909000000000002</v>
      </c>
      <c r="J114" s="629"/>
      <c r="K114" s="628">
        <f>Table4[[#This Row],[Qty]]*Table4[[#This Row],[Gallon Capacity Per Linear Foot]]</f>
        <v>0</v>
      </c>
      <c r="L114" s="628">
        <f>Table4[[#This Row],[Gallons]]*7.48</f>
        <v>0</v>
      </c>
      <c r="M114" s="628">
        <f>Table4[[#This Row],[Qty]]*Table4[[#This Row],[Weight per Foot]]</f>
        <v>0</v>
      </c>
      <c r="N114" s="628">
        <f>Table4[[#This Row],[Pipe Wt. ]]+Table4[[#This Row],[Fluid Wt. ]]</f>
        <v>0</v>
      </c>
    </row>
    <row r="115" spans="1:14" x14ac:dyDescent="0.2">
      <c r="A115" s="626">
        <v>10</v>
      </c>
      <c r="B115" s="626">
        <v>10.75</v>
      </c>
      <c r="C115" s="626">
        <v>0.20300000000000001</v>
      </c>
      <c r="D115" s="626">
        <v>10.374000000000001</v>
      </c>
      <c r="E115" s="626">
        <v>22.89</v>
      </c>
      <c r="F115" s="626"/>
      <c r="G115" s="626"/>
      <c r="H115" s="626">
        <v>17.407</v>
      </c>
      <c r="I115" s="626">
        <v>4.3654999999999999</v>
      </c>
      <c r="J115" s="629"/>
      <c r="K115" s="628">
        <f>Table4[[#This Row],[Qty]]*Table4[[#This Row],[Gallon Capacity Per Linear Foot]]</f>
        <v>0</v>
      </c>
      <c r="L115" s="628">
        <f>Table4[[#This Row],[Gallons]]*7.48</f>
        <v>0</v>
      </c>
      <c r="M115" s="628">
        <f>Table4[[#This Row],[Qty]]*Table4[[#This Row],[Weight per Foot]]</f>
        <v>0</v>
      </c>
      <c r="N115" s="628">
        <f>Table4[[#This Row],[Pipe Wt. ]]+Table4[[#This Row],[Fluid Wt. ]]</f>
        <v>0</v>
      </c>
    </row>
    <row r="116" spans="1:14" x14ac:dyDescent="0.2">
      <c r="A116" s="626">
        <v>10</v>
      </c>
      <c r="B116" s="626">
        <v>10.75</v>
      </c>
      <c r="C116" s="626">
        <v>0.219</v>
      </c>
      <c r="D116" s="626">
        <v>10.311999999999999</v>
      </c>
      <c r="E116" s="626">
        <v>24.65</v>
      </c>
      <c r="F116" s="626"/>
      <c r="G116" s="626"/>
      <c r="H116" s="626">
        <v>18.675000000000001</v>
      </c>
      <c r="I116" s="626">
        <v>4.3390000000000004</v>
      </c>
      <c r="J116" s="629"/>
      <c r="K116" s="628">
        <f>Table4[[#This Row],[Qty]]*Table4[[#This Row],[Gallon Capacity Per Linear Foot]]</f>
        <v>0</v>
      </c>
      <c r="L116" s="628">
        <f>Table4[[#This Row],[Gallons]]*7.48</f>
        <v>0</v>
      </c>
      <c r="M116" s="628">
        <f>Table4[[#This Row],[Qty]]*Table4[[#This Row],[Weight per Foot]]</f>
        <v>0</v>
      </c>
      <c r="N116" s="628">
        <f>Table4[[#This Row],[Pipe Wt. ]]+Table4[[#This Row],[Fluid Wt. ]]</f>
        <v>0</v>
      </c>
    </row>
    <row r="117" spans="1:14" x14ac:dyDescent="0.2">
      <c r="A117" s="626">
        <v>10</v>
      </c>
      <c r="B117" s="626">
        <v>10.75</v>
      </c>
      <c r="C117" s="626">
        <v>0.23699999999999999</v>
      </c>
      <c r="D117" s="626">
        <v>10.276</v>
      </c>
      <c r="E117" s="626">
        <v>26.64</v>
      </c>
      <c r="F117" s="626"/>
      <c r="G117" s="626"/>
      <c r="H117" s="626">
        <v>20.209</v>
      </c>
      <c r="I117" s="626">
        <v>4.3066000000000004</v>
      </c>
      <c r="J117" s="629"/>
      <c r="K117" s="628">
        <f>Table4[[#This Row],[Qty]]*Table4[[#This Row],[Gallon Capacity Per Linear Foot]]</f>
        <v>0</v>
      </c>
      <c r="L117" s="628">
        <f>Table4[[#This Row],[Gallons]]*7.48</f>
        <v>0</v>
      </c>
      <c r="M117" s="628">
        <f>Table4[[#This Row],[Qty]]*Table4[[#This Row],[Weight per Foot]]</f>
        <v>0</v>
      </c>
      <c r="N117" s="628">
        <f>Table4[[#This Row],[Pipe Wt. ]]+Table4[[#This Row],[Fluid Wt. ]]</f>
        <v>0</v>
      </c>
    </row>
    <row r="118" spans="1:14" x14ac:dyDescent="0.2">
      <c r="A118" s="626">
        <v>10</v>
      </c>
      <c r="B118" s="626">
        <v>10.75</v>
      </c>
      <c r="C118" s="626">
        <v>0.25</v>
      </c>
      <c r="D118" s="626">
        <v>10.25</v>
      </c>
      <c r="E118" s="626">
        <v>28.06</v>
      </c>
      <c r="F118" s="626"/>
      <c r="G118" s="626">
        <v>20</v>
      </c>
      <c r="H118" s="626">
        <v>21.155999999999999</v>
      </c>
      <c r="I118" s="626">
        <v>4.2865000000000002</v>
      </c>
      <c r="J118" s="629"/>
      <c r="K118" s="628">
        <f>Table4[[#This Row],[Qty]]*Table4[[#This Row],[Gallon Capacity Per Linear Foot]]</f>
        <v>0</v>
      </c>
      <c r="L118" s="628">
        <f>Table4[[#This Row],[Gallons]]*7.48</f>
        <v>0</v>
      </c>
      <c r="M118" s="628">
        <f>Table4[[#This Row],[Qty]]*Table4[[#This Row],[Weight per Foot]]</f>
        <v>0</v>
      </c>
      <c r="N118" s="628">
        <f>Table4[[#This Row],[Pipe Wt. ]]+Table4[[#This Row],[Fluid Wt. ]]</f>
        <v>0</v>
      </c>
    </row>
    <row r="119" spans="1:14" x14ac:dyDescent="0.2">
      <c r="A119" s="626">
        <v>10</v>
      </c>
      <c r="B119" s="626">
        <v>10.75</v>
      </c>
      <c r="C119" s="626">
        <v>0.27900000000000003</v>
      </c>
      <c r="D119" s="626">
        <v>10.192</v>
      </c>
      <c r="E119" s="626">
        <v>31.23</v>
      </c>
      <c r="F119" s="626"/>
      <c r="G119" s="626"/>
      <c r="H119" s="626">
        <v>23.417999999999999</v>
      </c>
      <c r="I119" s="626">
        <v>4.2382</v>
      </c>
      <c r="J119" s="629"/>
      <c r="K119" s="628">
        <f>Table4[[#This Row],[Qty]]*Table4[[#This Row],[Gallon Capacity Per Linear Foot]]</f>
        <v>0</v>
      </c>
      <c r="L119" s="628">
        <f>Table4[[#This Row],[Gallons]]*7.48</f>
        <v>0</v>
      </c>
      <c r="M119" s="628">
        <f>Table4[[#This Row],[Qty]]*Table4[[#This Row],[Weight per Foot]]</f>
        <v>0</v>
      </c>
      <c r="N119" s="628">
        <f>Table4[[#This Row],[Pipe Wt. ]]+Table4[[#This Row],[Fluid Wt. ]]</f>
        <v>0</v>
      </c>
    </row>
    <row r="120" spans="1:14" x14ac:dyDescent="0.2">
      <c r="A120" s="626">
        <v>10</v>
      </c>
      <c r="B120" s="626">
        <v>10.75</v>
      </c>
      <c r="C120" s="626">
        <v>0.307</v>
      </c>
      <c r="D120" s="626">
        <v>10.135999999999999</v>
      </c>
      <c r="E120" s="626">
        <v>34.270000000000003</v>
      </c>
      <c r="F120" s="626"/>
      <c r="G120" s="626">
        <v>30</v>
      </c>
      <c r="H120" s="626">
        <v>25.565999999999999</v>
      </c>
      <c r="I120" s="626">
        <v>4.1917</v>
      </c>
      <c r="J120" s="629"/>
      <c r="K120" s="628">
        <f>Table4[[#This Row],[Qty]]*Table4[[#This Row],[Gallon Capacity Per Linear Foot]]</f>
        <v>0</v>
      </c>
      <c r="L120" s="628">
        <f>Table4[[#This Row],[Gallons]]*7.48</f>
        <v>0</v>
      </c>
      <c r="M120" s="628">
        <f>Table4[[#This Row],[Qty]]*Table4[[#This Row],[Weight per Foot]]</f>
        <v>0</v>
      </c>
      <c r="N120" s="628">
        <f>Table4[[#This Row],[Pipe Wt. ]]+Table4[[#This Row],[Fluid Wt. ]]</f>
        <v>0</v>
      </c>
    </row>
    <row r="121" spans="1:14" x14ac:dyDescent="0.2">
      <c r="A121" s="626">
        <v>10</v>
      </c>
      <c r="B121" s="626">
        <v>10.75</v>
      </c>
      <c r="C121" s="626">
        <v>0.34399999999999997</v>
      </c>
      <c r="D121" s="626">
        <v>10.061999999999999</v>
      </c>
      <c r="E121" s="626">
        <v>38.270000000000003</v>
      </c>
      <c r="F121" s="626"/>
      <c r="G121" s="626"/>
      <c r="H121" s="626">
        <v>28.332000000000001</v>
      </c>
      <c r="I121" s="626">
        <v>4.1311</v>
      </c>
      <c r="J121" s="629"/>
      <c r="K121" s="628">
        <f>Table4[[#This Row],[Qty]]*Table4[[#This Row],[Gallon Capacity Per Linear Foot]]</f>
        <v>0</v>
      </c>
      <c r="L121" s="628">
        <f>Table4[[#This Row],[Gallons]]*7.48</f>
        <v>0</v>
      </c>
      <c r="M121" s="628">
        <f>Table4[[#This Row],[Qty]]*Table4[[#This Row],[Weight per Foot]]</f>
        <v>0</v>
      </c>
      <c r="N121" s="628">
        <f>Table4[[#This Row],[Pipe Wt. ]]+Table4[[#This Row],[Fluid Wt. ]]</f>
        <v>0</v>
      </c>
    </row>
    <row r="122" spans="1:14" x14ac:dyDescent="0.2">
      <c r="A122" s="626">
        <v>10</v>
      </c>
      <c r="B122" s="626">
        <v>10.75</v>
      </c>
      <c r="C122" s="626">
        <v>0.36499999999999999</v>
      </c>
      <c r="D122" s="626">
        <v>10.02</v>
      </c>
      <c r="E122" s="626">
        <v>40.520000000000003</v>
      </c>
      <c r="F122" s="626" t="s">
        <v>859</v>
      </c>
      <c r="G122" s="626">
        <v>40</v>
      </c>
      <c r="H122" s="626">
        <v>29.904</v>
      </c>
      <c r="I122" s="626">
        <v>4.0963000000000003</v>
      </c>
      <c r="J122" s="629"/>
      <c r="K122" s="628">
        <f>Table4[[#This Row],[Qty]]*Table4[[#This Row],[Gallon Capacity Per Linear Foot]]</f>
        <v>0</v>
      </c>
      <c r="L122" s="628">
        <f>Table4[[#This Row],[Gallons]]*7.48</f>
        <v>0</v>
      </c>
      <c r="M122" s="628">
        <f>Table4[[#This Row],[Qty]]*Table4[[#This Row],[Weight per Foot]]</f>
        <v>0</v>
      </c>
      <c r="N122" s="628">
        <f>Table4[[#This Row],[Pipe Wt. ]]+Table4[[#This Row],[Fluid Wt. ]]</f>
        <v>0</v>
      </c>
    </row>
    <row r="123" spans="1:14" x14ac:dyDescent="0.2">
      <c r="A123" s="626">
        <v>10</v>
      </c>
      <c r="B123" s="626">
        <v>10.75</v>
      </c>
      <c r="C123" s="626">
        <v>0.375</v>
      </c>
      <c r="D123" s="626">
        <v>10</v>
      </c>
      <c r="E123" s="626">
        <v>41.59</v>
      </c>
      <c r="F123" s="626"/>
      <c r="G123" s="626"/>
      <c r="H123" s="626">
        <v>30.637</v>
      </c>
      <c r="I123" s="626">
        <v>4.08</v>
      </c>
      <c r="J123" s="629"/>
      <c r="K123" s="628">
        <f>Table4[[#This Row],[Qty]]*Table4[[#This Row],[Gallon Capacity Per Linear Foot]]</f>
        <v>0</v>
      </c>
      <c r="L123" s="628">
        <f>Table4[[#This Row],[Gallons]]*7.48</f>
        <v>0</v>
      </c>
      <c r="M123" s="628">
        <f>Table4[[#This Row],[Qty]]*Table4[[#This Row],[Weight per Foot]]</f>
        <v>0</v>
      </c>
      <c r="N123" s="628">
        <f>Table4[[#This Row],[Pipe Wt. ]]+Table4[[#This Row],[Fluid Wt. ]]</f>
        <v>0</v>
      </c>
    </row>
    <row r="124" spans="1:14" x14ac:dyDescent="0.2">
      <c r="A124" s="626">
        <v>10</v>
      </c>
      <c r="B124" s="626">
        <v>10.75</v>
      </c>
      <c r="C124" s="626">
        <v>0.438</v>
      </c>
      <c r="D124" s="626">
        <v>9.8740000000000006</v>
      </c>
      <c r="E124" s="626">
        <v>48.28</v>
      </c>
      <c r="F124" s="626"/>
      <c r="G124" s="626"/>
      <c r="H124" s="626">
        <v>35.118000000000002</v>
      </c>
      <c r="I124" s="626">
        <v>3.9786000000000001</v>
      </c>
      <c r="J124" s="629"/>
      <c r="K124" s="628">
        <f>Table4[[#This Row],[Qty]]*Table4[[#This Row],[Gallon Capacity Per Linear Foot]]</f>
        <v>0</v>
      </c>
      <c r="L124" s="628">
        <f>Table4[[#This Row],[Gallons]]*7.48</f>
        <v>0</v>
      </c>
      <c r="M124" s="628">
        <f>Table4[[#This Row],[Qty]]*Table4[[#This Row],[Weight per Foot]]</f>
        <v>0</v>
      </c>
      <c r="N124" s="628">
        <f>Table4[[#This Row],[Pipe Wt. ]]+Table4[[#This Row],[Fluid Wt. ]]</f>
        <v>0</v>
      </c>
    </row>
    <row r="125" spans="1:14" x14ac:dyDescent="0.2">
      <c r="A125" s="626">
        <v>10</v>
      </c>
      <c r="B125" s="626">
        <v>10.75</v>
      </c>
      <c r="C125" s="626">
        <v>0.5</v>
      </c>
      <c r="D125" s="626">
        <v>9.75</v>
      </c>
      <c r="E125" s="626">
        <v>54.79</v>
      </c>
      <c r="F125" s="626" t="s">
        <v>857</v>
      </c>
      <c r="G125" s="626">
        <v>60</v>
      </c>
      <c r="H125" s="626">
        <v>39.433</v>
      </c>
      <c r="I125" s="626">
        <v>3.8784999999999998</v>
      </c>
      <c r="J125" s="629"/>
      <c r="K125" s="628">
        <f>Table4[[#This Row],[Qty]]*Table4[[#This Row],[Gallon Capacity Per Linear Foot]]</f>
        <v>0</v>
      </c>
      <c r="L125" s="628">
        <f>Table4[[#This Row],[Gallons]]*7.48</f>
        <v>0</v>
      </c>
      <c r="M125" s="628">
        <f>Table4[[#This Row],[Qty]]*Table4[[#This Row],[Weight per Foot]]</f>
        <v>0</v>
      </c>
      <c r="N125" s="628">
        <f>Table4[[#This Row],[Pipe Wt. ]]+Table4[[#This Row],[Fluid Wt. ]]</f>
        <v>0</v>
      </c>
    </row>
    <row r="126" spans="1:14" x14ac:dyDescent="0.2">
      <c r="A126" s="626">
        <v>10</v>
      </c>
      <c r="B126" s="626">
        <v>10.75</v>
      </c>
      <c r="C126" s="626">
        <v>0.56200000000000006</v>
      </c>
      <c r="D126" s="626">
        <v>9.6259999999999994</v>
      </c>
      <c r="E126" s="626">
        <v>62.21</v>
      </c>
      <c r="F126" s="626"/>
      <c r="G126" s="626"/>
      <c r="H126" s="626">
        <v>43.584000000000003</v>
      </c>
      <c r="I126" s="626">
        <v>3.7797000000000001</v>
      </c>
      <c r="J126" s="629"/>
      <c r="K126" s="628">
        <f>Table4[[#This Row],[Qty]]*Table4[[#This Row],[Gallon Capacity Per Linear Foot]]</f>
        <v>0</v>
      </c>
      <c r="L126" s="628">
        <f>Table4[[#This Row],[Gallons]]*7.48</f>
        <v>0</v>
      </c>
      <c r="M126" s="628">
        <f>Table4[[#This Row],[Qty]]*Table4[[#This Row],[Weight per Foot]]</f>
        <v>0</v>
      </c>
      <c r="N126" s="628">
        <f>Table4[[#This Row],[Pipe Wt. ]]+Table4[[#This Row],[Fluid Wt. ]]</f>
        <v>0</v>
      </c>
    </row>
    <row r="127" spans="1:14" x14ac:dyDescent="0.2">
      <c r="A127" s="626">
        <v>10</v>
      </c>
      <c r="B127" s="626">
        <v>10.75</v>
      </c>
      <c r="C127" s="626">
        <v>0.59399999999999997</v>
      </c>
      <c r="D127" s="626">
        <v>9.5619999999999994</v>
      </c>
      <c r="E127" s="626">
        <v>64.489999999999995</v>
      </c>
      <c r="F127" s="626"/>
      <c r="G127" s="626">
        <v>80</v>
      </c>
      <c r="H127" s="626">
        <v>45.628</v>
      </c>
      <c r="I127" s="626">
        <v>3.7303999999999999</v>
      </c>
      <c r="J127" s="629"/>
      <c r="K127" s="628">
        <f>Table4[[#This Row],[Qty]]*Table4[[#This Row],[Gallon Capacity Per Linear Foot]]</f>
        <v>0</v>
      </c>
      <c r="L127" s="628">
        <f>Table4[[#This Row],[Gallons]]*7.48</f>
        <v>0</v>
      </c>
      <c r="M127" s="628">
        <f>Table4[[#This Row],[Qty]]*Table4[[#This Row],[Weight per Foot]]</f>
        <v>0</v>
      </c>
      <c r="N127" s="628">
        <f>Table4[[#This Row],[Pipe Wt. ]]+Table4[[#This Row],[Fluid Wt. ]]</f>
        <v>0</v>
      </c>
    </row>
    <row r="128" spans="1:14" x14ac:dyDescent="0.2">
      <c r="A128" s="626">
        <v>10</v>
      </c>
      <c r="B128" s="626">
        <v>10.75</v>
      </c>
      <c r="C128" s="626">
        <v>0.625</v>
      </c>
      <c r="D128" s="626">
        <v>9.5</v>
      </c>
      <c r="E128" s="626">
        <v>67.650000000000006</v>
      </c>
      <c r="F128" s="626"/>
      <c r="G128" s="626"/>
      <c r="H128" s="626">
        <v>47.576999999999998</v>
      </c>
      <c r="I128" s="626">
        <v>3.6821999999999999</v>
      </c>
      <c r="J128" s="629"/>
      <c r="K128" s="628">
        <f>Table4[[#This Row],[Qty]]*Table4[[#This Row],[Gallon Capacity Per Linear Foot]]</f>
        <v>0</v>
      </c>
      <c r="L128" s="628">
        <f>Table4[[#This Row],[Gallons]]*7.48</f>
        <v>0</v>
      </c>
      <c r="M128" s="628">
        <f>Table4[[#This Row],[Qty]]*Table4[[#This Row],[Weight per Foot]]</f>
        <v>0</v>
      </c>
      <c r="N128" s="628">
        <f>Table4[[#This Row],[Pipe Wt. ]]+Table4[[#This Row],[Fluid Wt. ]]</f>
        <v>0</v>
      </c>
    </row>
    <row r="129" spans="1:14" x14ac:dyDescent="0.2">
      <c r="A129" s="626">
        <v>10</v>
      </c>
      <c r="B129" s="626">
        <v>10.75</v>
      </c>
      <c r="C129" s="626">
        <v>0.71899999999999997</v>
      </c>
      <c r="D129" s="626">
        <v>9.3119999999999994</v>
      </c>
      <c r="E129" s="626">
        <v>77.099999999999994</v>
      </c>
      <c r="F129" s="626"/>
      <c r="G129" s="626">
        <v>100</v>
      </c>
      <c r="H129" s="626">
        <v>53.307000000000002</v>
      </c>
      <c r="I129" s="626">
        <v>3.5379</v>
      </c>
      <c r="J129" s="629"/>
      <c r="K129" s="628">
        <f>Table4[[#This Row],[Qty]]*Table4[[#This Row],[Gallon Capacity Per Linear Foot]]</f>
        <v>0</v>
      </c>
      <c r="L129" s="628">
        <f>Table4[[#This Row],[Gallons]]*7.48</f>
        <v>0</v>
      </c>
      <c r="M129" s="628">
        <f>Table4[[#This Row],[Qty]]*Table4[[#This Row],[Weight per Foot]]</f>
        <v>0</v>
      </c>
      <c r="N129" s="628">
        <f>Table4[[#This Row],[Pipe Wt. ]]+Table4[[#This Row],[Fluid Wt. ]]</f>
        <v>0</v>
      </c>
    </row>
    <row r="130" spans="1:14" x14ac:dyDescent="0.2">
      <c r="A130" s="626">
        <v>10</v>
      </c>
      <c r="B130" s="626">
        <v>10.75</v>
      </c>
      <c r="C130" s="626">
        <v>0.81200000000000006</v>
      </c>
      <c r="D130" s="626">
        <v>9.1259999999999994</v>
      </c>
      <c r="E130" s="626">
        <v>86.26</v>
      </c>
      <c r="F130" s="626"/>
      <c r="G130" s="626"/>
      <c r="H130" s="626">
        <v>58.633000000000003</v>
      </c>
      <c r="I130" s="626">
        <v>3.3980000000000001</v>
      </c>
      <c r="J130" s="629"/>
      <c r="K130" s="628">
        <f>Table4[[#This Row],[Qty]]*Table4[[#This Row],[Gallon Capacity Per Linear Foot]]</f>
        <v>0</v>
      </c>
      <c r="L130" s="628">
        <f>Table4[[#This Row],[Gallons]]*7.48</f>
        <v>0</v>
      </c>
      <c r="M130" s="628">
        <f>Table4[[#This Row],[Qty]]*Table4[[#This Row],[Weight per Foot]]</f>
        <v>0</v>
      </c>
      <c r="N130" s="628">
        <f>Table4[[#This Row],[Pipe Wt. ]]+Table4[[#This Row],[Fluid Wt. ]]</f>
        <v>0</v>
      </c>
    </row>
    <row r="131" spans="1:14" x14ac:dyDescent="0.2">
      <c r="A131" s="626">
        <v>10</v>
      </c>
      <c r="B131" s="626">
        <v>10.75</v>
      </c>
      <c r="C131" s="626">
        <v>0.84399999999999997</v>
      </c>
      <c r="D131" s="626">
        <v>9.0619999999999994</v>
      </c>
      <c r="E131" s="626">
        <v>89.38</v>
      </c>
      <c r="F131" s="626"/>
      <c r="G131" s="626">
        <v>120</v>
      </c>
      <c r="H131" s="626">
        <v>63.390999999999998</v>
      </c>
      <c r="I131" s="626">
        <v>3.3504999999999998</v>
      </c>
      <c r="J131" s="629"/>
      <c r="K131" s="628">
        <f>Table4[[#This Row],[Qty]]*Table4[[#This Row],[Gallon Capacity Per Linear Foot]]</f>
        <v>0</v>
      </c>
      <c r="L131" s="628">
        <f>Table4[[#This Row],[Gallons]]*7.48</f>
        <v>0</v>
      </c>
      <c r="M131" s="628">
        <f>Table4[[#This Row],[Qty]]*Table4[[#This Row],[Weight per Foot]]</f>
        <v>0</v>
      </c>
      <c r="N131" s="628">
        <f>Table4[[#This Row],[Pipe Wt. ]]+Table4[[#This Row],[Fluid Wt. ]]</f>
        <v>0</v>
      </c>
    </row>
    <row r="132" spans="1:14" x14ac:dyDescent="0.2">
      <c r="A132" s="626">
        <v>10</v>
      </c>
      <c r="B132" s="626">
        <v>10.75</v>
      </c>
      <c r="C132" s="626">
        <v>1</v>
      </c>
      <c r="D132" s="626">
        <v>8.75</v>
      </c>
      <c r="E132" s="626">
        <v>104.23</v>
      </c>
      <c r="F132" s="626" t="s">
        <v>858</v>
      </c>
      <c r="G132" s="626">
        <v>140</v>
      </c>
      <c r="H132" s="626">
        <v>68.429000000000002</v>
      </c>
      <c r="I132" s="626">
        <v>3.1236999999999999</v>
      </c>
      <c r="J132" s="629"/>
      <c r="K132" s="628">
        <f>Table4[[#This Row],[Qty]]*Table4[[#This Row],[Gallon Capacity Per Linear Foot]]</f>
        <v>0</v>
      </c>
      <c r="L132" s="628">
        <f>Table4[[#This Row],[Gallons]]*7.48</f>
        <v>0</v>
      </c>
      <c r="M132" s="628">
        <f>Table4[[#This Row],[Qty]]*Table4[[#This Row],[Weight per Foot]]</f>
        <v>0</v>
      </c>
      <c r="N132" s="628">
        <f>Table4[[#This Row],[Pipe Wt. ]]+Table4[[#This Row],[Fluid Wt. ]]</f>
        <v>0</v>
      </c>
    </row>
    <row r="133" spans="1:14" x14ac:dyDescent="0.2">
      <c r="A133" s="626">
        <v>10</v>
      </c>
      <c r="B133" s="626">
        <v>10.75</v>
      </c>
      <c r="C133" s="626">
        <v>1.125</v>
      </c>
      <c r="D133" s="626">
        <v>8.5</v>
      </c>
      <c r="E133" s="626">
        <v>115.75</v>
      </c>
      <c r="F133" s="626"/>
      <c r="G133" s="626">
        <v>160</v>
      </c>
      <c r="H133" s="626">
        <v>74.308999999999997</v>
      </c>
      <c r="I133" s="626">
        <v>2.9378000000000002</v>
      </c>
      <c r="J133" s="629"/>
      <c r="K133" s="628">
        <f>Table4[[#This Row],[Qty]]*Table4[[#This Row],[Gallon Capacity Per Linear Foot]]</f>
        <v>0</v>
      </c>
      <c r="L133" s="628">
        <f>Table4[[#This Row],[Gallons]]*7.48</f>
        <v>0</v>
      </c>
      <c r="M133" s="628">
        <f>Table4[[#This Row],[Qty]]*Table4[[#This Row],[Weight per Foot]]</f>
        <v>0</v>
      </c>
      <c r="N133" s="628">
        <f>Table4[[#This Row],[Pipe Wt. ]]+Table4[[#This Row],[Fluid Wt. ]]</f>
        <v>0</v>
      </c>
    </row>
    <row r="134" spans="1:14" x14ac:dyDescent="0.2">
      <c r="A134" s="626">
        <v>12</v>
      </c>
      <c r="B134" s="626">
        <v>12.75</v>
      </c>
      <c r="C134" s="626">
        <v>0.188</v>
      </c>
      <c r="D134" s="626">
        <v>12.374000000000001</v>
      </c>
      <c r="E134" s="626">
        <v>25.25</v>
      </c>
      <c r="F134" s="626"/>
      <c r="G134" s="626"/>
      <c r="H134" s="626">
        <v>22.968</v>
      </c>
      <c r="I134" s="626">
        <v>6.2470999999999997</v>
      </c>
      <c r="J134" s="629"/>
      <c r="K134" s="628">
        <f>Table4[[#This Row],[Qty]]*Table4[[#This Row],[Gallon Capacity Per Linear Foot]]</f>
        <v>0</v>
      </c>
      <c r="L134" s="628">
        <f>Table4[[#This Row],[Gallons]]*7.48</f>
        <v>0</v>
      </c>
      <c r="M134" s="628">
        <f>Table4[[#This Row],[Qty]]*Table4[[#This Row],[Weight per Foot]]</f>
        <v>0</v>
      </c>
      <c r="N134" s="628">
        <f>Table4[[#This Row],[Pipe Wt. ]]+Table4[[#This Row],[Fluid Wt. ]]</f>
        <v>0</v>
      </c>
    </row>
    <row r="135" spans="1:14" x14ac:dyDescent="0.2">
      <c r="A135" s="626">
        <v>12</v>
      </c>
      <c r="B135" s="626">
        <v>12.75</v>
      </c>
      <c r="C135" s="626">
        <v>0.20300000000000001</v>
      </c>
      <c r="D135" s="626">
        <v>12.374000000000001</v>
      </c>
      <c r="E135" s="626">
        <v>27.23</v>
      </c>
      <c r="F135" s="626"/>
      <c r="G135" s="626"/>
      <c r="H135" s="626">
        <v>24.706</v>
      </c>
      <c r="I135" s="626">
        <v>6.2168999999999999</v>
      </c>
      <c r="J135" s="629"/>
      <c r="K135" s="628">
        <f>Table4[[#This Row],[Qty]]*Table4[[#This Row],[Gallon Capacity Per Linear Foot]]</f>
        <v>0</v>
      </c>
      <c r="L135" s="628">
        <f>Table4[[#This Row],[Gallons]]*7.48</f>
        <v>0</v>
      </c>
      <c r="M135" s="628">
        <f>Table4[[#This Row],[Qty]]*Table4[[#This Row],[Weight per Foot]]</f>
        <v>0</v>
      </c>
      <c r="N135" s="628">
        <f>Table4[[#This Row],[Pipe Wt. ]]+Table4[[#This Row],[Fluid Wt. ]]</f>
        <v>0</v>
      </c>
    </row>
    <row r="136" spans="1:14" x14ac:dyDescent="0.2">
      <c r="A136" s="626">
        <v>12</v>
      </c>
      <c r="B136" s="626">
        <v>12.75</v>
      </c>
      <c r="C136" s="626">
        <v>0.219</v>
      </c>
      <c r="D136" s="626">
        <v>12.311999999999999</v>
      </c>
      <c r="E136" s="626">
        <v>29.34</v>
      </c>
      <c r="F136" s="626"/>
      <c r="G136" s="626"/>
      <c r="H136" s="626">
        <v>26.524000000000001</v>
      </c>
      <c r="I136" s="626">
        <v>6.1852</v>
      </c>
      <c r="J136" s="629"/>
      <c r="K136" s="628">
        <f>Table4[[#This Row],[Qty]]*Table4[[#This Row],[Gallon Capacity Per Linear Foot]]</f>
        <v>0</v>
      </c>
      <c r="L136" s="628">
        <f>Table4[[#This Row],[Gallons]]*7.48</f>
        <v>0</v>
      </c>
      <c r="M136" s="628">
        <f>Table4[[#This Row],[Qty]]*Table4[[#This Row],[Weight per Foot]]</f>
        <v>0</v>
      </c>
      <c r="N136" s="628">
        <f>Table4[[#This Row],[Pipe Wt. ]]+Table4[[#This Row],[Fluid Wt. ]]</f>
        <v>0</v>
      </c>
    </row>
    <row r="137" spans="1:14" x14ac:dyDescent="0.2">
      <c r="A137" s="626">
        <v>12</v>
      </c>
      <c r="B137" s="626">
        <v>12.75</v>
      </c>
      <c r="C137" s="626">
        <v>0.23699999999999999</v>
      </c>
      <c r="D137" s="626">
        <v>12.276</v>
      </c>
      <c r="E137" s="626">
        <v>31.7</v>
      </c>
      <c r="F137" s="626"/>
      <c r="G137" s="626"/>
      <c r="H137" s="626">
        <v>28.727</v>
      </c>
      <c r="I137" s="626">
        <v>6.1464999999999996</v>
      </c>
      <c r="J137" s="629"/>
      <c r="K137" s="628">
        <f>Table4[[#This Row],[Qty]]*Table4[[#This Row],[Gallon Capacity Per Linear Foot]]</f>
        <v>0</v>
      </c>
      <c r="L137" s="628">
        <f>Table4[[#This Row],[Gallons]]*7.48</f>
        <v>0</v>
      </c>
      <c r="M137" s="628">
        <f>Table4[[#This Row],[Qty]]*Table4[[#This Row],[Weight per Foot]]</f>
        <v>0</v>
      </c>
      <c r="N137" s="628">
        <f>Table4[[#This Row],[Pipe Wt. ]]+Table4[[#This Row],[Fluid Wt. ]]</f>
        <v>0</v>
      </c>
    </row>
    <row r="138" spans="1:14" x14ac:dyDescent="0.2">
      <c r="A138" s="626">
        <v>12</v>
      </c>
      <c r="B138" s="626">
        <v>12.75</v>
      </c>
      <c r="C138" s="626">
        <v>0.25</v>
      </c>
      <c r="D138" s="626">
        <v>12.25</v>
      </c>
      <c r="E138" s="626">
        <v>33.409999999999997</v>
      </c>
      <c r="F138" s="626"/>
      <c r="G138" s="626">
        <v>20</v>
      </c>
      <c r="H138" s="626">
        <v>30.09</v>
      </c>
      <c r="I138" s="626">
        <v>6.1224999999999996</v>
      </c>
      <c r="J138" s="629"/>
      <c r="K138" s="628">
        <f>Table4[[#This Row],[Qty]]*Table4[[#This Row],[Gallon Capacity Per Linear Foot]]</f>
        <v>0</v>
      </c>
      <c r="L138" s="628">
        <f>Table4[[#This Row],[Gallons]]*7.48</f>
        <v>0</v>
      </c>
      <c r="M138" s="628">
        <f>Table4[[#This Row],[Qty]]*Table4[[#This Row],[Weight per Foot]]</f>
        <v>0</v>
      </c>
      <c r="N138" s="628">
        <f>Table4[[#This Row],[Pipe Wt. ]]+Table4[[#This Row],[Fluid Wt. ]]</f>
        <v>0</v>
      </c>
    </row>
    <row r="139" spans="1:14" x14ac:dyDescent="0.2">
      <c r="A139" s="626">
        <v>12</v>
      </c>
      <c r="B139" s="626">
        <v>12.75</v>
      </c>
      <c r="C139" s="626">
        <v>0.28100000000000003</v>
      </c>
      <c r="D139" s="626">
        <v>12.188000000000001</v>
      </c>
      <c r="E139" s="626">
        <v>37.46</v>
      </c>
      <c r="F139" s="626"/>
      <c r="G139" s="626"/>
      <c r="H139" s="626">
        <v>33.601999999999997</v>
      </c>
      <c r="I139" s="626">
        <v>6.0602</v>
      </c>
      <c r="J139" s="629"/>
      <c r="K139" s="628">
        <f>Table4[[#This Row],[Qty]]*Table4[[#This Row],[Gallon Capacity Per Linear Foot]]</f>
        <v>0</v>
      </c>
      <c r="L139" s="628">
        <f>Table4[[#This Row],[Gallons]]*7.48</f>
        <v>0</v>
      </c>
      <c r="M139" s="628">
        <f>Table4[[#This Row],[Qty]]*Table4[[#This Row],[Weight per Foot]]</f>
        <v>0</v>
      </c>
      <c r="N139" s="628">
        <f>Table4[[#This Row],[Pipe Wt. ]]+Table4[[#This Row],[Fluid Wt. ]]</f>
        <v>0</v>
      </c>
    </row>
    <row r="140" spans="1:14" x14ac:dyDescent="0.2">
      <c r="A140" s="626">
        <v>12</v>
      </c>
      <c r="B140" s="626">
        <v>12.75</v>
      </c>
      <c r="C140" s="626">
        <v>0.312</v>
      </c>
      <c r="D140" s="626">
        <v>12.125999999999999</v>
      </c>
      <c r="E140" s="626">
        <v>41.48</v>
      </c>
      <c r="F140" s="626"/>
      <c r="G140" s="626"/>
      <c r="H140" s="626">
        <v>37.06</v>
      </c>
      <c r="I140" s="626">
        <v>5.9981999999999998</v>
      </c>
      <c r="J140" s="629"/>
      <c r="K140" s="628">
        <f>Table4[[#This Row],[Qty]]*Table4[[#This Row],[Gallon Capacity Per Linear Foot]]</f>
        <v>0</v>
      </c>
      <c r="L140" s="628">
        <f>Table4[[#This Row],[Gallons]]*7.48</f>
        <v>0</v>
      </c>
      <c r="M140" s="628">
        <f>Table4[[#This Row],[Qty]]*Table4[[#This Row],[Weight per Foot]]</f>
        <v>0</v>
      </c>
      <c r="N140" s="628">
        <f>Table4[[#This Row],[Pipe Wt. ]]+Table4[[#This Row],[Fluid Wt. ]]</f>
        <v>0</v>
      </c>
    </row>
    <row r="141" spans="1:14" x14ac:dyDescent="0.2">
      <c r="A141" s="626">
        <v>12</v>
      </c>
      <c r="B141" s="626">
        <v>12.75</v>
      </c>
      <c r="C141" s="626">
        <v>0.33</v>
      </c>
      <c r="D141" s="626">
        <v>12.09</v>
      </c>
      <c r="E141" s="626">
        <v>43.81</v>
      </c>
      <c r="F141" s="626"/>
      <c r="G141" s="626">
        <v>30</v>
      </c>
      <c r="H141" s="626">
        <v>38.972999999999999</v>
      </c>
      <c r="I141" s="626">
        <v>5.9635999999999996</v>
      </c>
      <c r="J141" s="629"/>
      <c r="K141" s="628">
        <f>Table4[[#This Row],[Qty]]*Table4[[#This Row],[Gallon Capacity Per Linear Foot]]</f>
        <v>0</v>
      </c>
      <c r="L141" s="628">
        <f>Table4[[#This Row],[Gallons]]*7.48</f>
        <v>0</v>
      </c>
      <c r="M141" s="628">
        <f>Table4[[#This Row],[Qty]]*Table4[[#This Row],[Weight per Foot]]</f>
        <v>0</v>
      </c>
      <c r="N141" s="628">
        <f>Table4[[#This Row],[Pipe Wt. ]]+Table4[[#This Row],[Fluid Wt. ]]</f>
        <v>0</v>
      </c>
    </row>
    <row r="142" spans="1:14" x14ac:dyDescent="0.2">
      <c r="A142" s="626">
        <v>12</v>
      </c>
      <c r="B142" s="626">
        <v>12.75</v>
      </c>
      <c r="C142" s="626">
        <v>0.34399999999999997</v>
      </c>
      <c r="D142" s="626">
        <v>12.061999999999999</v>
      </c>
      <c r="E142" s="626">
        <v>45.62</v>
      </c>
      <c r="F142" s="626"/>
      <c r="G142" s="626"/>
      <c r="H142" s="626">
        <v>40.465000000000003</v>
      </c>
      <c r="I142" s="626">
        <v>5.9364999999999997</v>
      </c>
      <c r="J142" s="629"/>
      <c r="K142" s="628">
        <f>Table4[[#This Row],[Qty]]*Table4[[#This Row],[Gallon Capacity Per Linear Foot]]</f>
        <v>0</v>
      </c>
      <c r="L142" s="628">
        <f>Table4[[#This Row],[Gallons]]*7.48</f>
        <v>0</v>
      </c>
      <c r="M142" s="628">
        <f>Table4[[#This Row],[Qty]]*Table4[[#This Row],[Weight per Foot]]</f>
        <v>0</v>
      </c>
      <c r="N142" s="628">
        <f>Table4[[#This Row],[Pipe Wt. ]]+Table4[[#This Row],[Fluid Wt. ]]</f>
        <v>0</v>
      </c>
    </row>
    <row r="143" spans="1:14" x14ac:dyDescent="0.2">
      <c r="A143" s="626">
        <v>12</v>
      </c>
      <c r="B143" s="626">
        <v>12.75</v>
      </c>
      <c r="C143" s="626">
        <v>0.375</v>
      </c>
      <c r="D143" s="626">
        <v>12</v>
      </c>
      <c r="E143" s="626">
        <v>49.61</v>
      </c>
      <c r="F143" s="626" t="s">
        <v>859</v>
      </c>
      <c r="G143" s="626"/>
      <c r="H143" s="626">
        <v>43.817</v>
      </c>
      <c r="I143" s="626">
        <v>5.8752000000000004</v>
      </c>
      <c r="J143" s="629"/>
      <c r="K143" s="628">
        <f>Table4[[#This Row],[Qty]]*Table4[[#This Row],[Gallon Capacity Per Linear Foot]]</f>
        <v>0</v>
      </c>
      <c r="L143" s="628">
        <f>Table4[[#This Row],[Gallons]]*7.48</f>
        <v>0</v>
      </c>
      <c r="M143" s="628">
        <f>Table4[[#This Row],[Qty]]*Table4[[#This Row],[Weight per Foot]]</f>
        <v>0</v>
      </c>
      <c r="N143" s="628">
        <f>Table4[[#This Row],[Pipe Wt. ]]+Table4[[#This Row],[Fluid Wt. ]]</f>
        <v>0</v>
      </c>
    </row>
    <row r="144" spans="1:14" x14ac:dyDescent="0.2">
      <c r="A144" s="626">
        <v>12</v>
      </c>
      <c r="B144" s="626">
        <v>12.75</v>
      </c>
      <c r="C144" s="626">
        <v>0.40600000000000003</v>
      </c>
      <c r="D144" s="626">
        <v>11.938000000000001</v>
      </c>
      <c r="E144" s="626">
        <v>53.57</v>
      </c>
      <c r="F144" s="626"/>
      <c r="G144" s="626">
        <v>40</v>
      </c>
      <c r="H144" s="626">
        <v>47.103999999999999</v>
      </c>
      <c r="I144" s="626">
        <v>5.8146000000000004</v>
      </c>
      <c r="J144" s="629"/>
      <c r="K144" s="628">
        <f>Table4[[#This Row],[Qty]]*Table4[[#This Row],[Gallon Capacity Per Linear Foot]]</f>
        <v>0</v>
      </c>
      <c r="L144" s="628">
        <f>Table4[[#This Row],[Gallons]]*7.48</f>
        <v>0</v>
      </c>
      <c r="M144" s="628">
        <f>Table4[[#This Row],[Qty]]*Table4[[#This Row],[Weight per Foot]]</f>
        <v>0</v>
      </c>
      <c r="N144" s="628">
        <f>Table4[[#This Row],[Pipe Wt. ]]+Table4[[#This Row],[Fluid Wt. ]]</f>
        <v>0</v>
      </c>
    </row>
    <row r="145" spans="1:14" x14ac:dyDescent="0.2">
      <c r="A145" s="626">
        <v>12</v>
      </c>
      <c r="B145" s="626">
        <v>12.75</v>
      </c>
      <c r="C145" s="626">
        <v>0.438</v>
      </c>
      <c r="D145" s="626">
        <v>11.874000000000001</v>
      </c>
      <c r="E145" s="626">
        <v>57.65</v>
      </c>
      <c r="F145" s="626" t="s">
        <v>857</v>
      </c>
      <c r="G145" s="626"/>
      <c r="H145" s="626">
        <v>50.366999999999997</v>
      </c>
      <c r="I145" s="626">
        <v>5.7534000000000001</v>
      </c>
      <c r="J145" s="629"/>
      <c r="K145" s="628">
        <f>Table4[[#This Row],[Qty]]*Table4[[#This Row],[Gallon Capacity Per Linear Foot]]</f>
        <v>0</v>
      </c>
      <c r="L145" s="628">
        <f>Table4[[#This Row],[Gallons]]*7.48</f>
        <v>0</v>
      </c>
      <c r="M145" s="628">
        <f>Table4[[#This Row],[Qty]]*Table4[[#This Row],[Weight per Foot]]</f>
        <v>0</v>
      </c>
      <c r="N145" s="628">
        <f>Table4[[#This Row],[Pipe Wt. ]]+Table4[[#This Row],[Fluid Wt. ]]</f>
        <v>0</v>
      </c>
    </row>
    <row r="146" spans="1:14" x14ac:dyDescent="0.2">
      <c r="A146" s="626">
        <v>12</v>
      </c>
      <c r="B146" s="626">
        <v>12.75</v>
      </c>
      <c r="C146" s="626">
        <v>0.5</v>
      </c>
      <c r="D146" s="626">
        <v>11.75</v>
      </c>
      <c r="E146" s="626">
        <v>65.48</v>
      </c>
      <c r="F146" s="626"/>
      <c r="G146" s="626"/>
      <c r="H146" s="626">
        <v>56.713000000000001</v>
      </c>
      <c r="I146" s="626">
        <v>5.6329000000000002</v>
      </c>
      <c r="J146" s="629"/>
      <c r="K146" s="628">
        <f>Table4[[#This Row],[Qty]]*Table4[[#This Row],[Gallon Capacity Per Linear Foot]]</f>
        <v>0</v>
      </c>
      <c r="L146" s="628">
        <f>Table4[[#This Row],[Gallons]]*7.48</f>
        <v>0</v>
      </c>
      <c r="M146" s="628">
        <f>Table4[[#This Row],[Qty]]*Table4[[#This Row],[Weight per Foot]]</f>
        <v>0</v>
      </c>
      <c r="N146" s="628">
        <f>Table4[[#This Row],[Pipe Wt. ]]+Table4[[#This Row],[Fluid Wt. ]]</f>
        <v>0</v>
      </c>
    </row>
    <row r="147" spans="1:14" x14ac:dyDescent="0.2">
      <c r="A147" s="626">
        <v>12</v>
      </c>
      <c r="B147" s="626">
        <v>12.75</v>
      </c>
      <c r="C147" s="626">
        <v>0.56200000000000006</v>
      </c>
      <c r="D147" s="626">
        <v>11.625999999999999</v>
      </c>
      <c r="E147" s="626">
        <v>73.22</v>
      </c>
      <c r="F147" s="626"/>
      <c r="G147" s="626">
        <v>60</v>
      </c>
      <c r="H147" s="626">
        <v>62.828000000000003</v>
      </c>
      <c r="I147" s="626">
        <v>5.5147000000000004</v>
      </c>
      <c r="J147" s="629"/>
      <c r="K147" s="628">
        <f>Table4[[#This Row],[Qty]]*Table4[[#This Row],[Gallon Capacity Per Linear Foot]]</f>
        <v>0</v>
      </c>
      <c r="L147" s="628">
        <f>Table4[[#This Row],[Gallons]]*7.48</f>
        <v>0</v>
      </c>
      <c r="M147" s="628">
        <f>Table4[[#This Row],[Qty]]*Table4[[#This Row],[Weight per Foot]]</f>
        <v>0</v>
      </c>
      <c r="N147" s="628">
        <f>Table4[[#This Row],[Pipe Wt. ]]+Table4[[#This Row],[Fluid Wt. ]]</f>
        <v>0</v>
      </c>
    </row>
    <row r="148" spans="1:14" x14ac:dyDescent="0.2">
      <c r="A148" s="626">
        <v>12</v>
      </c>
      <c r="B148" s="626">
        <v>12.75</v>
      </c>
      <c r="C148" s="626">
        <v>0.625</v>
      </c>
      <c r="D148" s="626">
        <v>11.5</v>
      </c>
      <c r="E148" s="626">
        <v>81.010000000000005</v>
      </c>
      <c r="F148" s="626"/>
      <c r="G148" s="626"/>
      <c r="H148" s="626">
        <v>68.811000000000007</v>
      </c>
      <c r="I148" s="626">
        <v>5.3958000000000004</v>
      </c>
      <c r="J148" s="629"/>
      <c r="K148" s="628">
        <f>Table4[[#This Row],[Qty]]*Table4[[#This Row],[Gallon Capacity Per Linear Foot]]</f>
        <v>0</v>
      </c>
      <c r="L148" s="628">
        <f>Table4[[#This Row],[Gallons]]*7.48</f>
        <v>0</v>
      </c>
      <c r="M148" s="628">
        <f>Table4[[#This Row],[Qty]]*Table4[[#This Row],[Weight per Foot]]</f>
        <v>0</v>
      </c>
      <c r="N148" s="628">
        <f>Table4[[#This Row],[Pipe Wt. ]]+Table4[[#This Row],[Fluid Wt. ]]</f>
        <v>0</v>
      </c>
    </row>
    <row r="149" spans="1:14" x14ac:dyDescent="0.2">
      <c r="A149" s="626">
        <v>12</v>
      </c>
      <c r="B149" s="626">
        <v>12.75</v>
      </c>
      <c r="C149" s="626">
        <v>0.68799999999999994</v>
      </c>
      <c r="D149" s="626">
        <v>11.374000000000001</v>
      </c>
      <c r="E149" s="626">
        <v>88.71</v>
      </c>
      <c r="F149" s="626"/>
      <c r="G149" s="626">
        <v>80</v>
      </c>
      <c r="H149" s="626">
        <v>74.635999999999996</v>
      </c>
      <c r="I149" s="626">
        <v>5.2782</v>
      </c>
      <c r="J149" s="629"/>
      <c r="K149" s="628">
        <f>Table4[[#This Row],[Qty]]*Table4[[#This Row],[Gallon Capacity Per Linear Foot]]</f>
        <v>0</v>
      </c>
      <c r="L149" s="628">
        <f>Table4[[#This Row],[Gallons]]*7.48</f>
        <v>0</v>
      </c>
      <c r="M149" s="628">
        <f>Table4[[#This Row],[Qty]]*Table4[[#This Row],[Weight per Foot]]</f>
        <v>0</v>
      </c>
      <c r="N149" s="628">
        <f>Table4[[#This Row],[Pipe Wt. ]]+Table4[[#This Row],[Fluid Wt. ]]</f>
        <v>0</v>
      </c>
    </row>
    <row r="150" spans="1:14" x14ac:dyDescent="0.2">
      <c r="A150" s="626">
        <v>12</v>
      </c>
      <c r="B150" s="626">
        <v>12.75</v>
      </c>
      <c r="C150" s="626">
        <v>0.75</v>
      </c>
      <c r="D150" s="626">
        <v>11.25</v>
      </c>
      <c r="E150" s="626">
        <v>96.21</v>
      </c>
      <c r="F150" s="626"/>
      <c r="G150" s="626"/>
      <c r="H150" s="626">
        <v>80.144999999999996</v>
      </c>
      <c r="I150" s="626">
        <v>5.1637000000000004</v>
      </c>
      <c r="J150" s="629"/>
      <c r="K150" s="628">
        <f>Table4[[#This Row],[Qty]]*Table4[[#This Row],[Gallon Capacity Per Linear Foot]]</f>
        <v>0</v>
      </c>
      <c r="L150" s="628">
        <f>Table4[[#This Row],[Gallons]]*7.48</f>
        <v>0</v>
      </c>
      <c r="M150" s="628">
        <f>Table4[[#This Row],[Qty]]*Table4[[#This Row],[Weight per Foot]]</f>
        <v>0</v>
      </c>
      <c r="N150" s="628">
        <f>Table4[[#This Row],[Pipe Wt. ]]+Table4[[#This Row],[Fluid Wt. ]]</f>
        <v>0</v>
      </c>
    </row>
    <row r="151" spans="1:14" x14ac:dyDescent="0.2">
      <c r="A151" s="626">
        <v>12</v>
      </c>
      <c r="B151" s="626">
        <v>12.75</v>
      </c>
      <c r="C151" s="626">
        <v>0.84399999999999997</v>
      </c>
      <c r="D151" s="626">
        <v>11.061999999999999</v>
      </c>
      <c r="E151" s="626">
        <v>107.42</v>
      </c>
      <c r="F151" s="626"/>
      <c r="G151" s="626">
        <v>100</v>
      </c>
      <c r="H151" s="626">
        <v>88.209000000000003</v>
      </c>
      <c r="I151" s="626">
        <v>4.9926000000000004</v>
      </c>
      <c r="J151" s="629"/>
      <c r="K151" s="628">
        <f>Table4[[#This Row],[Qty]]*Table4[[#This Row],[Gallon Capacity Per Linear Foot]]</f>
        <v>0</v>
      </c>
      <c r="L151" s="628">
        <f>Table4[[#This Row],[Gallons]]*7.48</f>
        <v>0</v>
      </c>
      <c r="M151" s="628">
        <f>Table4[[#This Row],[Qty]]*Table4[[#This Row],[Weight per Foot]]</f>
        <v>0</v>
      </c>
      <c r="N151" s="628">
        <f>Table4[[#This Row],[Pipe Wt. ]]+Table4[[#This Row],[Fluid Wt. ]]</f>
        <v>0</v>
      </c>
    </row>
    <row r="152" spans="1:14" x14ac:dyDescent="0.2">
      <c r="A152" s="626">
        <v>12</v>
      </c>
      <c r="B152" s="626">
        <v>12.75</v>
      </c>
      <c r="C152" s="626">
        <v>1</v>
      </c>
      <c r="D152" s="626">
        <v>10.75</v>
      </c>
      <c r="E152" s="626">
        <v>125.61</v>
      </c>
      <c r="F152" s="626" t="s">
        <v>858</v>
      </c>
      <c r="G152" s="626">
        <v>120</v>
      </c>
      <c r="H152" s="626">
        <v>100.65</v>
      </c>
      <c r="I152" s="626">
        <v>4.7149000000000001</v>
      </c>
      <c r="J152" s="629"/>
      <c r="K152" s="628">
        <f>Table4[[#This Row],[Qty]]*Table4[[#This Row],[Gallon Capacity Per Linear Foot]]</f>
        <v>0</v>
      </c>
      <c r="L152" s="628">
        <f>Table4[[#This Row],[Gallons]]*7.48</f>
        <v>0</v>
      </c>
      <c r="M152" s="628">
        <f>Table4[[#This Row],[Qty]]*Table4[[#This Row],[Weight per Foot]]</f>
        <v>0</v>
      </c>
      <c r="N152" s="628">
        <f>Table4[[#This Row],[Pipe Wt. ]]+Table4[[#This Row],[Fluid Wt. ]]</f>
        <v>0</v>
      </c>
    </row>
    <row r="153" spans="1:14" x14ac:dyDescent="0.2">
      <c r="A153" s="626">
        <v>12</v>
      </c>
      <c r="B153" s="626">
        <v>12.75</v>
      </c>
      <c r="C153" s="626">
        <v>1.125</v>
      </c>
      <c r="D153" s="626">
        <v>10.5</v>
      </c>
      <c r="E153" s="626">
        <v>139.81</v>
      </c>
      <c r="F153" s="626"/>
      <c r="G153" s="626">
        <v>140</v>
      </c>
      <c r="H153" s="626">
        <v>109.919</v>
      </c>
      <c r="I153" s="626">
        <v>4.4981999999999998</v>
      </c>
      <c r="J153" s="629"/>
      <c r="K153" s="628">
        <f>Table4[[#This Row],[Qty]]*Table4[[#This Row],[Gallon Capacity Per Linear Foot]]</f>
        <v>0</v>
      </c>
      <c r="L153" s="628">
        <f>Table4[[#This Row],[Gallons]]*7.48</f>
        <v>0</v>
      </c>
      <c r="M153" s="628">
        <f>Table4[[#This Row],[Qty]]*Table4[[#This Row],[Weight per Foot]]</f>
        <v>0</v>
      </c>
      <c r="N153" s="628">
        <f>Table4[[#This Row],[Pipe Wt. ]]+Table4[[#This Row],[Fluid Wt. ]]</f>
        <v>0</v>
      </c>
    </row>
    <row r="154" spans="1:14" x14ac:dyDescent="0.2">
      <c r="A154" s="626">
        <v>12</v>
      </c>
      <c r="B154" s="626">
        <v>12.75</v>
      </c>
      <c r="C154" s="626">
        <v>1.3120000000000001</v>
      </c>
      <c r="D154" s="626">
        <v>10.125999999999999</v>
      </c>
      <c r="E154" s="626">
        <v>160.41999999999999</v>
      </c>
      <c r="F154" s="626"/>
      <c r="G154" s="626">
        <v>160</v>
      </c>
      <c r="H154" s="626">
        <v>122.56100000000001</v>
      </c>
      <c r="I154" s="626">
        <v>4.1835000000000004</v>
      </c>
      <c r="J154" s="629"/>
      <c r="K154" s="628">
        <f>Table4[[#This Row],[Qty]]*Table4[[#This Row],[Gallon Capacity Per Linear Foot]]</f>
        <v>0</v>
      </c>
      <c r="L154" s="628">
        <f>Table4[[#This Row],[Gallons]]*7.48</f>
        <v>0</v>
      </c>
      <c r="M154" s="628">
        <f>Table4[[#This Row],[Qty]]*Table4[[#This Row],[Weight per Foot]]</f>
        <v>0</v>
      </c>
      <c r="N154" s="628">
        <f>Table4[[#This Row],[Pipe Wt. ]]+Table4[[#This Row],[Fluid Wt. ]]</f>
        <v>0</v>
      </c>
    </row>
    <row r="155" spans="1:14" x14ac:dyDescent="0.2">
      <c r="A155" s="626">
        <v>14</v>
      </c>
      <c r="B155" s="626">
        <v>14</v>
      </c>
      <c r="C155" s="626">
        <v>0.25</v>
      </c>
      <c r="D155" s="626">
        <v>13.5</v>
      </c>
      <c r="E155" s="626">
        <v>36.75</v>
      </c>
      <c r="F155" s="626"/>
      <c r="G155" s="626">
        <v>10</v>
      </c>
      <c r="H155" s="626">
        <v>36.470999999999997</v>
      </c>
      <c r="I155" s="626">
        <v>7.4358000000000004</v>
      </c>
      <c r="J155" s="629"/>
      <c r="K155" s="628">
        <f>Table4[[#This Row],[Qty]]*Table4[[#This Row],[Gallon Capacity Per Linear Foot]]</f>
        <v>0</v>
      </c>
      <c r="L155" s="628">
        <f>Table4[[#This Row],[Gallons]]*7.48</f>
        <v>0</v>
      </c>
      <c r="M155" s="628">
        <f>Table4[[#This Row],[Qty]]*Table4[[#This Row],[Weight per Foot]]</f>
        <v>0</v>
      </c>
      <c r="N155" s="628">
        <f>Table4[[#This Row],[Pipe Wt. ]]+Table4[[#This Row],[Fluid Wt. ]]</f>
        <v>0</v>
      </c>
    </row>
    <row r="156" spans="1:14" x14ac:dyDescent="0.2">
      <c r="A156" s="626">
        <v>14</v>
      </c>
      <c r="B156" s="626">
        <v>14</v>
      </c>
      <c r="C156" s="626">
        <v>0.28100000000000003</v>
      </c>
      <c r="D156" s="626">
        <v>13.438000000000001</v>
      </c>
      <c r="E156" s="626">
        <v>41.21</v>
      </c>
      <c r="F156" s="626"/>
      <c r="G156" s="626"/>
      <c r="H156" s="626">
        <v>40.755000000000003</v>
      </c>
      <c r="I156" s="626">
        <v>7.3670999999999998</v>
      </c>
      <c r="J156" s="629"/>
      <c r="K156" s="628">
        <f>Table4[[#This Row],[Qty]]*Table4[[#This Row],[Gallon Capacity Per Linear Foot]]</f>
        <v>0</v>
      </c>
      <c r="L156" s="628">
        <f>Table4[[#This Row],[Gallons]]*7.48</f>
        <v>0</v>
      </c>
      <c r="M156" s="628">
        <f>Table4[[#This Row],[Qty]]*Table4[[#This Row],[Weight per Foot]]</f>
        <v>0</v>
      </c>
      <c r="N156" s="628">
        <f>Table4[[#This Row],[Pipe Wt. ]]+Table4[[#This Row],[Fluid Wt. ]]</f>
        <v>0</v>
      </c>
    </row>
    <row r="157" spans="1:14" x14ac:dyDescent="0.2">
      <c r="A157" s="626">
        <v>14</v>
      </c>
      <c r="B157" s="626">
        <v>14</v>
      </c>
      <c r="C157" s="626">
        <v>0.312</v>
      </c>
      <c r="D157" s="626">
        <v>13.375999999999999</v>
      </c>
      <c r="E157" s="626">
        <v>45.65</v>
      </c>
      <c r="F157" s="626"/>
      <c r="G157" s="626">
        <v>20</v>
      </c>
      <c r="H157" s="626">
        <v>44.978999999999999</v>
      </c>
      <c r="I157" s="626">
        <v>7.2987000000000002</v>
      </c>
      <c r="J157" s="629"/>
      <c r="K157" s="628">
        <f>Table4[[#This Row],[Qty]]*Table4[[#This Row],[Gallon Capacity Per Linear Foot]]</f>
        <v>0</v>
      </c>
      <c r="L157" s="628">
        <f>Table4[[#This Row],[Gallons]]*7.48</f>
        <v>0</v>
      </c>
      <c r="M157" s="628">
        <f>Table4[[#This Row],[Qty]]*Table4[[#This Row],[Weight per Foot]]</f>
        <v>0</v>
      </c>
      <c r="N157" s="628">
        <f>Table4[[#This Row],[Pipe Wt. ]]+Table4[[#This Row],[Fluid Wt. ]]</f>
        <v>0</v>
      </c>
    </row>
    <row r="158" spans="1:14" x14ac:dyDescent="0.2">
      <c r="A158" s="626">
        <v>14</v>
      </c>
      <c r="B158" s="626">
        <v>14</v>
      </c>
      <c r="C158" s="626">
        <v>0.34399999999999997</v>
      </c>
      <c r="D158" s="626">
        <v>13.311999999999999</v>
      </c>
      <c r="E158" s="626">
        <v>50.22</v>
      </c>
      <c r="F158" s="626"/>
      <c r="G158" s="626"/>
      <c r="H158" s="626">
        <v>49.143999999999998</v>
      </c>
      <c r="I158" s="626">
        <v>7.2306999999999997</v>
      </c>
      <c r="J158" s="629"/>
      <c r="K158" s="628">
        <f>Table4[[#This Row],[Qty]]*Table4[[#This Row],[Gallon Capacity Per Linear Foot]]</f>
        <v>0</v>
      </c>
      <c r="L158" s="628">
        <f>Table4[[#This Row],[Gallons]]*7.48</f>
        <v>0</v>
      </c>
      <c r="M158" s="628">
        <f>Table4[[#This Row],[Qty]]*Table4[[#This Row],[Weight per Foot]]</f>
        <v>0</v>
      </c>
      <c r="N158" s="628">
        <f>Table4[[#This Row],[Pipe Wt. ]]+Table4[[#This Row],[Fluid Wt. ]]</f>
        <v>0</v>
      </c>
    </row>
    <row r="159" spans="1:14" x14ac:dyDescent="0.2">
      <c r="A159" s="626">
        <v>14</v>
      </c>
      <c r="B159" s="626">
        <v>14</v>
      </c>
      <c r="C159" s="626">
        <v>0.375</v>
      </c>
      <c r="D159" s="626">
        <v>13.25</v>
      </c>
      <c r="E159" s="626">
        <v>54.62</v>
      </c>
      <c r="F159" s="626" t="s">
        <v>859</v>
      </c>
      <c r="G159" s="626">
        <v>30</v>
      </c>
      <c r="H159" s="626">
        <v>53.250999999999998</v>
      </c>
      <c r="I159" s="626">
        <v>7.1628999999999996</v>
      </c>
      <c r="J159" s="629"/>
      <c r="K159" s="628">
        <f>Table4[[#This Row],[Qty]]*Table4[[#This Row],[Gallon Capacity Per Linear Foot]]</f>
        <v>0</v>
      </c>
      <c r="L159" s="628">
        <f>Table4[[#This Row],[Gallons]]*7.48</f>
        <v>0</v>
      </c>
      <c r="M159" s="628">
        <f>Table4[[#This Row],[Qty]]*Table4[[#This Row],[Weight per Foot]]</f>
        <v>0</v>
      </c>
      <c r="N159" s="628">
        <f>Table4[[#This Row],[Pipe Wt. ]]+Table4[[#This Row],[Fluid Wt. ]]</f>
        <v>0</v>
      </c>
    </row>
    <row r="160" spans="1:14" x14ac:dyDescent="0.2">
      <c r="A160" s="626">
        <v>14</v>
      </c>
      <c r="B160" s="626">
        <v>14</v>
      </c>
      <c r="C160" s="626">
        <v>0.40600000000000003</v>
      </c>
      <c r="D160" s="626">
        <v>13.188000000000001</v>
      </c>
      <c r="E160" s="626">
        <v>59</v>
      </c>
      <c r="F160" s="626"/>
      <c r="G160" s="626"/>
      <c r="H160" s="626">
        <v>57.301000000000002</v>
      </c>
      <c r="I160" s="626">
        <v>7.0955000000000004</v>
      </c>
      <c r="J160" s="629"/>
      <c r="K160" s="628">
        <f>Table4[[#This Row],[Qty]]*Table4[[#This Row],[Gallon Capacity Per Linear Foot]]</f>
        <v>0</v>
      </c>
      <c r="L160" s="628">
        <f>Table4[[#This Row],[Gallons]]*7.48</f>
        <v>0</v>
      </c>
      <c r="M160" s="628">
        <f>Table4[[#This Row],[Qty]]*Table4[[#This Row],[Weight per Foot]]</f>
        <v>0</v>
      </c>
      <c r="N160" s="628">
        <f>Table4[[#This Row],[Pipe Wt. ]]+Table4[[#This Row],[Fluid Wt. ]]</f>
        <v>0</v>
      </c>
    </row>
    <row r="161" spans="1:14" x14ac:dyDescent="0.2">
      <c r="A161" s="626">
        <v>14</v>
      </c>
      <c r="B161" s="626">
        <v>14</v>
      </c>
      <c r="C161" s="626">
        <v>0.438</v>
      </c>
      <c r="D161" s="626">
        <v>13.124000000000001</v>
      </c>
      <c r="E161" s="626">
        <v>63.5</v>
      </c>
      <c r="F161" s="626"/>
      <c r="G161" s="626">
        <v>40</v>
      </c>
      <c r="H161" s="626">
        <v>61.356000000000002</v>
      </c>
      <c r="I161" s="626">
        <v>7.0274000000000001</v>
      </c>
      <c r="J161" s="629"/>
      <c r="K161" s="628">
        <f>Table4[[#This Row],[Qty]]*Table4[[#This Row],[Gallon Capacity Per Linear Foot]]</f>
        <v>0</v>
      </c>
      <c r="L161" s="628">
        <f>Table4[[#This Row],[Gallons]]*7.48</f>
        <v>0</v>
      </c>
      <c r="M161" s="628">
        <f>Table4[[#This Row],[Qty]]*Table4[[#This Row],[Weight per Foot]]</f>
        <v>0</v>
      </c>
      <c r="N161" s="628">
        <f>Table4[[#This Row],[Pipe Wt. ]]+Table4[[#This Row],[Fluid Wt. ]]</f>
        <v>0</v>
      </c>
    </row>
    <row r="162" spans="1:14" x14ac:dyDescent="0.2">
      <c r="A162" s="626">
        <v>14</v>
      </c>
      <c r="B162" s="626">
        <v>14</v>
      </c>
      <c r="C162" s="626">
        <v>0.45900000000000002</v>
      </c>
      <c r="D162" s="626">
        <v>13.082000000000001</v>
      </c>
      <c r="E162" s="626">
        <v>66.44</v>
      </c>
      <c r="F162" s="626"/>
      <c r="G162" s="626"/>
      <c r="H162" s="626">
        <v>64.022999999999996</v>
      </c>
      <c r="I162" s="626">
        <v>6.9824000000000002</v>
      </c>
      <c r="J162" s="629"/>
      <c r="K162" s="628">
        <f>Table4[[#This Row],[Qty]]*Table4[[#This Row],[Gallon Capacity Per Linear Foot]]</f>
        <v>0</v>
      </c>
      <c r="L162" s="628">
        <f>Table4[[#This Row],[Gallons]]*7.48</f>
        <v>0</v>
      </c>
      <c r="M162" s="628">
        <f>Table4[[#This Row],[Qty]]*Table4[[#This Row],[Weight per Foot]]</f>
        <v>0</v>
      </c>
      <c r="N162" s="628">
        <f>Table4[[#This Row],[Pipe Wt. ]]+Table4[[#This Row],[Fluid Wt. ]]</f>
        <v>0</v>
      </c>
    </row>
    <row r="163" spans="1:14" x14ac:dyDescent="0.2">
      <c r="A163" s="626">
        <v>14</v>
      </c>
      <c r="B163" s="626">
        <v>14</v>
      </c>
      <c r="C163" s="626">
        <v>0.5</v>
      </c>
      <c r="D163" s="626">
        <v>13</v>
      </c>
      <c r="E163" s="626">
        <v>72.16</v>
      </c>
      <c r="F163" s="626" t="s">
        <v>857</v>
      </c>
      <c r="G163" s="626"/>
      <c r="H163" s="626">
        <v>69.108000000000004</v>
      </c>
      <c r="I163" s="626">
        <v>6.8952</v>
      </c>
      <c r="J163" s="629"/>
      <c r="K163" s="628">
        <f>Table4[[#This Row],[Qty]]*Table4[[#This Row],[Gallon Capacity Per Linear Foot]]</f>
        <v>0</v>
      </c>
      <c r="L163" s="628">
        <f>Table4[[#This Row],[Gallons]]*7.48</f>
        <v>0</v>
      </c>
      <c r="M163" s="628">
        <f>Table4[[#This Row],[Qty]]*Table4[[#This Row],[Weight per Foot]]</f>
        <v>0</v>
      </c>
      <c r="N163" s="628">
        <f>Table4[[#This Row],[Pipe Wt. ]]+Table4[[#This Row],[Fluid Wt. ]]</f>
        <v>0</v>
      </c>
    </row>
    <row r="164" spans="1:14" x14ac:dyDescent="0.2">
      <c r="A164" s="626">
        <v>14</v>
      </c>
      <c r="B164" s="626">
        <v>14</v>
      </c>
      <c r="C164" s="626">
        <v>0.56200000000000006</v>
      </c>
      <c r="D164" s="626">
        <v>12.875999999999999</v>
      </c>
      <c r="E164" s="626">
        <v>80.73</v>
      </c>
      <c r="F164" s="626"/>
      <c r="G164" s="626"/>
      <c r="H164" s="626">
        <v>76.700999999999993</v>
      </c>
      <c r="I164" s="626">
        <v>6.7632000000000003</v>
      </c>
      <c r="J164" s="629"/>
      <c r="K164" s="628">
        <f>Table4[[#This Row],[Qty]]*Table4[[#This Row],[Gallon Capacity Per Linear Foot]]</f>
        <v>0</v>
      </c>
      <c r="L164" s="628">
        <f>Table4[[#This Row],[Gallons]]*7.48</f>
        <v>0</v>
      </c>
      <c r="M164" s="628">
        <f>Table4[[#This Row],[Qty]]*Table4[[#This Row],[Weight per Foot]]</f>
        <v>0</v>
      </c>
      <c r="N164" s="628">
        <f>Table4[[#This Row],[Pipe Wt. ]]+Table4[[#This Row],[Fluid Wt. ]]</f>
        <v>0</v>
      </c>
    </row>
    <row r="165" spans="1:14" x14ac:dyDescent="0.2">
      <c r="A165" s="626">
        <v>14</v>
      </c>
      <c r="B165" s="626">
        <v>14</v>
      </c>
      <c r="C165" s="626">
        <v>0.59399999999999997</v>
      </c>
      <c r="D165" s="626">
        <v>12.811999999999999</v>
      </c>
      <c r="E165" s="626">
        <v>85.13</v>
      </c>
      <c r="F165" s="626"/>
      <c r="G165" s="626">
        <v>60</v>
      </c>
      <c r="H165" s="626">
        <v>80.465999999999994</v>
      </c>
      <c r="I165" s="626">
        <v>6.6971999999999996</v>
      </c>
      <c r="J165" s="629"/>
      <c r="K165" s="628">
        <f>Table4[[#This Row],[Qty]]*Table4[[#This Row],[Gallon Capacity Per Linear Foot]]</f>
        <v>0</v>
      </c>
      <c r="L165" s="628">
        <f>Table4[[#This Row],[Gallons]]*7.48</f>
        <v>0</v>
      </c>
      <c r="M165" s="628">
        <f>Table4[[#This Row],[Qty]]*Table4[[#This Row],[Weight per Foot]]</f>
        <v>0</v>
      </c>
      <c r="N165" s="628">
        <f>Table4[[#This Row],[Pipe Wt. ]]+Table4[[#This Row],[Fluid Wt. ]]</f>
        <v>0</v>
      </c>
    </row>
    <row r="166" spans="1:14" x14ac:dyDescent="0.2">
      <c r="A166" s="626">
        <v>14</v>
      </c>
      <c r="B166" s="626">
        <v>14</v>
      </c>
      <c r="C166" s="626">
        <v>0.625</v>
      </c>
      <c r="D166" s="626">
        <v>12.75</v>
      </c>
      <c r="E166" s="626">
        <v>89.36</v>
      </c>
      <c r="F166" s="626"/>
      <c r="G166" s="626"/>
      <c r="H166" s="626">
        <v>84.075999999999993</v>
      </c>
      <c r="I166" s="626">
        <v>6.6325000000000003</v>
      </c>
      <c r="J166" s="629"/>
      <c r="K166" s="628">
        <f>Table4[[#This Row],[Qty]]*Table4[[#This Row],[Gallon Capacity Per Linear Foot]]</f>
        <v>0</v>
      </c>
      <c r="L166" s="628">
        <f>Table4[[#This Row],[Gallons]]*7.48</f>
        <v>0</v>
      </c>
      <c r="M166" s="628">
        <f>Table4[[#This Row],[Qty]]*Table4[[#This Row],[Weight per Foot]]</f>
        <v>0</v>
      </c>
      <c r="N166" s="628">
        <f>Table4[[#This Row],[Pipe Wt. ]]+Table4[[#This Row],[Fluid Wt. ]]</f>
        <v>0</v>
      </c>
    </row>
    <row r="167" spans="1:14" x14ac:dyDescent="0.2">
      <c r="A167" s="626">
        <v>14</v>
      </c>
      <c r="B167" s="626">
        <v>14</v>
      </c>
      <c r="C167" s="626">
        <v>0.68799999999999994</v>
      </c>
      <c r="D167" s="626">
        <v>12.624000000000001</v>
      </c>
      <c r="E167" s="626">
        <v>97.91</v>
      </c>
      <c r="F167" s="626"/>
      <c r="G167" s="626"/>
      <c r="H167" s="626">
        <v>91.316999999999993</v>
      </c>
      <c r="I167" s="626">
        <v>6.5021000000000004</v>
      </c>
      <c r="J167" s="629"/>
      <c r="K167" s="628">
        <f>Table4[[#This Row],[Qty]]*Table4[[#This Row],[Gallon Capacity Per Linear Foot]]</f>
        <v>0</v>
      </c>
      <c r="L167" s="628">
        <f>Table4[[#This Row],[Gallons]]*7.48</f>
        <v>0</v>
      </c>
      <c r="M167" s="628">
        <f>Table4[[#This Row],[Qty]]*Table4[[#This Row],[Weight per Foot]]</f>
        <v>0</v>
      </c>
      <c r="N167" s="628">
        <f>Table4[[#This Row],[Pipe Wt. ]]+Table4[[#This Row],[Fluid Wt. ]]</f>
        <v>0</v>
      </c>
    </row>
    <row r="168" spans="1:14" x14ac:dyDescent="0.2">
      <c r="A168" s="626">
        <v>14</v>
      </c>
      <c r="B168" s="626">
        <v>14</v>
      </c>
      <c r="C168" s="626">
        <v>0.75</v>
      </c>
      <c r="D168" s="626">
        <v>12.5</v>
      </c>
      <c r="E168" s="626">
        <v>106.23</v>
      </c>
      <c r="F168" s="626"/>
      <c r="G168" s="626">
        <v>80</v>
      </c>
      <c r="H168" s="626">
        <v>98.188000000000002</v>
      </c>
      <c r="I168" s="626">
        <v>6.375</v>
      </c>
      <c r="J168" s="629"/>
      <c r="K168" s="628">
        <f>Table4[[#This Row],[Qty]]*Table4[[#This Row],[Gallon Capacity Per Linear Foot]]</f>
        <v>0</v>
      </c>
      <c r="L168" s="628">
        <f>Table4[[#This Row],[Gallons]]*7.48</f>
        <v>0</v>
      </c>
      <c r="M168" s="628">
        <f>Table4[[#This Row],[Qty]]*Table4[[#This Row],[Weight per Foot]]</f>
        <v>0</v>
      </c>
      <c r="N168" s="628">
        <f>Table4[[#This Row],[Pipe Wt. ]]+Table4[[#This Row],[Fluid Wt. ]]</f>
        <v>0</v>
      </c>
    </row>
    <row r="169" spans="1:14" x14ac:dyDescent="0.2">
      <c r="A169" s="626">
        <v>14</v>
      </c>
      <c r="B169" s="626">
        <v>14</v>
      </c>
      <c r="C169" s="626">
        <v>0.81200000000000006</v>
      </c>
      <c r="D169" s="626">
        <v>12.375999999999999</v>
      </c>
      <c r="E169" s="626">
        <v>114.48</v>
      </c>
      <c r="F169" s="626"/>
      <c r="G169" s="626"/>
      <c r="H169" s="626">
        <v>104.90900000000001</v>
      </c>
      <c r="I169" s="626">
        <v>6.2491000000000003</v>
      </c>
      <c r="J169" s="629"/>
      <c r="K169" s="628">
        <f>Table4[[#This Row],[Qty]]*Table4[[#This Row],[Gallon Capacity Per Linear Foot]]</f>
        <v>0</v>
      </c>
      <c r="L169" s="628">
        <f>Table4[[#This Row],[Gallons]]*7.48</f>
        <v>0</v>
      </c>
      <c r="M169" s="628">
        <f>Table4[[#This Row],[Qty]]*Table4[[#This Row],[Weight per Foot]]</f>
        <v>0</v>
      </c>
      <c r="N169" s="628">
        <f>Table4[[#This Row],[Pipe Wt. ]]+Table4[[#This Row],[Fluid Wt. ]]</f>
        <v>0</v>
      </c>
    </row>
    <row r="170" spans="1:14" x14ac:dyDescent="0.2">
      <c r="A170" s="626">
        <v>14</v>
      </c>
      <c r="B170" s="626">
        <v>14</v>
      </c>
      <c r="C170" s="626">
        <v>0.93799999999999994</v>
      </c>
      <c r="D170" s="626">
        <v>12.124000000000001</v>
      </c>
      <c r="E170" s="626">
        <v>130.97999999999999</v>
      </c>
      <c r="F170" s="626"/>
      <c r="G170" s="626">
        <v>100</v>
      </c>
      <c r="H170" s="626">
        <v>117.907</v>
      </c>
      <c r="I170" s="626">
        <v>5.9972000000000003</v>
      </c>
      <c r="J170" s="629"/>
      <c r="K170" s="628">
        <f>Table4[[#This Row],[Qty]]*Table4[[#This Row],[Gallon Capacity Per Linear Foot]]</f>
        <v>0</v>
      </c>
      <c r="L170" s="628">
        <f>Table4[[#This Row],[Gallons]]*7.48</f>
        <v>0</v>
      </c>
      <c r="M170" s="628">
        <f>Table4[[#This Row],[Qty]]*Table4[[#This Row],[Weight per Foot]]</f>
        <v>0</v>
      </c>
      <c r="N170" s="628">
        <f>Table4[[#This Row],[Pipe Wt. ]]+Table4[[#This Row],[Fluid Wt. ]]</f>
        <v>0</v>
      </c>
    </row>
    <row r="171" spans="1:14" x14ac:dyDescent="0.2">
      <c r="A171" s="626">
        <v>14</v>
      </c>
      <c r="B171" s="626">
        <v>14</v>
      </c>
      <c r="C171" s="626">
        <v>1.0940000000000001</v>
      </c>
      <c r="D171" s="626">
        <v>11.811999999999999</v>
      </c>
      <c r="E171" s="626">
        <v>150.93</v>
      </c>
      <c r="F171" s="626"/>
      <c r="G171" s="626">
        <v>120</v>
      </c>
      <c r="H171" s="626">
        <v>132.916</v>
      </c>
      <c r="I171" s="626">
        <v>5.6924999999999999</v>
      </c>
      <c r="J171" s="629"/>
      <c r="K171" s="628">
        <f>Table4[[#This Row],[Qty]]*Table4[[#This Row],[Gallon Capacity Per Linear Foot]]</f>
        <v>0</v>
      </c>
      <c r="L171" s="628">
        <f>Table4[[#This Row],[Gallons]]*7.48</f>
        <v>0</v>
      </c>
      <c r="M171" s="628">
        <f>Table4[[#This Row],[Qty]]*Table4[[#This Row],[Weight per Foot]]</f>
        <v>0</v>
      </c>
      <c r="N171" s="628">
        <f>Table4[[#This Row],[Pipe Wt. ]]+Table4[[#This Row],[Fluid Wt. ]]</f>
        <v>0</v>
      </c>
    </row>
    <row r="172" spans="1:14" x14ac:dyDescent="0.2">
      <c r="A172" s="626">
        <v>14</v>
      </c>
      <c r="B172" s="626">
        <v>14</v>
      </c>
      <c r="C172" s="626">
        <v>1.25</v>
      </c>
      <c r="D172" s="626">
        <v>11.5</v>
      </c>
      <c r="E172" s="626">
        <v>170.37</v>
      </c>
      <c r="F172" s="626"/>
      <c r="G172" s="626" t="s">
        <v>862</v>
      </c>
      <c r="H172" s="626">
        <v>146.78100000000001</v>
      </c>
      <c r="I172" s="626">
        <v>5.3958000000000004</v>
      </c>
      <c r="J172" s="629"/>
      <c r="K172" s="628">
        <f>Table4[[#This Row],[Qty]]*Table4[[#This Row],[Gallon Capacity Per Linear Foot]]</f>
        <v>0</v>
      </c>
      <c r="L172" s="628">
        <f>Table4[[#This Row],[Gallons]]*7.48</f>
        <v>0</v>
      </c>
      <c r="M172" s="628">
        <f>Table4[[#This Row],[Qty]]*Table4[[#This Row],[Weight per Foot]]</f>
        <v>0</v>
      </c>
      <c r="N172" s="628">
        <f>Table4[[#This Row],[Pipe Wt. ]]+Table4[[#This Row],[Fluid Wt. ]]</f>
        <v>0</v>
      </c>
    </row>
    <row r="173" spans="1:14" x14ac:dyDescent="0.2">
      <c r="A173" s="626">
        <v>14</v>
      </c>
      <c r="B173" s="626">
        <v>14</v>
      </c>
      <c r="C173" s="626">
        <v>1.4059999999999999</v>
      </c>
      <c r="D173" s="626">
        <v>11.188000000000001</v>
      </c>
      <c r="E173" s="626">
        <v>189.29</v>
      </c>
      <c r="F173" s="626"/>
      <c r="G173" s="626">
        <v>160</v>
      </c>
      <c r="H173" s="626">
        <v>159.56200000000001</v>
      </c>
      <c r="I173" s="626">
        <v>5.1070000000000002</v>
      </c>
      <c r="J173" s="629"/>
      <c r="K173" s="628">
        <f>Table4[[#This Row],[Qty]]*Table4[[#This Row],[Gallon Capacity Per Linear Foot]]</f>
        <v>0</v>
      </c>
      <c r="L173" s="628">
        <f>Table4[[#This Row],[Gallons]]*7.48</f>
        <v>0</v>
      </c>
      <c r="M173" s="628">
        <f>Table4[[#This Row],[Qty]]*Table4[[#This Row],[Weight per Foot]]</f>
        <v>0</v>
      </c>
      <c r="N173" s="628">
        <f>Table4[[#This Row],[Pipe Wt. ]]+Table4[[#This Row],[Fluid Wt. ]]</f>
        <v>0</v>
      </c>
    </row>
    <row r="174" spans="1:14" x14ac:dyDescent="0.2">
      <c r="A174" s="626">
        <v>16</v>
      </c>
      <c r="B174" s="626">
        <v>16</v>
      </c>
      <c r="C174" s="626">
        <v>0.188</v>
      </c>
      <c r="D174" s="626">
        <v>15.624000000000001</v>
      </c>
      <c r="E174" s="626">
        <v>31.78</v>
      </c>
      <c r="F174" s="626"/>
      <c r="G174" s="626"/>
      <c r="H174" s="626">
        <v>36.497999999999998</v>
      </c>
      <c r="I174" s="626">
        <v>9.9695999999999998</v>
      </c>
      <c r="J174" s="629"/>
      <c r="K174" s="628">
        <f>Table4[[#This Row],[Qty]]*Table4[[#This Row],[Gallon Capacity Per Linear Foot]]</f>
        <v>0</v>
      </c>
      <c r="L174" s="628">
        <f>Table4[[#This Row],[Gallons]]*7.48</f>
        <v>0</v>
      </c>
      <c r="M174" s="628">
        <f>Table4[[#This Row],[Qty]]*Table4[[#This Row],[Weight per Foot]]</f>
        <v>0</v>
      </c>
      <c r="N174" s="628">
        <f>Table4[[#This Row],[Pipe Wt. ]]+Table4[[#This Row],[Fluid Wt. ]]</f>
        <v>0</v>
      </c>
    </row>
    <row r="175" spans="1:14" x14ac:dyDescent="0.2">
      <c r="A175" s="626">
        <v>16</v>
      </c>
      <c r="B175" s="626">
        <v>16</v>
      </c>
      <c r="C175" s="626">
        <v>0.20300000000000001</v>
      </c>
      <c r="D175" s="626">
        <v>15.593999999999999</v>
      </c>
      <c r="E175" s="626">
        <v>34.28</v>
      </c>
      <c r="F175" s="626"/>
      <c r="G175" s="626"/>
      <c r="H175" s="626">
        <v>39.298000000000002</v>
      </c>
      <c r="I175" s="626">
        <v>9.9214000000000002</v>
      </c>
      <c r="J175" s="629"/>
      <c r="K175" s="628">
        <f>Table4[[#This Row],[Qty]]*Table4[[#This Row],[Gallon Capacity Per Linear Foot]]</f>
        <v>0</v>
      </c>
      <c r="L175" s="628">
        <f>Table4[[#This Row],[Gallons]]*7.48</f>
        <v>0</v>
      </c>
      <c r="M175" s="628">
        <f>Table4[[#This Row],[Qty]]*Table4[[#This Row],[Weight per Foot]]</f>
        <v>0</v>
      </c>
      <c r="N175" s="628">
        <f>Table4[[#This Row],[Pipe Wt. ]]+Table4[[#This Row],[Fluid Wt. ]]</f>
        <v>0</v>
      </c>
    </row>
    <row r="176" spans="1:14" x14ac:dyDescent="0.2">
      <c r="A176" s="626">
        <v>16</v>
      </c>
      <c r="B176" s="626">
        <v>16</v>
      </c>
      <c r="C176" s="626">
        <v>0.219</v>
      </c>
      <c r="D176" s="626">
        <v>15.561999999999999</v>
      </c>
      <c r="E176" s="626">
        <v>36.950000000000003</v>
      </c>
      <c r="F176" s="626"/>
      <c r="G176" s="626"/>
      <c r="H176" s="626">
        <v>42.268000000000001</v>
      </c>
      <c r="I176" s="626">
        <v>9.8806999999999992</v>
      </c>
      <c r="J176" s="629"/>
      <c r="K176" s="628">
        <f>Table4[[#This Row],[Qty]]*Table4[[#This Row],[Gallon Capacity Per Linear Foot]]</f>
        <v>0</v>
      </c>
      <c r="L176" s="628">
        <f>Table4[[#This Row],[Gallons]]*7.48</f>
        <v>0</v>
      </c>
      <c r="M176" s="628">
        <f>Table4[[#This Row],[Qty]]*Table4[[#This Row],[Weight per Foot]]</f>
        <v>0</v>
      </c>
      <c r="N176" s="628">
        <f>Table4[[#This Row],[Pipe Wt. ]]+Table4[[#This Row],[Fluid Wt. ]]</f>
        <v>0</v>
      </c>
    </row>
    <row r="177" spans="1:14" x14ac:dyDescent="0.2">
      <c r="A177" s="626">
        <v>16</v>
      </c>
      <c r="B177" s="626">
        <v>16</v>
      </c>
      <c r="C177" s="626">
        <v>0.23699999999999999</v>
      </c>
      <c r="D177" s="626">
        <v>15.526</v>
      </c>
      <c r="E177" s="626">
        <v>39.94</v>
      </c>
      <c r="F177" s="626"/>
      <c r="G177" s="626"/>
      <c r="H177" s="626">
        <v>45.759</v>
      </c>
      <c r="I177" s="626">
        <v>9.8325999999999993</v>
      </c>
      <c r="J177" s="629"/>
      <c r="K177" s="628">
        <f>Table4[[#This Row],[Qty]]*Table4[[#This Row],[Gallon Capacity Per Linear Foot]]</f>
        <v>0</v>
      </c>
      <c r="L177" s="628">
        <f>Table4[[#This Row],[Gallons]]*7.48</f>
        <v>0</v>
      </c>
      <c r="M177" s="628">
        <f>Table4[[#This Row],[Qty]]*Table4[[#This Row],[Weight per Foot]]</f>
        <v>0</v>
      </c>
      <c r="N177" s="628">
        <f>Table4[[#This Row],[Pipe Wt. ]]+Table4[[#This Row],[Fluid Wt. ]]</f>
        <v>0</v>
      </c>
    </row>
    <row r="178" spans="1:14" x14ac:dyDescent="0.2">
      <c r="A178" s="626">
        <v>16</v>
      </c>
      <c r="B178" s="626">
        <v>16</v>
      </c>
      <c r="C178" s="626">
        <v>0.25</v>
      </c>
      <c r="D178" s="626">
        <v>15.5</v>
      </c>
      <c r="E178" s="626">
        <v>42.09</v>
      </c>
      <c r="F178" s="626"/>
      <c r="G178" s="626">
        <v>10</v>
      </c>
      <c r="H178" s="626">
        <v>47.957999999999998</v>
      </c>
      <c r="I178" s="626">
        <v>9.8021999999999991</v>
      </c>
      <c r="J178" s="629"/>
      <c r="K178" s="628">
        <f>Table4[[#This Row],[Qty]]*Table4[[#This Row],[Gallon Capacity Per Linear Foot]]</f>
        <v>0</v>
      </c>
      <c r="L178" s="628">
        <f>Table4[[#This Row],[Gallons]]*7.48</f>
        <v>0</v>
      </c>
      <c r="M178" s="628">
        <f>Table4[[#This Row],[Qty]]*Table4[[#This Row],[Weight per Foot]]</f>
        <v>0</v>
      </c>
      <c r="N178" s="628">
        <f>Table4[[#This Row],[Pipe Wt. ]]+Table4[[#This Row],[Fluid Wt. ]]</f>
        <v>0</v>
      </c>
    </row>
    <row r="179" spans="1:14" x14ac:dyDescent="0.2">
      <c r="A179" s="626">
        <v>16</v>
      </c>
      <c r="B179" s="626">
        <v>16</v>
      </c>
      <c r="C179" s="626">
        <v>0.28100000000000003</v>
      </c>
      <c r="D179" s="626">
        <v>15.438000000000001</v>
      </c>
      <c r="E179" s="626">
        <v>47.22</v>
      </c>
      <c r="F179" s="626"/>
      <c r="G179" s="626"/>
      <c r="H179" s="626">
        <v>53.636000000000003</v>
      </c>
      <c r="I179" s="626">
        <v>9.7233000000000001</v>
      </c>
      <c r="J179" s="629"/>
      <c r="K179" s="628">
        <f>Table4[[#This Row],[Qty]]*Table4[[#This Row],[Gallon Capacity Per Linear Foot]]</f>
        <v>0</v>
      </c>
      <c r="L179" s="628">
        <f>Table4[[#This Row],[Gallons]]*7.48</f>
        <v>0</v>
      </c>
      <c r="M179" s="628">
        <f>Table4[[#This Row],[Qty]]*Table4[[#This Row],[Weight per Foot]]</f>
        <v>0</v>
      </c>
      <c r="N179" s="628">
        <f>Table4[[#This Row],[Pipe Wt. ]]+Table4[[#This Row],[Fluid Wt. ]]</f>
        <v>0</v>
      </c>
    </row>
    <row r="180" spans="1:14" x14ac:dyDescent="0.2">
      <c r="A180" s="626">
        <v>16</v>
      </c>
      <c r="B180" s="626">
        <v>16</v>
      </c>
      <c r="C180" s="626">
        <v>0.312</v>
      </c>
      <c r="D180" s="626">
        <v>15.375999999999999</v>
      </c>
      <c r="E180" s="626">
        <v>52.32</v>
      </c>
      <c r="F180" s="626"/>
      <c r="G180" s="626">
        <v>20</v>
      </c>
      <c r="H180" s="626">
        <v>59.244999999999997</v>
      </c>
      <c r="I180" s="626">
        <v>9.6447000000000003</v>
      </c>
      <c r="J180" s="629"/>
      <c r="K180" s="628">
        <f>Table4[[#This Row],[Qty]]*Table4[[#This Row],[Gallon Capacity Per Linear Foot]]</f>
        <v>0</v>
      </c>
      <c r="L180" s="628">
        <f>Table4[[#This Row],[Gallons]]*7.48</f>
        <v>0</v>
      </c>
      <c r="M180" s="628">
        <f>Table4[[#This Row],[Qty]]*Table4[[#This Row],[Weight per Foot]]</f>
        <v>0</v>
      </c>
      <c r="N180" s="628">
        <f>Table4[[#This Row],[Pipe Wt. ]]+Table4[[#This Row],[Fluid Wt. ]]</f>
        <v>0</v>
      </c>
    </row>
    <row r="181" spans="1:14" x14ac:dyDescent="0.2">
      <c r="A181" s="626">
        <v>16</v>
      </c>
      <c r="B181" s="626">
        <v>16</v>
      </c>
      <c r="C181" s="626">
        <v>0.34399999999999997</v>
      </c>
      <c r="D181" s="626">
        <v>15.311999999999999</v>
      </c>
      <c r="E181" s="626">
        <v>57.57</v>
      </c>
      <c r="F181" s="626"/>
      <c r="G181" s="626"/>
      <c r="H181" s="626">
        <v>64.787000000000006</v>
      </c>
      <c r="I181" s="626">
        <v>9.5664999999999996</v>
      </c>
      <c r="J181" s="629"/>
      <c r="K181" s="628">
        <f>Table4[[#This Row],[Qty]]*Table4[[#This Row],[Gallon Capacity Per Linear Foot]]</f>
        <v>0</v>
      </c>
      <c r="L181" s="628">
        <f>Table4[[#This Row],[Gallons]]*7.48</f>
        <v>0</v>
      </c>
      <c r="M181" s="628">
        <f>Table4[[#This Row],[Qty]]*Table4[[#This Row],[Weight per Foot]]</f>
        <v>0</v>
      </c>
      <c r="N181" s="628">
        <f>Table4[[#This Row],[Pipe Wt. ]]+Table4[[#This Row],[Fluid Wt. ]]</f>
        <v>0</v>
      </c>
    </row>
    <row r="182" spans="1:14" x14ac:dyDescent="0.2">
      <c r="A182" s="626">
        <v>16</v>
      </c>
      <c r="B182" s="626">
        <v>16</v>
      </c>
      <c r="C182" s="626">
        <v>0.375</v>
      </c>
      <c r="D182" s="626">
        <v>15.25</v>
      </c>
      <c r="E182" s="626">
        <v>62.64</v>
      </c>
      <c r="F182" s="626" t="s">
        <v>859</v>
      </c>
      <c r="G182" s="626">
        <v>30</v>
      </c>
      <c r="H182" s="626">
        <v>70.260999999999996</v>
      </c>
      <c r="I182" s="626">
        <v>9.4885000000000002</v>
      </c>
      <c r="J182" s="629"/>
      <c r="K182" s="628">
        <f>Table4[[#This Row],[Qty]]*Table4[[#This Row],[Gallon Capacity Per Linear Foot]]</f>
        <v>0</v>
      </c>
      <c r="L182" s="628">
        <f>Table4[[#This Row],[Gallons]]*7.48</f>
        <v>0</v>
      </c>
      <c r="M182" s="628">
        <f>Table4[[#This Row],[Qty]]*Table4[[#This Row],[Weight per Foot]]</f>
        <v>0</v>
      </c>
      <c r="N182" s="628">
        <f>Table4[[#This Row],[Pipe Wt. ]]+Table4[[#This Row],[Fluid Wt. ]]</f>
        <v>0</v>
      </c>
    </row>
    <row r="183" spans="1:14" x14ac:dyDescent="0.2">
      <c r="A183" s="626">
        <v>16</v>
      </c>
      <c r="B183" s="626">
        <v>16</v>
      </c>
      <c r="C183" s="626">
        <v>0.40600000000000003</v>
      </c>
      <c r="D183" s="626">
        <v>15.188000000000001</v>
      </c>
      <c r="E183" s="626">
        <v>67.680000000000007</v>
      </c>
      <c r="F183" s="626"/>
      <c r="G183" s="626"/>
      <c r="H183" s="626">
        <v>75.668000000000006</v>
      </c>
      <c r="I183" s="626">
        <v>9.4108999999999998</v>
      </c>
      <c r="J183" s="629"/>
      <c r="K183" s="628">
        <f>Table4[[#This Row],[Qty]]*Table4[[#This Row],[Gallon Capacity Per Linear Foot]]</f>
        <v>0</v>
      </c>
      <c r="L183" s="628">
        <f>Table4[[#This Row],[Gallons]]*7.48</f>
        <v>0</v>
      </c>
      <c r="M183" s="628">
        <f>Table4[[#This Row],[Qty]]*Table4[[#This Row],[Weight per Foot]]</f>
        <v>0</v>
      </c>
      <c r="N183" s="628">
        <f>Table4[[#This Row],[Pipe Wt. ]]+Table4[[#This Row],[Fluid Wt. ]]</f>
        <v>0</v>
      </c>
    </row>
    <row r="184" spans="1:14" x14ac:dyDescent="0.2">
      <c r="A184" s="626">
        <v>16</v>
      </c>
      <c r="B184" s="626">
        <v>16</v>
      </c>
      <c r="C184" s="626">
        <v>0.438</v>
      </c>
      <c r="D184" s="626">
        <v>15.124000000000001</v>
      </c>
      <c r="E184" s="626">
        <v>72.86</v>
      </c>
      <c r="F184" s="626"/>
      <c r="G184" s="626"/>
      <c r="H184" s="626">
        <v>81.007999999999996</v>
      </c>
      <c r="I184" s="626">
        <v>9.3336000000000006</v>
      </c>
      <c r="J184" s="629"/>
      <c r="K184" s="628">
        <f>Table4[[#This Row],[Qty]]*Table4[[#This Row],[Gallon Capacity Per Linear Foot]]</f>
        <v>0</v>
      </c>
      <c r="L184" s="628">
        <f>Table4[[#This Row],[Gallons]]*7.48</f>
        <v>0</v>
      </c>
      <c r="M184" s="628">
        <f>Table4[[#This Row],[Qty]]*Table4[[#This Row],[Weight per Foot]]</f>
        <v>0</v>
      </c>
      <c r="N184" s="628">
        <f>Table4[[#This Row],[Pipe Wt. ]]+Table4[[#This Row],[Fluid Wt. ]]</f>
        <v>0</v>
      </c>
    </row>
    <row r="185" spans="1:14" x14ac:dyDescent="0.2">
      <c r="A185" s="626">
        <v>16</v>
      </c>
      <c r="B185" s="626">
        <v>16</v>
      </c>
      <c r="C185" s="626">
        <v>0.46899999999999997</v>
      </c>
      <c r="D185" s="626">
        <v>15.061999999999999</v>
      </c>
      <c r="E185" s="626">
        <v>77.87</v>
      </c>
      <c r="F185" s="626"/>
      <c r="G185" s="626"/>
      <c r="H185" s="626">
        <v>86.283000000000001</v>
      </c>
      <c r="I185" s="626">
        <v>9.2566000000000006</v>
      </c>
      <c r="J185" s="629"/>
      <c r="K185" s="628">
        <f>Table4[[#This Row],[Qty]]*Table4[[#This Row],[Gallon Capacity Per Linear Foot]]</f>
        <v>0</v>
      </c>
      <c r="L185" s="628">
        <f>Table4[[#This Row],[Gallons]]*7.48</f>
        <v>0</v>
      </c>
      <c r="M185" s="628">
        <f>Table4[[#This Row],[Qty]]*Table4[[#This Row],[Weight per Foot]]</f>
        <v>0</v>
      </c>
      <c r="N185" s="628">
        <f>Table4[[#This Row],[Pipe Wt. ]]+Table4[[#This Row],[Fluid Wt. ]]</f>
        <v>0</v>
      </c>
    </row>
    <row r="186" spans="1:14" x14ac:dyDescent="0.2">
      <c r="A186" s="626">
        <v>16</v>
      </c>
      <c r="B186" s="626">
        <v>16</v>
      </c>
      <c r="C186" s="626">
        <v>0.5</v>
      </c>
      <c r="D186" s="626">
        <v>15</v>
      </c>
      <c r="E186" s="626">
        <v>82.85</v>
      </c>
      <c r="F186" s="626" t="s">
        <v>857</v>
      </c>
      <c r="G186" s="626">
        <v>40</v>
      </c>
      <c r="H186" s="626">
        <v>91.492999999999995</v>
      </c>
      <c r="I186" s="626">
        <v>9.18</v>
      </c>
      <c r="J186" s="629"/>
      <c r="K186" s="628">
        <f>Table4[[#This Row],[Qty]]*Table4[[#This Row],[Gallon Capacity Per Linear Foot]]</f>
        <v>0</v>
      </c>
      <c r="L186" s="628">
        <f>Table4[[#This Row],[Gallons]]*7.48</f>
        <v>0</v>
      </c>
      <c r="M186" s="628">
        <f>Table4[[#This Row],[Qty]]*Table4[[#This Row],[Weight per Foot]]</f>
        <v>0</v>
      </c>
      <c r="N186" s="628">
        <f>Table4[[#This Row],[Pipe Wt. ]]+Table4[[#This Row],[Fluid Wt. ]]</f>
        <v>0</v>
      </c>
    </row>
    <row r="187" spans="1:14" x14ac:dyDescent="0.2">
      <c r="A187" s="626">
        <v>16</v>
      </c>
      <c r="B187" s="626">
        <v>16</v>
      </c>
      <c r="C187" s="626">
        <v>0.56200000000000006</v>
      </c>
      <c r="D187" s="626">
        <v>14.875999999999999</v>
      </c>
      <c r="E187" s="626">
        <v>92.75</v>
      </c>
      <c r="F187" s="626"/>
      <c r="G187" s="626"/>
      <c r="H187" s="626">
        <v>101.72</v>
      </c>
      <c r="I187" s="626">
        <v>9.0275999999999996</v>
      </c>
      <c r="J187" s="629"/>
      <c r="K187" s="628">
        <f>Table4[[#This Row],[Qty]]*Table4[[#This Row],[Gallon Capacity Per Linear Foot]]</f>
        <v>0</v>
      </c>
      <c r="L187" s="628">
        <f>Table4[[#This Row],[Gallons]]*7.48</f>
        <v>0</v>
      </c>
      <c r="M187" s="628">
        <f>Table4[[#This Row],[Qty]]*Table4[[#This Row],[Weight per Foot]]</f>
        <v>0</v>
      </c>
      <c r="N187" s="628">
        <f>Table4[[#This Row],[Pipe Wt. ]]+Table4[[#This Row],[Fluid Wt. ]]</f>
        <v>0</v>
      </c>
    </row>
    <row r="188" spans="1:14" x14ac:dyDescent="0.2">
      <c r="A188" s="626">
        <v>16</v>
      </c>
      <c r="B188" s="626">
        <v>16</v>
      </c>
      <c r="C188" s="626">
        <v>0.625</v>
      </c>
      <c r="D188" s="626">
        <v>14.75</v>
      </c>
      <c r="E188" s="626">
        <v>102.72</v>
      </c>
      <c r="F188" s="626"/>
      <c r="G188" s="626"/>
      <c r="H188" s="626">
        <v>111.69</v>
      </c>
      <c r="I188" s="626">
        <v>8.8765000000000001</v>
      </c>
      <c r="J188" s="629"/>
      <c r="K188" s="628">
        <f>Table4[[#This Row],[Qty]]*Table4[[#This Row],[Gallon Capacity Per Linear Foot]]</f>
        <v>0</v>
      </c>
      <c r="L188" s="628">
        <f>Table4[[#This Row],[Gallons]]*7.48</f>
        <v>0</v>
      </c>
      <c r="M188" s="628">
        <f>Table4[[#This Row],[Qty]]*Table4[[#This Row],[Weight per Foot]]</f>
        <v>0</v>
      </c>
      <c r="N188" s="628">
        <f>Table4[[#This Row],[Pipe Wt. ]]+Table4[[#This Row],[Fluid Wt. ]]</f>
        <v>0</v>
      </c>
    </row>
    <row r="189" spans="1:14" x14ac:dyDescent="0.2">
      <c r="A189" s="626">
        <v>16</v>
      </c>
      <c r="B189" s="626">
        <v>16</v>
      </c>
      <c r="C189" s="626">
        <v>0.65600000000000003</v>
      </c>
      <c r="D189" s="626">
        <v>14.688000000000001</v>
      </c>
      <c r="E189" s="626">
        <v>107.6</v>
      </c>
      <c r="F189" s="626"/>
      <c r="G189" s="626">
        <v>60</v>
      </c>
      <c r="H189" s="626">
        <v>116.572</v>
      </c>
      <c r="I189" s="626">
        <v>8.8020999999999994</v>
      </c>
      <c r="J189" s="629"/>
      <c r="K189" s="628">
        <f>Table4[[#This Row],[Qty]]*Table4[[#This Row],[Gallon Capacity Per Linear Foot]]</f>
        <v>0</v>
      </c>
      <c r="L189" s="628">
        <f>Table4[[#This Row],[Gallons]]*7.48</f>
        <v>0</v>
      </c>
      <c r="M189" s="628">
        <f>Table4[[#This Row],[Qty]]*Table4[[#This Row],[Weight per Foot]]</f>
        <v>0</v>
      </c>
      <c r="N189" s="628">
        <f>Table4[[#This Row],[Pipe Wt. ]]+Table4[[#This Row],[Fluid Wt. ]]</f>
        <v>0</v>
      </c>
    </row>
    <row r="190" spans="1:14" x14ac:dyDescent="0.2">
      <c r="A190" s="626">
        <v>16</v>
      </c>
      <c r="B190" s="626">
        <v>16</v>
      </c>
      <c r="C190" s="626">
        <v>0.68799999999999994</v>
      </c>
      <c r="D190" s="626">
        <v>14.624000000000001</v>
      </c>
      <c r="E190" s="626">
        <v>112.62</v>
      </c>
      <c r="F190" s="626"/>
      <c r="G190" s="626"/>
      <c r="H190" s="626">
        <v>121.51900000000001</v>
      </c>
      <c r="I190" s="626">
        <v>8.7255000000000003</v>
      </c>
      <c r="J190" s="629"/>
      <c r="K190" s="628">
        <f>Table4[[#This Row],[Qty]]*Table4[[#This Row],[Gallon Capacity Per Linear Foot]]</f>
        <v>0</v>
      </c>
      <c r="L190" s="628">
        <f>Table4[[#This Row],[Gallons]]*7.48</f>
        <v>0</v>
      </c>
      <c r="M190" s="628">
        <f>Table4[[#This Row],[Qty]]*Table4[[#This Row],[Weight per Foot]]</f>
        <v>0</v>
      </c>
      <c r="N190" s="628">
        <f>Table4[[#This Row],[Pipe Wt. ]]+Table4[[#This Row],[Fluid Wt. ]]</f>
        <v>0</v>
      </c>
    </row>
    <row r="191" spans="1:14" x14ac:dyDescent="0.2">
      <c r="A191" s="626">
        <v>16</v>
      </c>
      <c r="B191" s="626">
        <v>16</v>
      </c>
      <c r="C191" s="626">
        <v>0.75</v>
      </c>
      <c r="D191" s="626">
        <v>14.5</v>
      </c>
      <c r="E191" s="626">
        <v>122.27</v>
      </c>
      <c r="F191" s="626"/>
      <c r="G191" s="626"/>
      <c r="H191" s="626">
        <v>130.88</v>
      </c>
      <c r="I191" s="626">
        <v>8.5782000000000007</v>
      </c>
      <c r="J191" s="629"/>
      <c r="K191" s="628">
        <f>Table4[[#This Row],[Qty]]*Table4[[#This Row],[Gallon Capacity Per Linear Foot]]</f>
        <v>0</v>
      </c>
      <c r="L191" s="628">
        <f>Table4[[#This Row],[Gallons]]*7.48</f>
        <v>0</v>
      </c>
      <c r="M191" s="628">
        <f>Table4[[#This Row],[Qty]]*Table4[[#This Row],[Weight per Foot]]</f>
        <v>0</v>
      </c>
      <c r="N191" s="628">
        <f>Table4[[#This Row],[Pipe Wt. ]]+Table4[[#This Row],[Fluid Wt. ]]</f>
        <v>0</v>
      </c>
    </row>
    <row r="192" spans="1:14" x14ac:dyDescent="0.2">
      <c r="A192" s="626">
        <v>16</v>
      </c>
      <c r="B192" s="626">
        <v>16</v>
      </c>
      <c r="C192" s="626">
        <v>0.81200000000000006</v>
      </c>
      <c r="D192" s="626">
        <v>14.375999999999999</v>
      </c>
      <c r="E192" s="626">
        <v>131.84</v>
      </c>
      <c r="F192" s="626"/>
      <c r="G192" s="626">
        <v>80</v>
      </c>
      <c r="H192" s="626">
        <v>140.08099999999999</v>
      </c>
      <c r="I192" s="626">
        <v>8.4321000000000002</v>
      </c>
      <c r="J192" s="629"/>
      <c r="K192" s="628">
        <f>Table4[[#This Row],[Qty]]*Table4[[#This Row],[Gallon Capacity Per Linear Foot]]</f>
        <v>0</v>
      </c>
      <c r="L192" s="628">
        <f>Table4[[#This Row],[Gallons]]*7.48</f>
        <v>0</v>
      </c>
      <c r="M192" s="628">
        <f>Table4[[#This Row],[Qty]]*Table4[[#This Row],[Weight per Foot]]</f>
        <v>0</v>
      </c>
      <c r="N192" s="628">
        <f>Table4[[#This Row],[Pipe Wt. ]]+Table4[[#This Row],[Fluid Wt. ]]</f>
        <v>0</v>
      </c>
    </row>
    <row r="193" spans="1:14" x14ac:dyDescent="0.2">
      <c r="A193" s="626">
        <v>16</v>
      </c>
      <c r="B193" s="626">
        <v>16</v>
      </c>
      <c r="C193" s="626">
        <v>1.0309999999999999</v>
      </c>
      <c r="D193" s="626">
        <v>13.938000000000001</v>
      </c>
      <c r="E193" s="626">
        <v>164.98</v>
      </c>
      <c r="F193" s="626"/>
      <c r="G193" s="626">
        <v>100</v>
      </c>
      <c r="H193" s="626">
        <v>170.59800000000001</v>
      </c>
      <c r="I193" s="626">
        <v>7.9260999999999999</v>
      </c>
      <c r="J193" s="629"/>
      <c r="K193" s="628">
        <f>Table4[[#This Row],[Qty]]*Table4[[#This Row],[Gallon Capacity Per Linear Foot]]</f>
        <v>0</v>
      </c>
      <c r="L193" s="628">
        <f>Table4[[#This Row],[Gallons]]*7.48</f>
        <v>0</v>
      </c>
      <c r="M193" s="628">
        <f>Table4[[#This Row],[Qty]]*Table4[[#This Row],[Weight per Foot]]</f>
        <v>0</v>
      </c>
      <c r="N193" s="628">
        <f>Table4[[#This Row],[Pipe Wt. ]]+Table4[[#This Row],[Fluid Wt. ]]</f>
        <v>0</v>
      </c>
    </row>
    <row r="194" spans="1:14" x14ac:dyDescent="0.2">
      <c r="A194" s="626">
        <v>16</v>
      </c>
      <c r="B194" s="626">
        <v>16</v>
      </c>
      <c r="C194" s="626">
        <v>1.2190000000000001</v>
      </c>
      <c r="D194" s="626">
        <v>13.561999999999999</v>
      </c>
      <c r="E194" s="626">
        <v>192.61</v>
      </c>
      <c r="F194" s="626"/>
      <c r="G194" s="626">
        <v>120</v>
      </c>
      <c r="H194" s="626">
        <v>194.59899999999999</v>
      </c>
      <c r="I194" s="626">
        <v>7.5042</v>
      </c>
      <c r="J194" s="629"/>
      <c r="K194" s="628">
        <f>Table4[[#This Row],[Qty]]*Table4[[#This Row],[Gallon Capacity Per Linear Foot]]</f>
        <v>0</v>
      </c>
      <c r="L194" s="628">
        <f>Table4[[#This Row],[Gallons]]*7.48</f>
        <v>0</v>
      </c>
      <c r="M194" s="628">
        <f>Table4[[#This Row],[Qty]]*Table4[[#This Row],[Weight per Foot]]</f>
        <v>0</v>
      </c>
      <c r="N194" s="628">
        <f>Table4[[#This Row],[Pipe Wt. ]]+Table4[[#This Row],[Fluid Wt. ]]</f>
        <v>0</v>
      </c>
    </row>
    <row r="195" spans="1:14" x14ac:dyDescent="0.2">
      <c r="A195" s="626">
        <v>16</v>
      </c>
      <c r="B195" s="626">
        <v>16</v>
      </c>
      <c r="C195" s="626">
        <v>1.4379999999999999</v>
      </c>
      <c r="D195" s="626">
        <v>13.124000000000001</v>
      </c>
      <c r="E195" s="626">
        <v>223.85</v>
      </c>
      <c r="F195" s="626"/>
      <c r="G195" s="626">
        <v>140</v>
      </c>
      <c r="H195" s="626">
        <v>220.15</v>
      </c>
      <c r="I195" s="626">
        <v>7.0274000000000001</v>
      </c>
      <c r="J195" s="629"/>
      <c r="K195" s="628">
        <f>Table4[[#This Row],[Qty]]*Table4[[#This Row],[Gallon Capacity Per Linear Foot]]</f>
        <v>0</v>
      </c>
      <c r="L195" s="628">
        <f>Table4[[#This Row],[Gallons]]*7.48</f>
        <v>0</v>
      </c>
      <c r="M195" s="628">
        <f>Table4[[#This Row],[Qty]]*Table4[[#This Row],[Weight per Foot]]</f>
        <v>0</v>
      </c>
      <c r="N195" s="628">
        <f>Table4[[#This Row],[Pipe Wt. ]]+Table4[[#This Row],[Fluid Wt. ]]</f>
        <v>0</v>
      </c>
    </row>
    <row r="196" spans="1:14" x14ac:dyDescent="0.2">
      <c r="A196" s="626">
        <v>16</v>
      </c>
      <c r="B196" s="626">
        <v>16</v>
      </c>
      <c r="C196" s="626">
        <v>1.5940000000000001</v>
      </c>
      <c r="D196" s="626">
        <v>12.811999999999999</v>
      </c>
      <c r="E196" s="626">
        <v>245.48</v>
      </c>
      <c r="F196" s="626"/>
      <c r="G196" s="626">
        <v>160</v>
      </c>
      <c r="H196" s="626">
        <v>236.857</v>
      </c>
      <c r="I196" s="626">
        <v>6.6971999999999996</v>
      </c>
      <c r="J196" s="629"/>
      <c r="K196" s="628">
        <f>Table4[[#This Row],[Qty]]*Table4[[#This Row],[Gallon Capacity Per Linear Foot]]</f>
        <v>0</v>
      </c>
      <c r="L196" s="628">
        <f>Table4[[#This Row],[Gallons]]*7.48</f>
        <v>0</v>
      </c>
      <c r="M196" s="628">
        <f>Table4[[#This Row],[Qty]]*Table4[[#This Row],[Weight per Foot]]</f>
        <v>0</v>
      </c>
      <c r="N196" s="628">
        <f>Table4[[#This Row],[Pipe Wt. ]]+Table4[[#This Row],[Fluid Wt. ]]</f>
        <v>0</v>
      </c>
    </row>
    <row r="197" spans="1:14" x14ac:dyDescent="0.2">
      <c r="A197" s="626">
        <v>18</v>
      </c>
      <c r="B197" s="626">
        <v>18</v>
      </c>
      <c r="C197" s="626">
        <v>0.219</v>
      </c>
      <c r="D197" s="626">
        <v>17.562000000000001</v>
      </c>
      <c r="E197" s="626">
        <v>41.63</v>
      </c>
      <c r="F197" s="626"/>
      <c r="G197" s="626"/>
      <c r="H197" s="626">
        <v>53.741</v>
      </c>
      <c r="I197" s="626">
        <v>12.583</v>
      </c>
      <c r="J197" s="629"/>
      <c r="K197" s="628">
        <f>Table4[[#This Row],[Qty]]*Table4[[#This Row],[Gallon Capacity Per Linear Foot]]</f>
        <v>0</v>
      </c>
      <c r="L197" s="628">
        <f>Table4[[#This Row],[Gallons]]*7.48</f>
        <v>0</v>
      </c>
      <c r="M197" s="628">
        <f>Table4[[#This Row],[Qty]]*Table4[[#This Row],[Weight per Foot]]</f>
        <v>0</v>
      </c>
      <c r="N197" s="628">
        <f>Table4[[#This Row],[Pipe Wt. ]]+Table4[[#This Row],[Fluid Wt. ]]</f>
        <v>0</v>
      </c>
    </row>
    <row r="198" spans="1:14" x14ac:dyDescent="0.2">
      <c r="A198" s="626">
        <v>18</v>
      </c>
      <c r="B198" s="626">
        <v>18</v>
      </c>
      <c r="C198" s="626">
        <v>0.23699999999999999</v>
      </c>
      <c r="D198" s="626">
        <v>17.526</v>
      </c>
      <c r="E198" s="626">
        <v>45</v>
      </c>
      <c r="F198" s="626"/>
      <c r="G198" s="626"/>
      <c r="H198" s="626">
        <v>57.982999999999997</v>
      </c>
      <c r="I198" s="626">
        <v>12.532</v>
      </c>
      <c r="J198" s="629"/>
      <c r="K198" s="628">
        <f>Table4[[#This Row],[Qty]]*Table4[[#This Row],[Gallon Capacity Per Linear Foot]]</f>
        <v>0</v>
      </c>
      <c r="L198" s="628">
        <f>Table4[[#This Row],[Gallons]]*7.48</f>
        <v>0</v>
      </c>
      <c r="M198" s="628">
        <f>Table4[[#This Row],[Qty]]*Table4[[#This Row],[Weight per Foot]]</f>
        <v>0</v>
      </c>
      <c r="N198" s="628">
        <f>Table4[[#This Row],[Pipe Wt. ]]+Table4[[#This Row],[Fluid Wt. ]]</f>
        <v>0</v>
      </c>
    </row>
    <row r="199" spans="1:14" x14ac:dyDescent="0.2">
      <c r="A199" s="626">
        <v>18</v>
      </c>
      <c r="B199" s="626">
        <v>18</v>
      </c>
      <c r="C199" s="626">
        <v>0.25</v>
      </c>
      <c r="D199" s="626">
        <v>17.5</v>
      </c>
      <c r="E199" s="626">
        <v>47.44</v>
      </c>
      <c r="F199" s="626"/>
      <c r="G199" s="626"/>
      <c r="H199" s="626">
        <v>61.015000000000001</v>
      </c>
      <c r="I199" s="626">
        <v>12.494999999999999</v>
      </c>
      <c r="J199" s="629"/>
      <c r="K199" s="628">
        <f>Table4[[#This Row],[Qty]]*Table4[[#This Row],[Gallon Capacity Per Linear Foot]]</f>
        <v>0</v>
      </c>
      <c r="L199" s="628">
        <f>Table4[[#This Row],[Gallons]]*7.48</f>
        <v>0</v>
      </c>
      <c r="M199" s="628">
        <f>Table4[[#This Row],[Qty]]*Table4[[#This Row],[Weight per Foot]]</f>
        <v>0</v>
      </c>
      <c r="N199" s="628">
        <f>Table4[[#This Row],[Pipe Wt. ]]+Table4[[#This Row],[Fluid Wt. ]]</f>
        <v>0</v>
      </c>
    </row>
    <row r="200" spans="1:14" x14ac:dyDescent="0.2">
      <c r="A200" s="626">
        <v>18</v>
      </c>
      <c r="B200" s="626">
        <v>18</v>
      </c>
      <c r="C200" s="626">
        <v>0.28100000000000003</v>
      </c>
      <c r="D200" s="626">
        <v>17.437999999999999</v>
      </c>
      <c r="E200" s="626">
        <v>53.23</v>
      </c>
      <c r="F200" s="626"/>
      <c r="G200" s="626"/>
      <c r="H200" s="626">
        <v>68.284000000000006</v>
      </c>
      <c r="I200" s="626">
        <v>12.406000000000001</v>
      </c>
      <c r="J200" s="629"/>
      <c r="K200" s="628">
        <f>Table4[[#This Row],[Qty]]*Table4[[#This Row],[Gallon Capacity Per Linear Foot]]</f>
        <v>0</v>
      </c>
      <c r="L200" s="628">
        <f>Table4[[#This Row],[Gallons]]*7.48</f>
        <v>0</v>
      </c>
      <c r="M200" s="628">
        <f>Table4[[#This Row],[Qty]]*Table4[[#This Row],[Weight per Foot]]</f>
        <v>0</v>
      </c>
      <c r="N200" s="628">
        <f>Table4[[#This Row],[Pipe Wt. ]]+Table4[[#This Row],[Fluid Wt. ]]</f>
        <v>0</v>
      </c>
    </row>
    <row r="201" spans="1:14" x14ac:dyDescent="0.2">
      <c r="A201" s="626">
        <v>18</v>
      </c>
      <c r="B201" s="626">
        <v>18</v>
      </c>
      <c r="C201" s="626">
        <v>0.312</v>
      </c>
      <c r="D201" s="626">
        <v>17.376000000000001</v>
      </c>
      <c r="E201" s="626">
        <v>58.99</v>
      </c>
      <c r="F201" s="626"/>
      <c r="G201" s="626">
        <v>20</v>
      </c>
      <c r="H201" s="626">
        <v>75.474999999999994</v>
      </c>
      <c r="I201" s="626">
        <v>12.317</v>
      </c>
      <c r="J201" s="629"/>
      <c r="K201" s="628">
        <f>Table4[[#This Row],[Qty]]*Table4[[#This Row],[Gallon Capacity Per Linear Foot]]</f>
        <v>0</v>
      </c>
      <c r="L201" s="628">
        <f>Table4[[#This Row],[Gallons]]*7.48</f>
        <v>0</v>
      </c>
      <c r="M201" s="628">
        <f>Table4[[#This Row],[Qty]]*Table4[[#This Row],[Weight per Foot]]</f>
        <v>0</v>
      </c>
      <c r="N201" s="628">
        <f>Table4[[#This Row],[Pipe Wt. ]]+Table4[[#This Row],[Fluid Wt. ]]</f>
        <v>0</v>
      </c>
    </row>
    <row r="202" spans="1:14" x14ac:dyDescent="0.2">
      <c r="A202" s="626">
        <v>18</v>
      </c>
      <c r="B202" s="626">
        <v>18</v>
      </c>
      <c r="C202" s="626">
        <v>0.34399999999999997</v>
      </c>
      <c r="D202" s="626">
        <v>17.312000000000001</v>
      </c>
      <c r="E202" s="626">
        <v>64.930000000000007</v>
      </c>
      <c r="F202" s="626"/>
      <c r="G202" s="626"/>
      <c r="H202" s="626">
        <v>82.588999999999999</v>
      </c>
      <c r="I202" s="626">
        <v>12.228999999999999</v>
      </c>
      <c r="J202" s="629"/>
      <c r="K202" s="628">
        <f>Table4[[#This Row],[Qty]]*Table4[[#This Row],[Gallon Capacity Per Linear Foot]]</f>
        <v>0</v>
      </c>
      <c r="L202" s="628">
        <f>Table4[[#This Row],[Gallons]]*7.48</f>
        <v>0</v>
      </c>
      <c r="M202" s="628">
        <f>Table4[[#This Row],[Qty]]*Table4[[#This Row],[Weight per Foot]]</f>
        <v>0</v>
      </c>
      <c r="N202" s="628">
        <f>Table4[[#This Row],[Pipe Wt. ]]+Table4[[#This Row],[Fluid Wt. ]]</f>
        <v>0</v>
      </c>
    </row>
    <row r="203" spans="1:14" x14ac:dyDescent="0.2">
      <c r="A203" s="626">
        <v>18</v>
      </c>
      <c r="B203" s="626">
        <v>18</v>
      </c>
      <c r="C203" s="626">
        <v>0.375</v>
      </c>
      <c r="D203" s="626">
        <v>17.25</v>
      </c>
      <c r="E203" s="626">
        <v>70.650000000000006</v>
      </c>
      <c r="F203" s="626" t="s">
        <v>859</v>
      </c>
      <c r="G203" s="626"/>
      <c r="H203" s="626">
        <v>89.626000000000005</v>
      </c>
      <c r="I203" s="626">
        <v>12.141</v>
      </c>
      <c r="J203" s="629"/>
      <c r="K203" s="628">
        <f>Table4[[#This Row],[Qty]]*Table4[[#This Row],[Gallon Capacity Per Linear Foot]]</f>
        <v>0</v>
      </c>
      <c r="L203" s="628">
        <f>Table4[[#This Row],[Gallons]]*7.48</f>
        <v>0</v>
      </c>
      <c r="M203" s="628">
        <f>Table4[[#This Row],[Qty]]*Table4[[#This Row],[Weight per Foot]]</f>
        <v>0</v>
      </c>
      <c r="N203" s="628">
        <f>Table4[[#This Row],[Pipe Wt. ]]+Table4[[#This Row],[Fluid Wt. ]]</f>
        <v>0</v>
      </c>
    </row>
    <row r="204" spans="1:14" x14ac:dyDescent="0.2">
      <c r="A204" s="626">
        <v>18</v>
      </c>
      <c r="B204" s="626">
        <v>18</v>
      </c>
      <c r="C204" s="626">
        <v>0.40600000000000003</v>
      </c>
      <c r="D204" s="626">
        <v>17.187999999999999</v>
      </c>
      <c r="E204" s="626">
        <v>76.36</v>
      </c>
      <c r="F204" s="626"/>
      <c r="G204" s="626"/>
      <c r="H204" s="626">
        <v>96.587000000000003</v>
      </c>
      <c r="I204" s="626">
        <v>12.053000000000001</v>
      </c>
      <c r="J204" s="629"/>
      <c r="K204" s="628">
        <f>Table4[[#This Row],[Qty]]*Table4[[#This Row],[Gallon Capacity Per Linear Foot]]</f>
        <v>0</v>
      </c>
      <c r="L204" s="628">
        <f>Table4[[#This Row],[Gallons]]*7.48</f>
        <v>0</v>
      </c>
      <c r="M204" s="628">
        <f>Table4[[#This Row],[Qty]]*Table4[[#This Row],[Weight per Foot]]</f>
        <v>0</v>
      </c>
      <c r="N204" s="628">
        <f>Table4[[#This Row],[Pipe Wt. ]]+Table4[[#This Row],[Fluid Wt. ]]</f>
        <v>0</v>
      </c>
    </row>
    <row r="205" spans="1:14" x14ac:dyDescent="0.2">
      <c r="A205" s="626">
        <v>18</v>
      </c>
      <c r="B205" s="626">
        <v>18</v>
      </c>
      <c r="C205" s="626">
        <v>0.438</v>
      </c>
      <c r="D205" s="626">
        <v>17.123999999999999</v>
      </c>
      <c r="E205" s="626">
        <v>82.23</v>
      </c>
      <c r="F205" s="626"/>
      <c r="G205" s="626">
        <v>30</v>
      </c>
      <c r="H205" s="626">
        <v>103.47</v>
      </c>
      <c r="I205" s="626">
        <v>11.965</v>
      </c>
      <c r="J205" s="629"/>
      <c r="K205" s="628">
        <f>Table4[[#This Row],[Qty]]*Table4[[#This Row],[Gallon Capacity Per Linear Foot]]</f>
        <v>0</v>
      </c>
      <c r="L205" s="628">
        <f>Table4[[#This Row],[Gallons]]*7.48</f>
        <v>0</v>
      </c>
      <c r="M205" s="628">
        <f>Table4[[#This Row],[Qty]]*Table4[[#This Row],[Weight per Foot]]</f>
        <v>0</v>
      </c>
      <c r="N205" s="628">
        <f>Table4[[#This Row],[Pipe Wt. ]]+Table4[[#This Row],[Fluid Wt. ]]</f>
        <v>0</v>
      </c>
    </row>
    <row r="206" spans="1:14" x14ac:dyDescent="0.2">
      <c r="A206" s="626">
        <v>18</v>
      </c>
      <c r="B206" s="626">
        <v>18</v>
      </c>
      <c r="C206" s="626">
        <v>0.46899999999999997</v>
      </c>
      <c r="D206" s="626">
        <v>17.062000000000001</v>
      </c>
      <c r="E206" s="626">
        <v>87.89</v>
      </c>
      <c r="F206" s="626"/>
      <c r="G206" s="626"/>
      <c r="H206" s="626">
        <v>110.28</v>
      </c>
      <c r="I206" s="626">
        <v>11.878</v>
      </c>
      <c r="J206" s="629"/>
      <c r="K206" s="628">
        <f>Table4[[#This Row],[Qty]]*Table4[[#This Row],[Gallon Capacity Per Linear Foot]]</f>
        <v>0</v>
      </c>
      <c r="L206" s="628">
        <f>Table4[[#This Row],[Gallons]]*7.48</f>
        <v>0</v>
      </c>
      <c r="M206" s="628">
        <f>Table4[[#This Row],[Qty]]*Table4[[#This Row],[Weight per Foot]]</f>
        <v>0</v>
      </c>
      <c r="N206" s="628">
        <f>Table4[[#This Row],[Pipe Wt. ]]+Table4[[#This Row],[Fluid Wt. ]]</f>
        <v>0</v>
      </c>
    </row>
    <row r="207" spans="1:14" x14ac:dyDescent="0.2">
      <c r="A207" s="626">
        <v>18</v>
      </c>
      <c r="B207" s="626">
        <v>18</v>
      </c>
      <c r="C207" s="626">
        <v>0.5</v>
      </c>
      <c r="D207" s="626">
        <v>17</v>
      </c>
      <c r="E207" s="626">
        <v>93.54</v>
      </c>
      <c r="F207" s="626" t="s">
        <v>857</v>
      </c>
      <c r="G207" s="626"/>
      <c r="H207" s="626">
        <v>117.02</v>
      </c>
      <c r="I207" s="626">
        <v>11.791</v>
      </c>
      <c r="J207" s="629"/>
      <c r="K207" s="628">
        <f>Table4[[#This Row],[Qty]]*Table4[[#This Row],[Gallon Capacity Per Linear Foot]]</f>
        <v>0</v>
      </c>
      <c r="L207" s="628">
        <f>Table4[[#This Row],[Gallons]]*7.48</f>
        <v>0</v>
      </c>
      <c r="M207" s="628">
        <f>Table4[[#This Row],[Qty]]*Table4[[#This Row],[Weight per Foot]]</f>
        <v>0</v>
      </c>
      <c r="N207" s="628">
        <f>Table4[[#This Row],[Pipe Wt. ]]+Table4[[#This Row],[Fluid Wt. ]]</f>
        <v>0</v>
      </c>
    </row>
    <row r="208" spans="1:14" x14ac:dyDescent="0.2">
      <c r="A208" s="626">
        <v>18</v>
      </c>
      <c r="B208" s="626">
        <v>18</v>
      </c>
      <c r="C208" s="626">
        <v>0.56200000000000006</v>
      </c>
      <c r="D208" s="626">
        <v>16.876000000000001</v>
      </c>
      <c r="E208" s="626">
        <v>104.76</v>
      </c>
      <c r="F208" s="626"/>
      <c r="G208" s="626">
        <v>40</v>
      </c>
      <c r="H208" s="626">
        <v>130.27000000000001</v>
      </c>
      <c r="I208" s="626">
        <v>11.618</v>
      </c>
      <c r="J208" s="629"/>
      <c r="K208" s="628">
        <f>Table4[[#This Row],[Qty]]*Table4[[#This Row],[Gallon Capacity Per Linear Foot]]</f>
        <v>0</v>
      </c>
      <c r="L208" s="628">
        <f>Table4[[#This Row],[Gallons]]*7.48</f>
        <v>0</v>
      </c>
      <c r="M208" s="628">
        <f>Table4[[#This Row],[Qty]]*Table4[[#This Row],[Weight per Foot]]</f>
        <v>0</v>
      </c>
      <c r="N208" s="628">
        <f>Table4[[#This Row],[Pipe Wt. ]]+Table4[[#This Row],[Fluid Wt. ]]</f>
        <v>0</v>
      </c>
    </row>
    <row r="209" spans="1:14" x14ac:dyDescent="0.2">
      <c r="A209" s="626">
        <v>18</v>
      </c>
      <c r="B209" s="626">
        <v>18</v>
      </c>
      <c r="C209" s="626">
        <v>0.625</v>
      </c>
      <c r="D209" s="626">
        <v>16.75</v>
      </c>
      <c r="E209" s="626">
        <v>116.09</v>
      </c>
      <c r="F209" s="626"/>
      <c r="G209" s="626"/>
      <c r="H209" s="626">
        <v>143.22999999999999</v>
      </c>
      <c r="I209" s="626">
        <v>11.446999999999999</v>
      </c>
      <c r="J209" s="629"/>
      <c r="K209" s="628">
        <f>Table4[[#This Row],[Qty]]*Table4[[#This Row],[Gallon Capacity Per Linear Foot]]</f>
        <v>0</v>
      </c>
      <c r="L209" s="628">
        <f>Table4[[#This Row],[Gallons]]*7.48</f>
        <v>0</v>
      </c>
      <c r="M209" s="628">
        <f>Table4[[#This Row],[Qty]]*Table4[[#This Row],[Weight per Foot]]</f>
        <v>0</v>
      </c>
      <c r="N209" s="628">
        <f>Table4[[#This Row],[Pipe Wt. ]]+Table4[[#This Row],[Fluid Wt. ]]</f>
        <v>0</v>
      </c>
    </row>
    <row r="210" spans="1:14" x14ac:dyDescent="0.2">
      <c r="A210" s="626">
        <v>18</v>
      </c>
      <c r="B210" s="626">
        <v>18</v>
      </c>
      <c r="C210" s="626">
        <v>0.68799999999999994</v>
      </c>
      <c r="D210" s="626">
        <v>16.623999999999999</v>
      </c>
      <c r="E210" s="626">
        <v>127.32</v>
      </c>
      <c r="F210" s="626"/>
      <c r="G210" s="626">
        <v>60</v>
      </c>
      <c r="H210" s="626">
        <v>156.04400000000001</v>
      </c>
      <c r="I210" s="626">
        <v>11.275</v>
      </c>
      <c r="J210" s="629"/>
      <c r="K210" s="628">
        <f>Table4[[#This Row],[Qty]]*Table4[[#This Row],[Gallon Capacity Per Linear Foot]]</f>
        <v>0</v>
      </c>
      <c r="L210" s="628">
        <f>Table4[[#This Row],[Gallons]]*7.48</f>
        <v>0</v>
      </c>
      <c r="M210" s="628">
        <f>Table4[[#This Row],[Qty]]*Table4[[#This Row],[Weight per Foot]]</f>
        <v>0</v>
      </c>
      <c r="N210" s="628">
        <f>Table4[[#This Row],[Pipe Wt. ]]+Table4[[#This Row],[Fluid Wt. ]]</f>
        <v>0</v>
      </c>
    </row>
    <row r="211" spans="1:14" x14ac:dyDescent="0.2">
      <c r="A211" s="626">
        <v>18</v>
      </c>
      <c r="B211" s="626">
        <v>18</v>
      </c>
      <c r="C211" s="626">
        <v>0.75</v>
      </c>
      <c r="D211" s="626">
        <v>16.5</v>
      </c>
      <c r="E211" s="626">
        <v>138.30000000000001</v>
      </c>
      <c r="F211" s="626"/>
      <c r="G211" s="626"/>
      <c r="H211" s="626">
        <v>168.29</v>
      </c>
      <c r="I211" s="626">
        <v>11.108000000000001</v>
      </c>
      <c r="J211" s="629"/>
      <c r="K211" s="628">
        <f>Table4[[#This Row],[Qty]]*Table4[[#This Row],[Gallon Capacity Per Linear Foot]]</f>
        <v>0</v>
      </c>
      <c r="L211" s="628">
        <f>Table4[[#This Row],[Gallons]]*7.48</f>
        <v>0</v>
      </c>
      <c r="M211" s="628">
        <f>Table4[[#This Row],[Qty]]*Table4[[#This Row],[Weight per Foot]]</f>
        <v>0</v>
      </c>
      <c r="N211" s="628">
        <f>Table4[[#This Row],[Pipe Wt. ]]+Table4[[#This Row],[Fluid Wt. ]]</f>
        <v>0</v>
      </c>
    </row>
    <row r="212" spans="1:14" x14ac:dyDescent="0.2">
      <c r="A212" s="626">
        <v>18</v>
      </c>
      <c r="B212" s="626">
        <v>18</v>
      </c>
      <c r="C212" s="626">
        <v>0.81200000000000006</v>
      </c>
      <c r="D212" s="626">
        <v>16.376000000000001</v>
      </c>
      <c r="E212" s="626">
        <v>149.19999999999999</v>
      </c>
      <c r="F212" s="626"/>
      <c r="G212" s="626"/>
      <c r="H212" s="626">
        <v>180.35599999999999</v>
      </c>
      <c r="I212" s="626">
        <v>10.941000000000001</v>
      </c>
      <c r="J212" s="629"/>
      <c r="K212" s="628">
        <f>Table4[[#This Row],[Qty]]*Table4[[#This Row],[Gallon Capacity Per Linear Foot]]</f>
        <v>0</v>
      </c>
      <c r="L212" s="628">
        <f>Table4[[#This Row],[Gallons]]*7.48</f>
        <v>0</v>
      </c>
      <c r="M212" s="628">
        <f>Table4[[#This Row],[Qty]]*Table4[[#This Row],[Weight per Foot]]</f>
        <v>0</v>
      </c>
      <c r="N212" s="628">
        <f>Table4[[#This Row],[Pipe Wt. ]]+Table4[[#This Row],[Fluid Wt. ]]</f>
        <v>0</v>
      </c>
    </row>
    <row r="213" spans="1:14" x14ac:dyDescent="0.2">
      <c r="A213" s="626">
        <v>18</v>
      </c>
      <c r="B213" s="626">
        <v>18</v>
      </c>
      <c r="C213" s="626">
        <v>0.93799999999999994</v>
      </c>
      <c r="D213" s="626">
        <v>16.123999999999999</v>
      </c>
      <c r="E213" s="626">
        <v>171.08</v>
      </c>
      <c r="F213" s="626"/>
      <c r="G213" s="626">
        <v>80</v>
      </c>
      <c r="H213" s="626">
        <v>203.95500000000001</v>
      </c>
      <c r="I213" s="626">
        <v>10.606999999999999</v>
      </c>
      <c r="J213" s="629"/>
      <c r="K213" s="628">
        <f>Table4[[#This Row],[Qty]]*Table4[[#This Row],[Gallon Capacity Per Linear Foot]]</f>
        <v>0</v>
      </c>
      <c r="L213" s="628">
        <f>Table4[[#This Row],[Gallons]]*7.48</f>
        <v>0</v>
      </c>
      <c r="M213" s="628">
        <f>Table4[[#This Row],[Qty]]*Table4[[#This Row],[Weight per Foot]]</f>
        <v>0</v>
      </c>
      <c r="N213" s="628">
        <f>Table4[[#This Row],[Pipe Wt. ]]+Table4[[#This Row],[Fluid Wt. ]]</f>
        <v>0</v>
      </c>
    </row>
    <row r="214" spans="1:14" x14ac:dyDescent="0.2">
      <c r="A214" s="626">
        <v>18</v>
      </c>
      <c r="B214" s="626">
        <v>18</v>
      </c>
      <c r="C214" s="626">
        <v>1.1559999999999999</v>
      </c>
      <c r="D214" s="626">
        <v>15.688000000000001</v>
      </c>
      <c r="E214" s="626">
        <v>208.15</v>
      </c>
      <c r="F214" s="626"/>
      <c r="G214" s="626">
        <v>100</v>
      </c>
      <c r="H214" s="626">
        <v>242.25</v>
      </c>
      <c r="I214" s="626">
        <v>10.041</v>
      </c>
      <c r="J214" s="629"/>
      <c r="K214" s="628">
        <f>Table4[[#This Row],[Qty]]*Table4[[#This Row],[Gallon Capacity Per Linear Foot]]</f>
        <v>0</v>
      </c>
      <c r="L214" s="628">
        <f>Table4[[#This Row],[Gallons]]*7.48</f>
        <v>0</v>
      </c>
      <c r="M214" s="628">
        <f>Table4[[#This Row],[Qty]]*Table4[[#This Row],[Weight per Foot]]</f>
        <v>0</v>
      </c>
      <c r="N214" s="628">
        <f>Table4[[#This Row],[Pipe Wt. ]]+Table4[[#This Row],[Fluid Wt. ]]</f>
        <v>0</v>
      </c>
    </row>
    <row r="215" spans="1:14" x14ac:dyDescent="0.2">
      <c r="A215" s="626">
        <v>18</v>
      </c>
      <c r="B215" s="626">
        <v>18</v>
      </c>
      <c r="C215" s="626">
        <v>1.2749999999999999</v>
      </c>
      <c r="D215" s="626">
        <v>15.25</v>
      </c>
      <c r="E215" s="626">
        <v>227.96</v>
      </c>
      <c r="F215" s="626"/>
      <c r="G215" s="626">
        <v>120</v>
      </c>
      <c r="H215" s="626">
        <v>277.63600000000002</v>
      </c>
      <c r="I215" s="626">
        <v>9.4890000000000008</v>
      </c>
      <c r="J215" s="629"/>
      <c r="K215" s="628">
        <f>Table4[[#This Row],[Qty]]*Table4[[#This Row],[Gallon Capacity Per Linear Foot]]</f>
        <v>0</v>
      </c>
      <c r="L215" s="628">
        <f>Table4[[#This Row],[Gallons]]*7.48</f>
        <v>0</v>
      </c>
      <c r="M215" s="628">
        <f>Table4[[#This Row],[Qty]]*Table4[[#This Row],[Weight per Foot]]</f>
        <v>0</v>
      </c>
      <c r="N215" s="628">
        <f>Table4[[#This Row],[Pipe Wt. ]]+Table4[[#This Row],[Fluid Wt. ]]</f>
        <v>0</v>
      </c>
    </row>
    <row r="216" spans="1:14" x14ac:dyDescent="0.2">
      <c r="A216" s="626">
        <v>18</v>
      </c>
      <c r="B216" s="626">
        <v>18</v>
      </c>
      <c r="C216" s="626">
        <v>1.5620000000000001</v>
      </c>
      <c r="D216" s="626">
        <v>14.875999999999999</v>
      </c>
      <c r="E216" s="626">
        <v>274.48</v>
      </c>
      <c r="F216" s="626"/>
      <c r="G216" s="626">
        <v>140</v>
      </c>
      <c r="H216" s="626">
        <v>305.53500000000003</v>
      </c>
      <c r="I216" s="626">
        <v>9.0289999999999999</v>
      </c>
      <c r="J216" s="629"/>
      <c r="K216" s="628">
        <f>Table4[[#This Row],[Qty]]*Table4[[#This Row],[Gallon Capacity Per Linear Foot]]</f>
        <v>0</v>
      </c>
      <c r="L216" s="628">
        <f>Table4[[#This Row],[Gallons]]*7.48</f>
        <v>0</v>
      </c>
      <c r="M216" s="628">
        <f>Table4[[#This Row],[Qty]]*Table4[[#This Row],[Weight per Foot]]</f>
        <v>0</v>
      </c>
      <c r="N216" s="628">
        <f>Table4[[#This Row],[Pipe Wt. ]]+Table4[[#This Row],[Fluid Wt. ]]</f>
        <v>0</v>
      </c>
    </row>
    <row r="217" spans="1:14" x14ac:dyDescent="0.2">
      <c r="A217" s="626">
        <v>18</v>
      </c>
      <c r="B217" s="626">
        <v>18</v>
      </c>
      <c r="C217" s="626">
        <v>1.7809999999999999</v>
      </c>
      <c r="D217" s="626">
        <v>14.438000000000001</v>
      </c>
      <c r="E217" s="626">
        <v>308.79000000000002</v>
      </c>
      <c r="F217" s="626"/>
      <c r="G217" s="626">
        <v>160</v>
      </c>
      <c r="H217" s="626">
        <v>335.63799999999998</v>
      </c>
      <c r="I217" s="626">
        <v>8.5050000000000008</v>
      </c>
      <c r="J217" s="629"/>
      <c r="K217" s="628">
        <f>Table4[[#This Row],[Qty]]*Table4[[#This Row],[Gallon Capacity Per Linear Foot]]</f>
        <v>0</v>
      </c>
      <c r="L217" s="628">
        <f>Table4[[#This Row],[Gallons]]*7.48</f>
        <v>0</v>
      </c>
      <c r="M217" s="628">
        <f>Table4[[#This Row],[Qty]]*Table4[[#This Row],[Weight per Foot]]</f>
        <v>0</v>
      </c>
      <c r="N217" s="628">
        <f>Table4[[#This Row],[Pipe Wt. ]]+Table4[[#This Row],[Fluid Wt. ]]</f>
        <v>0</v>
      </c>
    </row>
    <row r="218" spans="1:14" x14ac:dyDescent="0.2">
      <c r="A218" s="626">
        <v>20</v>
      </c>
      <c r="B218" s="626">
        <v>20</v>
      </c>
      <c r="C218" s="626">
        <v>0.219</v>
      </c>
      <c r="D218" s="626">
        <v>19.562000000000001</v>
      </c>
      <c r="E218" s="626">
        <v>46.31</v>
      </c>
      <c r="F218" s="626"/>
      <c r="G218" s="626"/>
      <c r="H218" s="626">
        <v>66.59</v>
      </c>
      <c r="I218" s="626">
        <v>15.613</v>
      </c>
      <c r="J218" s="629"/>
      <c r="K218" s="628">
        <f>Table4[[#This Row],[Qty]]*Table4[[#This Row],[Gallon Capacity Per Linear Foot]]</f>
        <v>0</v>
      </c>
      <c r="L218" s="628">
        <f>Table4[[#This Row],[Gallons]]*7.48</f>
        <v>0</v>
      </c>
      <c r="M218" s="628">
        <f>Table4[[#This Row],[Qty]]*Table4[[#This Row],[Weight per Foot]]</f>
        <v>0</v>
      </c>
      <c r="N218" s="628">
        <f>Table4[[#This Row],[Pipe Wt. ]]+Table4[[#This Row],[Fluid Wt. ]]</f>
        <v>0</v>
      </c>
    </row>
    <row r="219" spans="1:14" x14ac:dyDescent="0.2">
      <c r="A219" s="626">
        <v>20</v>
      </c>
      <c r="B219" s="626">
        <v>20</v>
      </c>
      <c r="C219" s="626">
        <v>0.23899999999999999</v>
      </c>
      <c r="D219" s="626">
        <v>19.521999999999998</v>
      </c>
      <c r="E219" s="626">
        <v>50.49</v>
      </c>
      <c r="F219" s="626"/>
      <c r="G219" s="626"/>
      <c r="H219" s="626">
        <v>72.453999999999994</v>
      </c>
      <c r="I219" s="626">
        <v>15.548999999999999</v>
      </c>
      <c r="J219" s="629"/>
      <c r="K219" s="628">
        <f>Table4[[#This Row],[Qty]]*Table4[[#This Row],[Gallon Capacity Per Linear Foot]]</f>
        <v>0</v>
      </c>
      <c r="L219" s="628">
        <f>Table4[[#This Row],[Gallons]]*7.48</f>
        <v>0</v>
      </c>
      <c r="M219" s="628">
        <f>Table4[[#This Row],[Qty]]*Table4[[#This Row],[Weight per Foot]]</f>
        <v>0</v>
      </c>
      <c r="N219" s="628">
        <f>Table4[[#This Row],[Pipe Wt. ]]+Table4[[#This Row],[Fluid Wt. ]]</f>
        <v>0</v>
      </c>
    </row>
    <row r="220" spans="1:14" x14ac:dyDescent="0.2">
      <c r="A220" s="626">
        <v>20</v>
      </c>
      <c r="B220" s="626">
        <v>20</v>
      </c>
      <c r="C220" s="626">
        <v>0.25</v>
      </c>
      <c r="D220" s="626">
        <v>19.5</v>
      </c>
      <c r="E220" s="626">
        <v>52.78</v>
      </c>
      <c r="F220" s="626"/>
      <c r="G220" s="626"/>
      <c r="H220" s="626">
        <v>75.643000000000001</v>
      </c>
      <c r="I220" s="626">
        <v>15.513999999999999</v>
      </c>
      <c r="J220" s="629"/>
      <c r="K220" s="628">
        <f>Table4[[#This Row],[Qty]]*Table4[[#This Row],[Gallon Capacity Per Linear Foot]]</f>
        <v>0</v>
      </c>
      <c r="L220" s="628">
        <f>Table4[[#This Row],[Gallons]]*7.48</f>
        <v>0</v>
      </c>
      <c r="M220" s="628">
        <f>Table4[[#This Row],[Qty]]*Table4[[#This Row],[Weight per Foot]]</f>
        <v>0</v>
      </c>
      <c r="N220" s="628">
        <f>Table4[[#This Row],[Pipe Wt. ]]+Table4[[#This Row],[Fluid Wt. ]]</f>
        <v>0</v>
      </c>
    </row>
    <row r="221" spans="1:14" x14ac:dyDescent="0.2">
      <c r="A221" s="626">
        <v>20</v>
      </c>
      <c r="B221" s="626">
        <v>20</v>
      </c>
      <c r="C221" s="626">
        <v>0.28100000000000003</v>
      </c>
      <c r="D221" s="626">
        <v>19.437999999999999</v>
      </c>
      <c r="E221" s="626">
        <v>59.23</v>
      </c>
      <c r="F221" s="626"/>
      <c r="G221" s="626"/>
      <c r="H221" s="626">
        <v>84.698999999999998</v>
      </c>
      <c r="I221" s="626">
        <v>15.414999999999999</v>
      </c>
      <c r="J221" s="629"/>
      <c r="K221" s="628">
        <f>Table4[[#This Row],[Qty]]*Table4[[#This Row],[Gallon Capacity Per Linear Foot]]</f>
        <v>0</v>
      </c>
      <c r="L221" s="628">
        <f>Table4[[#This Row],[Gallons]]*7.48</f>
        <v>0</v>
      </c>
      <c r="M221" s="628">
        <f>Table4[[#This Row],[Qty]]*Table4[[#This Row],[Weight per Foot]]</f>
        <v>0</v>
      </c>
      <c r="N221" s="628">
        <f>Table4[[#This Row],[Pipe Wt. ]]+Table4[[#This Row],[Fluid Wt. ]]</f>
        <v>0</v>
      </c>
    </row>
    <row r="222" spans="1:14" x14ac:dyDescent="0.2">
      <c r="A222" s="626">
        <v>20</v>
      </c>
      <c r="B222" s="626">
        <v>20</v>
      </c>
      <c r="C222" s="626">
        <v>0.312</v>
      </c>
      <c r="D222" s="626">
        <v>19.376000000000001</v>
      </c>
      <c r="E222" s="626">
        <v>65.66</v>
      </c>
      <c r="F222" s="626"/>
      <c r="G222" s="626"/>
      <c r="H222" s="626">
        <v>93.668000000000006</v>
      </c>
      <c r="I222" s="626">
        <v>15.316000000000001</v>
      </c>
      <c r="J222" s="629"/>
      <c r="K222" s="628">
        <f>Table4[[#This Row],[Qty]]*Table4[[#This Row],[Gallon Capacity Per Linear Foot]]</f>
        <v>0</v>
      </c>
      <c r="L222" s="628">
        <f>Table4[[#This Row],[Gallons]]*7.48</f>
        <v>0</v>
      </c>
      <c r="M222" s="628">
        <f>Table4[[#This Row],[Qty]]*Table4[[#This Row],[Weight per Foot]]</f>
        <v>0</v>
      </c>
      <c r="N222" s="628">
        <f>Table4[[#This Row],[Pipe Wt. ]]+Table4[[#This Row],[Fluid Wt. ]]</f>
        <v>0</v>
      </c>
    </row>
    <row r="223" spans="1:14" x14ac:dyDescent="0.2">
      <c r="A223" s="626">
        <v>20</v>
      </c>
      <c r="B223" s="626">
        <v>20</v>
      </c>
      <c r="C223" s="626">
        <v>0.34399999999999997</v>
      </c>
      <c r="D223" s="626">
        <v>19.312000000000001</v>
      </c>
      <c r="E223" s="626">
        <v>72.28</v>
      </c>
      <c r="F223" s="626"/>
      <c r="G223" s="626"/>
      <c r="H223" s="626">
        <v>102.55</v>
      </c>
      <c r="I223" s="626">
        <v>15.217000000000001</v>
      </c>
      <c r="J223" s="629"/>
      <c r="K223" s="628">
        <f>Table4[[#This Row],[Qty]]*Table4[[#This Row],[Gallon Capacity Per Linear Foot]]</f>
        <v>0</v>
      </c>
      <c r="L223" s="628">
        <f>Table4[[#This Row],[Gallons]]*7.48</f>
        <v>0</v>
      </c>
      <c r="M223" s="628">
        <f>Table4[[#This Row],[Qty]]*Table4[[#This Row],[Weight per Foot]]</f>
        <v>0</v>
      </c>
      <c r="N223" s="628">
        <f>Table4[[#This Row],[Pipe Wt. ]]+Table4[[#This Row],[Fluid Wt. ]]</f>
        <v>0</v>
      </c>
    </row>
    <row r="224" spans="1:14" x14ac:dyDescent="0.2">
      <c r="A224" s="626">
        <v>20</v>
      </c>
      <c r="B224" s="626">
        <v>20</v>
      </c>
      <c r="C224" s="626">
        <v>0.375</v>
      </c>
      <c r="D224" s="626">
        <v>19.25</v>
      </c>
      <c r="E224" s="626">
        <v>78.67</v>
      </c>
      <c r="F224" s="626" t="s">
        <v>859</v>
      </c>
      <c r="G224" s="626">
        <v>20</v>
      </c>
      <c r="H224" s="626">
        <v>111.35</v>
      </c>
      <c r="I224" s="626">
        <v>15.119</v>
      </c>
      <c r="J224" s="629"/>
      <c r="K224" s="628">
        <f>Table4[[#This Row],[Qty]]*Table4[[#This Row],[Gallon Capacity Per Linear Foot]]</f>
        <v>0</v>
      </c>
      <c r="L224" s="628">
        <f>Table4[[#This Row],[Gallons]]*7.48</f>
        <v>0</v>
      </c>
      <c r="M224" s="628">
        <f>Table4[[#This Row],[Qty]]*Table4[[#This Row],[Weight per Foot]]</f>
        <v>0</v>
      </c>
      <c r="N224" s="628">
        <f>Table4[[#This Row],[Pipe Wt. ]]+Table4[[#This Row],[Fluid Wt. ]]</f>
        <v>0</v>
      </c>
    </row>
    <row r="225" spans="1:14" x14ac:dyDescent="0.2">
      <c r="A225" s="626">
        <v>20</v>
      </c>
      <c r="B225" s="626">
        <v>20</v>
      </c>
      <c r="C225" s="626">
        <v>0.40600000000000003</v>
      </c>
      <c r="D225" s="626">
        <v>19.187999999999999</v>
      </c>
      <c r="E225" s="626">
        <v>85.04</v>
      </c>
      <c r="F225" s="626"/>
      <c r="G225" s="626"/>
      <c r="H225" s="626">
        <v>119.71</v>
      </c>
      <c r="I225" s="626">
        <v>15.025</v>
      </c>
      <c r="J225" s="629"/>
      <c r="K225" s="628">
        <f>Table4[[#This Row],[Qty]]*Table4[[#This Row],[Gallon Capacity Per Linear Foot]]</f>
        <v>0</v>
      </c>
      <c r="L225" s="628">
        <f>Table4[[#This Row],[Gallons]]*7.48</f>
        <v>0</v>
      </c>
      <c r="M225" s="628">
        <f>Table4[[#This Row],[Qty]]*Table4[[#This Row],[Weight per Foot]]</f>
        <v>0</v>
      </c>
      <c r="N225" s="628">
        <f>Table4[[#This Row],[Pipe Wt. ]]+Table4[[#This Row],[Fluid Wt. ]]</f>
        <v>0</v>
      </c>
    </row>
    <row r="226" spans="1:14" x14ac:dyDescent="0.2">
      <c r="A226" s="626">
        <v>20</v>
      </c>
      <c r="B226" s="626">
        <v>20</v>
      </c>
      <c r="C226" s="626">
        <v>0.438</v>
      </c>
      <c r="D226" s="626">
        <v>19.123999999999999</v>
      </c>
      <c r="E226" s="626">
        <v>91.59</v>
      </c>
      <c r="F226" s="626"/>
      <c r="G226" s="626"/>
      <c r="H226" s="626">
        <v>128.69</v>
      </c>
      <c r="I226" s="626">
        <v>14.923</v>
      </c>
      <c r="J226" s="629"/>
      <c r="K226" s="628">
        <f>Table4[[#This Row],[Qty]]*Table4[[#This Row],[Gallon Capacity Per Linear Foot]]</f>
        <v>0</v>
      </c>
      <c r="L226" s="628">
        <f>Table4[[#This Row],[Gallons]]*7.48</f>
        <v>0</v>
      </c>
      <c r="M226" s="628">
        <f>Table4[[#This Row],[Qty]]*Table4[[#This Row],[Weight per Foot]]</f>
        <v>0</v>
      </c>
      <c r="N226" s="628">
        <f>Table4[[#This Row],[Pipe Wt. ]]+Table4[[#This Row],[Fluid Wt. ]]</f>
        <v>0</v>
      </c>
    </row>
    <row r="227" spans="1:14" x14ac:dyDescent="0.2">
      <c r="A227" s="626">
        <v>20</v>
      </c>
      <c r="B227" s="626">
        <v>20</v>
      </c>
      <c r="C227" s="626">
        <v>0.46899999999999997</v>
      </c>
      <c r="D227" s="626">
        <v>19.062000000000001</v>
      </c>
      <c r="E227" s="626">
        <v>97.92</v>
      </c>
      <c r="F227" s="626"/>
      <c r="G227" s="626"/>
      <c r="H227" s="626">
        <v>137.22999999999999</v>
      </c>
      <c r="I227" s="626">
        <v>14.826000000000001</v>
      </c>
      <c r="J227" s="629"/>
      <c r="K227" s="628">
        <f>Table4[[#This Row],[Qty]]*Table4[[#This Row],[Gallon Capacity Per Linear Foot]]</f>
        <v>0</v>
      </c>
      <c r="L227" s="628">
        <f>Table4[[#This Row],[Gallons]]*7.48</f>
        <v>0</v>
      </c>
      <c r="M227" s="628">
        <f>Table4[[#This Row],[Qty]]*Table4[[#This Row],[Weight per Foot]]</f>
        <v>0</v>
      </c>
      <c r="N227" s="628">
        <f>Table4[[#This Row],[Pipe Wt. ]]+Table4[[#This Row],[Fluid Wt. ]]</f>
        <v>0</v>
      </c>
    </row>
    <row r="228" spans="1:14" x14ac:dyDescent="0.2">
      <c r="A228" s="626">
        <v>20</v>
      </c>
      <c r="B228" s="626">
        <v>20</v>
      </c>
      <c r="C228" s="626">
        <v>0.5</v>
      </c>
      <c r="D228" s="626">
        <v>19</v>
      </c>
      <c r="E228" s="626">
        <v>104.23</v>
      </c>
      <c r="F228" s="626" t="s">
        <v>857</v>
      </c>
      <c r="G228" s="626">
        <v>30</v>
      </c>
      <c r="H228" s="626">
        <v>145.69</v>
      </c>
      <c r="I228" s="626">
        <v>14.728999999999999</v>
      </c>
      <c r="J228" s="629"/>
      <c r="K228" s="628">
        <f>Table4[[#This Row],[Qty]]*Table4[[#This Row],[Gallon Capacity Per Linear Foot]]</f>
        <v>0</v>
      </c>
      <c r="L228" s="628">
        <f>Table4[[#This Row],[Gallons]]*7.48</f>
        <v>0</v>
      </c>
      <c r="M228" s="628">
        <f>Table4[[#This Row],[Qty]]*Table4[[#This Row],[Weight per Foot]]</f>
        <v>0</v>
      </c>
      <c r="N228" s="628">
        <f>Table4[[#This Row],[Pipe Wt. ]]+Table4[[#This Row],[Fluid Wt. ]]</f>
        <v>0</v>
      </c>
    </row>
    <row r="229" spans="1:14" x14ac:dyDescent="0.2">
      <c r="A229" s="626">
        <v>20</v>
      </c>
      <c r="B229" s="626">
        <v>20</v>
      </c>
      <c r="C229" s="626">
        <v>0.56200000000000006</v>
      </c>
      <c r="D229" s="626">
        <v>18.876000000000001</v>
      </c>
      <c r="E229" s="626">
        <v>116.78</v>
      </c>
      <c r="F229" s="626"/>
      <c r="G229" s="626"/>
      <c r="H229" s="626">
        <v>162.36000000000001</v>
      </c>
      <c r="I229" s="626">
        <v>14.536</v>
      </c>
      <c r="J229" s="629"/>
      <c r="K229" s="628">
        <f>Table4[[#This Row],[Qty]]*Table4[[#This Row],[Gallon Capacity Per Linear Foot]]</f>
        <v>0</v>
      </c>
      <c r="L229" s="628">
        <f>Table4[[#This Row],[Gallons]]*7.48</f>
        <v>0</v>
      </c>
      <c r="M229" s="628">
        <f>Table4[[#This Row],[Qty]]*Table4[[#This Row],[Weight per Foot]]</f>
        <v>0</v>
      </c>
      <c r="N229" s="628">
        <f>Table4[[#This Row],[Pipe Wt. ]]+Table4[[#This Row],[Fluid Wt. ]]</f>
        <v>0</v>
      </c>
    </row>
    <row r="230" spans="1:14" x14ac:dyDescent="0.2">
      <c r="A230" s="626">
        <v>20</v>
      </c>
      <c r="B230" s="626">
        <v>20</v>
      </c>
      <c r="C230" s="626">
        <v>0.59399999999999997</v>
      </c>
      <c r="D230" s="626">
        <v>18.812000000000001</v>
      </c>
      <c r="E230" s="626">
        <v>123.23</v>
      </c>
      <c r="F230" s="626"/>
      <c r="G230" s="626">
        <v>40</v>
      </c>
      <c r="H230" s="626">
        <v>170.67</v>
      </c>
      <c r="I230" s="626">
        <v>14.439</v>
      </c>
      <c r="J230" s="629"/>
      <c r="K230" s="628">
        <f>Table4[[#This Row],[Qty]]*Table4[[#This Row],[Gallon Capacity Per Linear Foot]]</f>
        <v>0</v>
      </c>
      <c r="L230" s="628">
        <f>Table4[[#This Row],[Gallons]]*7.48</f>
        <v>0</v>
      </c>
      <c r="M230" s="628">
        <f>Table4[[#This Row],[Qty]]*Table4[[#This Row],[Weight per Foot]]</f>
        <v>0</v>
      </c>
      <c r="N230" s="628">
        <f>Table4[[#This Row],[Pipe Wt. ]]+Table4[[#This Row],[Fluid Wt. ]]</f>
        <v>0</v>
      </c>
    </row>
    <row r="231" spans="1:14" x14ac:dyDescent="0.2">
      <c r="A231" s="626">
        <v>20</v>
      </c>
      <c r="B231" s="626">
        <v>20</v>
      </c>
      <c r="C231" s="626">
        <v>0.625</v>
      </c>
      <c r="D231" s="626">
        <v>18.75</v>
      </c>
      <c r="E231" s="626">
        <v>129.44999999999999</v>
      </c>
      <c r="F231" s="626"/>
      <c r="G231" s="626"/>
      <c r="H231" s="626">
        <v>178.7</v>
      </c>
      <c r="I231" s="626">
        <v>14.343999999999999</v>
      </c>
      <c r="J231" s="629"/>
      <c r="K231" s="628">
        <f>Table4[[#This Row],[Qty]]*Table4[[#This Row],[Gallon Capacity Per Linear Foot]]</f>
        <v>0</v>
      </c>
      <c r="L231" s="628">
        <f>Table4[[#This Row],[Gallons]]*7.48</f>
        <v>0</v>
      </c>
      <c r="M231" s="628">
        <f>Table4[[#This Row],[Qty]]*Table4[[#This Row],[Weight per Foot]]</f>
        <v>0</v>
      </c>
      <c r="N231" s="628">
        <f>Table4[[#This Row],[Pipe Wt. ]]+Table4[[#This Row],[Fluid Wt. ]]</f>
        <v>0</v>
      </c>
    </row>
    <row r="232" spans="1:14" x14ac:dyDescent="0.2">
      <c r="A232" s="626">
        <v>20</v>
      </c>
      <c r="B232" s="626">
        <v>20</v>
      </c>
      <c r="C232" s="626">
        <v>0.68799999999999994</v>
      </c>
      <c r="D232" s="626">
        <v>18.623999999999999</v>
      </c>
      <c r="E232" s="626">
        <v>142.03</v>
      </c>
      <c r="F232" s="626"/>
      <c r="G232" s="626"/>
      <c r="H232" s="626">
        <v>194.89</v>
      </c>
      <c r="I232" s="626">
        <v>14.151999999999999</v>
      </c>
      <c r="J232" s="629"/>
      <c r="K232" s="628">
        <f>Table4[[#This Row],[Qty]]*Table4[[#This Row],[Gallon Capacity Per Linear Foot]]</f>
        <v>0</v>
      </c>
      <c r="L232" s="628">
        <f>Table4[[#This Row],[Gallons]]*7.48</f>
        <v>0</v>
      </c>
      <c r="M232" s="628">
        <f>Table4[[#This Row],[Qty]]*Table4[[#This Row],[Weight per Foot]]</f>
        <v>0</v>
      </c>
      <c r="N232" s="628">
        <f>Table4[[#This Row],[Pipe Wt. ]]+Table4[[#This Row],[Fluid Wt. ]]</f>
        <v>0</v>
      </c>
    </row>
    <row r="233" spans="1:14" x14ac:dyDescent="0.2">
      <c r="A233" s="626">
        <v>20</v>
      </c>
      <c r="B233" s="626">
        <v>20</v>
      </c>
      <c r="C233" s="626">
        <v>0.75</v>
      </c>
      <c r="D233" s="626">
        <v>18.5</v>
      </c>
      <c r="E233" s="626">
        <v>154.34</v>
      </c>
      <c r="F233" s="626"/>
      <c r="G233" s="626"/>
      <c r="H233" s="626">
        <v>210.41</v>
      </c>
      <c r="I233" s="626">
        <v>13.964</v>
      </c>
      <c r="J233" s="629"/>
      <c r="K233" s="628">
        <f>Table4[[#This Row],[Qty]]*Table4[[#This Row],[Gallon Capacity Per Linear Foot]]</f>
        <v>0</v>
      </c>
      <c r="L233" s="628">
        <f>Table4[[#This Row],[Gallons]]*7.48</f>
        <v>0</v>
      </c>
      <c r="M233" s="628">
        <f>Table4[[#This Row],[Qty]]*Table4[[#This Row],[Weight per Foot]]</f>
        <v>0</v>
      </c>
      <c r="N233" s="628">
        <f>Table4[[#This Row],[Pipe Wt. ]]+Table4[[#This Row],[Fluid Wt. ]]</f>
        <v>0</v>
      </c>
    </row>
    <row r="234" spans="1:14" x14ac:dyDescent="0.2">
      <c r="A234" s="626">
        <v>20</v>
      </c>
      <c r="B234" s="626">
        <v>20</v>
      </c>
      <c r="C234" s="626">
        <v>0.81200000000000006</v>
      </c>
      <c r="D234" s="626">
        <v>18.376000000000001</v>
      </c>
      <c r="E234" s="626">
        <v>166.56</v>
      </c>
      <c r="F234" s="626"/>
      <c r="G234" s="626">
        <v>60</v>
      </c>
      <c r="H234" s="626">
        <v>225.73</v>
      </c>
      <c r="I234" s="626">
        <v>13.776999999999999</v>
      </c>
      <c r="J234" s="629"/>
      <c r="K234" s="628">
        <f>Table4[[#This Row],[Qty]]*Table4[[#This Row],[Gallon Capacity Per Linear Foot]]</f>
        <v>0</v>
      </c>
      <c r="L234" s="628">
        <f>Table4[[#This Row],[Gallons]]*7.48</f>
        <v>0</v>
      </c>
      <c r="M234" s="628">
        <f>Table4[[#This Row],[Qty]]*Table4[[#This Row],[Weight per Foot]]</f>
        <v>0</v>
      </c>
      <c r="N234" s="628">
        <f>Table4[[#This Row],[Pipe Wt. ]]+Table4[[#This Row],[Fluid Wt. ]]</f>
        <v>0</v>
      </c>
    </row>
    <row r="235" spans="1:14" x14ac:dyDescent="0.2">
      <c r="A235" s="626">
        <v>20</v>
      </c>
      <c r="B235" s="626">
        <v>20</v>
      </c>
      <c r="C235" s="626">
        <v>1.0309999999999999</v>
      </c>
      <c r="D235" s="626">
        <v>17.937999999999999</v>
      </c>
      <c r="E235" s="626">
        <v>209.06</v>
      </c>
      <c r="F235" s="626"/>
      <c r="G235" s="626">
        <v>80</v>
      </c>
      <c r="H235" s="626">
        <v>277.23</v>
      </c>
      <c r="I235" s="626">
        <v>13.128</v>
      </c>
      <c r="J235" s="629"/>
      <c r="K235" s="628">
        <f>Table4[[#This Row],[Qty]]*Table4[[#This Row],[Gallon Capacity Per Linear Foot]]</f>
        <v>0</v>
      </c>
      <c r="L235" s="628">
        <f>Table4[[#This Row],[Gallons]]*7.48</f>
        <v>0</v>
      </c>
      <c r="M235" s="628">
        <f>Table4[[#This Row],[Qty]]*Table4[[#This Row],[Weight per Foot]]</f>
        <v>0</v>
      </c>
      <c r="N235" s="628">
        <f>Table4[[#This Row],[Pipe Wt. ]]+Table4[[#This Row],[Fluid Wt. ]]</f>
        <v>0</v>
      </c>
    </row>
    <row r="236" spans="1:14" x14ac:dyDescent="0.2">
      <c r="A236" s="626">
        <v>20</v>
      </c>
      <c r="B236" s="626">
        <v>20</v>
      </c>
      <c r="C236" s="626">
        <v>1.2809999999999999</v>
      </c>
      <c r="D236" s="626">
        <v>17.437999999999999</v>
      </c>
      <c r="E236" s="626">
        <v>256.33999999999997</v>
      </c>
      <c r="F236" s="626"/>
      <c r="G236" s="626">
        <v>100</v>
      </c>
      <c r="H236" s="626">
        <v>331.58</v>
      </c>
      <c r="I236" s="626">
        <v>12.407</v>
      </c>
      <c r="J236" s="629"/>
      <c r="K236" s="628">
        <f>Table4[[#This Row],[Qty]]*Table4[[#This Row],[Gallon Capacity Per Linear Foot]]</f>
        <v>0</v>
      </c>
      <c r="L236" s="628">
        <f>Table4[[#This Row],[Gallons]]*7.48</f>
        <v>0</v>
      </c>
      <c r="M236" s="628">
        <f>Table4[[#This Row],[Qty]]*Table4[[#This Row],[Weight per Foot]]</f>
        <v>0</v>
      </c>
      <c r="N236" s="628">
        <f>Table4[[#This Row],[Pipe Wt. ]]+Table4[[#This Row],[Fluid Wt. ]]</f>
        <v>0</v>
      </c>
    </row>
    <row r="237" spans="1:14" x14ac:dyDescent="0.2">
      <c r="A237" s="626">
        <v>20</v>
      </c>
      <c r="B237" s="626">
        <v>20</v>
      </c>
      <c r="C237" s="626">
        <v>1.5</v>
      </c>
      <c r="D237" s="626">
        <v>17</v>
      </c>
      <c r="E237" s="626">
        <v>296.64999999999998</v>
      </c>
      <c r="F237" s="626"/>
      <c r="G237" s="626">
        <v>120</v>
      </c>
      <c r="H237" s="626">
        <v>375.51</v>
      </c>
      <c r="I237" s="626">
        <v>11.791</v>
      </c>
      <c r="J237" s="629"/>
      <c r="K237" s="628">
        <f>Table4[[#This Row],[Qty]]*Table4[[#This Row],[Gallon Capacity Per Linear Foot]]</f>
        <v>0</v>
      </c>
      <c r="L237" s="628">
        <f>Table4[[#This Row],[Gallons]]*7.48</f>
        <v>0</v>
      </c>
      <c r="M237" s="628">
        <f>Table4[[#This Row],[Qty]]*Table4[[#This Row],[Weight per Foot]]</f>
        <v>0</v>
      </c>
      <c r="N237" s="628">
        <f>Table4[[#This Row],[Pipe Wt. ]]+Table4[[#This Row],[Fluid Wt. ]]</f>
        <v>0</v>
      </c>
    </row>
    <row r="238" spans="1:14" x14ac:dyDescent="0.2">
      <c r="A238" s="626">
        <v>20</v>
      </c>
      <c r="B238" s="626">
        <v>20</v>
      </c>
      <c r="C238" s="626">
        <v>1.752</v>
      </c>
      <c r="D238" s="626">
        <v>16.52</v>
      </c>
      <c r="E238" s="626">
        <v>341.41</v>
      </c>
      <c r="F238" s="626"/>
      <c r="G238" s="626">
        <v>140</v>
      </c>
      <c r="H238" s="626">
        <v>421.67</v>
      </c>
      <c r="I238" s="626">
        <v>11.108000000000001</v>
      </c>
      <c r="J238" s="629"/>
      <c r="K238" s="628">
        <f>Table4[[#This Row],[Qty]]*Table4[[#This Row],[Gallon Capacity Per Linear Foot]]</f>
        <v>0</v>
      </c>
      <c r="L238" s="628">
        <f>Table4[[#This Row],[Gallons]]*7.48</f>
        <v>0</v>
      </c>
      <c r="M238" s="628">
        <f>Table4[[#This Row],[Qty]]*Table4[[#This Row],[Weight per Foot]]</f>
        <v>0</v>
      </c>
      <c r="N238" s="628">
        <f>Table4[[#This Row],[Pipe Wt. ]]+Table4[[#This Row],[Fluid Wt. ]]</f>
        <v>0</v>
      </c>
    </row>
    <row r="239" spans="1:14" x14ac:dyDescent="0.2">
      <c r="A239" s="626">
        <v>20</v>
      </c>
      <c r="B239" s="626">
        <v>20</v>
      </c>
      <c r="C239" s="626">
        <v>1.968</v>
      </c>
      <c r="D239" s="626">
        <v>16.064</v>
      </c>
      <c r="E239" s="626">
        <v>379.36</v>
      </c>
      <c r="F239" s="626"/>
      <c r="G239" s="626">
        <v>160</v>
      </c>
      <c r="H239" s="626">
        <v>458.63</v>
      </c>
      <c r="I239" s="626">
        <v>10.528</v>
      </c>
      <c r="J239" s="629"/>
      <c r="K239" s="628">
        <f>Table4[[#This Row],[Qty]]*Table4[[#This Row],[Gallon Capacity Per Linear Foot]]</f>
        <v>0</v>
      </c>
      <c r="L239" s="628">
        <f>Table4[[#This Row],[Gallons]]*7.48</f>
        <v>0</v>
      </c>
      <c r="M239" s="628">
        <f>Table4[[#This Row],[Qty]]*Table4[[#This Row],[Weight per Foot]]</f>
        <v>0</v>
      </c>
      <c r="N239" s="628">
        <f>Table4[[#This Row],[Pipe Wt. ]]+Table4[[#This Row],[Fluid Wt. ]]</f>
        <v>0</v>
      </c>
    </row>
    <row r="240" spans="1:14" x14ac:dyDescent="0.2">
      <c r="A240" s="626">
        <v>22</v>
      </c>
      <c r="B240" s="626">
        <v>22</v>
      </c>
      <c r="C240" s="626">
        <v>0.25</v>
      </c>
      <c r="D240" s="626">
        <v>21.5</v>
      </c>
      <c r="E240" s="626">
        <v>58.13</v>
      </c>
      <c r="F240" s="626"/>
      <c r="G240" s="626"/>
      <c r="H240" s="626">
        <v>91.841999999999999</v>
      </c>
      <c r="I240" s="626">
        <v>18.86</v>
      </c>
      <c r="J240" s="629"/>
      <c r="K240" s="628">
        <f>Table4[[#This Row],[Qty]]*Table4[[#This Row],[Gallon Capacity Per Linear Foot]]</f>
        <v>0</v>
      </c>
      <c r="L240" s="628">
        <f>Table4[[#This Row],[Gallons]]*7.48</f>
        <v>0</v>
      </c>
      <c r="M240" s="628">
        <f>Table4[[#This Row],[Qty]]*Table4[[#This Row],[Weight per Foot]]</f>
        <v>0</v>
      </c>
      <c r="N240" s="628">
        <f>Table4[[#This Row],[Pipe Wt. ]]+Table4[[#This Row],[Fluid Wt. ]]</f>
        <v>0</v>
      </c>
    </row>
    <row r="241" spans="1:14" x14ac:dyDescent="0.2">
      <c r="A241" s="626">
        <v>22</v>
      </c>
      <c r="B241" s="626">
        <v>22</v>
      </c>
      <c r="C241" s="626">
        <v>0.28100000000000003</v>
      </c>
      <c r="D241" s="626">
        <v>21.437999999999999</v>
      </c>
      <c r="E241" s="626">
        <v>65.239999999999995</v>
      </c>
      <c r="F241" s="626"/>
      <c r="G241" s="626"/>
      <c r="H241" s="626">
        <v>102.88</v>
      </c>
      <c r="I241" s="626">
        <v>18.75</v>
      </c>
      <c r="J241" s="629"/>
      <c r="K241" s="628">
        <f>Table4[[#This Row],[Qty]]*Table4[[#This Row],[Gallon Capacity Per Linear Foot]]</f>
        <v>0</v>
      </c>
      <c r="L241" s="628">
        <f>Table4[[#This Row],[Gallons]]*7.48</f>
        <v>0</v>
      </c>
      <c r="M241" s="628">
        <f>Table4[[#This Row],[Qty]]*Table4[[#This Row],[Weight per Foot]]</f>
        <v>0</v>
      </c>
      <c r="N241" s="628">
        <f>Table4[[#This Row],[Pipe Wt. ]]+Table4[[#This Row],[Fluid Wt. ]]</f>
        <v>0</v>
      </c>
    </row>
    <row r="242" spans="1:14" x14ac:dyDescent="0.2">
      <c r="A242" s="626">
        <v>22</v>
      </c>
      <c r="B242" s="626">
        <v>22</v>
      </c>
      <c r="C242" s="626">
        <v>0.312</v>
      </c>
      <c r="D242" s="626">
        <v>21.376000000000001</v>
      </c>
      <c r="E242" s="626">
        <v>72.34</v>
      </c>
      <c r="F242" s="626"/>
      <c r="G242" s="626"/>
      <c r="H242" s="626">
        <v>113.82</v>
      </c>
      <c r="I242" s="626">
        <v>18.640999999999998</v>
      </c>
      <c r="J242" s="629"/>
      <c r="K242" s="628">
        <f>Table4[[#This Row],[Qty]]*Table4[[#This Row],[Gallon Capacity Per Linear Foot]]</f>
        <v>0</v>
      </c>
      <c r="L242" s="628">
        <f>Table4[[#This Row],[Gallons]]*7.48</f>
        <v>0</v>
      </c>
      <c r="M242" s="628">
        <f>Table4[[#This Row],[Qty]]*Table4[[#This Row],[Weight per Foot]]</f>
        <v>0</v>
      </c>
      <c r="N242" s="628">
        <f>Table4[[#This Row],[Pipe Wt. ]]+Table4[[#This Row],[Fluid Wt. ]]</f>
        <v>0</v>
      </c>
    </row>
    <row r="243" spans="1:14" x14ac:dyDescent="0.2">
      <c r="A243" s="626">
        <v>22</v>
      </c>
      <c r="B243" s="626">
        <v>22</v>
      </c>
      <c r="C243" s="626">
        <v>0.34399999999999997</v>
      </c>
      <c r="D243" s="626">
        <v>21.312000000000001</v>
      </c>
      <c r="E243" s="626">
        <v>79.64</v>
      </c>
      <c r="F243" s="626"/>
      <c r="G243" s="626"/>
      <c r="H243" s="626">
        <v>124.67</v>
      </c>
      <c r="I243" s="626">
        <v>18.532</v>
      </c>
      <c r="J243" s="629"/>
      <c r="K243" s="628">
        <f>Table4[[#This Row],[Qty]]*Table4[[#This Row],[Gallon Capacity Per Linear Foot]]</f>
        <v>0</v>
      </c>
      <c r="L243" s="628">
        <f>Table4[[#This Row],[Gallons]]*7.48</f>
        <v>0</v>
      </c>
      <c r="M243" s="628">
        <f>Table4[[#This Row],[Qty]]*Table4[[#This Row],[Weight per Foot]]</f>
        <v>0</v>
      </c>
      <c r="N243" s="628">
        <f>Table4[[#This Row],[Pipe Wt. ]]+Table4[[#This Row],[Fluid Wt. ]]</f>
        <v>0</v>
      </c>
    </row>
    <row r="244" spans="1:14" x14ac:dyDescent="0.2">
      <c r="A244" s="626">
        <v>22</v>
      </c>
      <c r="B244" s="626">
        <v>22</v>
      </c>
      <c r="C244" s="626">
        <v>0.375</v>
      </c>
      <c r="D244" s="626">
        <v>21.25</v>
      </c>
      <c r="E244" s="626">
        <v>86.69</v>
      </c>
      <c r="F244" s="626" t="s">
        <v>859</v>
      </c>
      <c r="G244" s="626">
        <v>20</v>
      </c>
      <c r="H244" s="626">
        <v>135.41999999999999</v>
      </c>
      <c r="I244" s="626">
        <v>18.423999999999999</v>
      </c>
      <c r="J244" s="629"/>
      <c r="K244" s="628">
        <f>Table4[[#This Row],[Qty]]*Table4[[#This Row],[Gallon Capacity Per Linear Foot]]</f>
        <v>0</v>
      </c>
      <c r="L244" s="628">
        <f>Table4[[#This Row],[Gallons]]*7.48</f>
        <v>0</v>
      </c>
      <c r="M244" s="628">
        <f>Table4[[#This Row],[Qty]]*Table4[[#This Row],[Weight per Foot]]</f>
        <v>0</v>
      </c>
      <c r="N244" s="628">
        <f>Table4[[#This Row],[Pipe Wt. ]]+Table4[[#This Row],[Fluid Wt. ]]</f>
        <v>0</v>
      </c>
    </row>
    <row r="245" spans="1:14" x14ac:dyDescent="0.2">
      <c r="A245" s="626">
        <v>22</v>
      </c>
      <c r="B245" s="626">
        <v>22</v>
      </c>
      <c r="C245" s="626">
        <v>0.40600000000000003</v>
      </c>
      <c r="D245" s="626">
        <v>21.187999999999999</v>
      </c>
      <c r="E245" s="626">
        <v>93.72</v>
      </c>
      <c r="F245" s="626"/>
      <c r="G245" s="626"/>
      <c r="H245" s="626">
        <v>146.08000000000001</v>
      </c>
      <c r="I245" s="626">
        <v>18.315000000000001</v>
      </c>
      <c r="J245" s="629"/>
      <c r="K245" s="628">
        <f>Table4[[#This Row],[Qty]]*Table4[[#This Row],[Gallon Capacity Per Linear Foot]]</f>
        <v>0</v>
      </c>
      <c r="L245" s="628">
        <f>Table4[[#This Row],[Gallons]]*7.48</f>
        <v>0</v>
      </c>
      <c r="M245" s="628">
        <f>Table4[[#This Row],[Qty]]*Table4[[#This Row],[Weight per Foot]]</f>
        <v>0</v>
      </c>
      <c r="N245" s="628">
        <f>Table4[[#This Row],[Pipe Wt. ]]+Table4[[#This Row],[Fluid Wt. ]]</f>
        <v>0</v>
      </c>
    </row>
    <row r="246" spans="1:14" x14ac:dyDescent="0.2">
      <c r="A246" s="626">
        <v>22</v>
      </c>
      <c r="B246" s="626">
        <v>22</v>
      </c>
      <c r="C246" s="626">
        <v>0.438</v>
      </c>
      <c r="D246" s="626">
        <v>21.123999999999999</v>
      </c>
      <c r="E246" s="626">
        <v>100.96</v>
      </c>
      <c r="F246" s="626"/>
      <c r="G246" s="626"/>
      <c r="H246" s="626">
        <v>156.65</v>
      </c>
      <c r="I246" s="626">
        <v>18.228000000000002</v>
      </c>
      <c r="J246" s="629"/>
      <c r="K246" s="628">
        <f>Table4[[#This Row],[Qty]]*Table4[[#This Row],[Gallon Capacity Per Linear Foot]]</f>
        <v>0</v>
      </c>
      <c r="L246" s="628">
        <f>Table4[[#This Row],[Gallons]]*7.48</f>
        <v>0</v>
      </c>
      <c r="M246" s="628">
        <f>Table4[[#This Row],[Qty]]*Table4[[#This Row],[Weight per Foot]]</f>
        <v>0</v>
      </c>
      <c r="N246" s="628">
        <f>Table4[[#This Row],[Pipe Wt. ]]+Table4[[#This Row],[Fluid Wt. ]]</f>
        <v>0</v>
      </c>
    </row>
    <row r="247" spans="1:14" x14ac:dyDescent="0.2">
      <c r="A247" s="626">
        <v>22</v>
      </c>
      <c r="B247" s="626">
        <v>22</v>
      </c>
      <c r="C247" s="626">
        <v>0.46899999999999997</v>
      </c>
      <c r="D247" s="626">
        <v>21.062000000000001</v>
      </c>
      <c r="E247" s="626">
        <v>107.95</v>
      </c>
      <c r="F247" s="626"/>
      <c r="G247" s="626"/>
      <c r="H247" s="626">
        <v>167.12</v>
      </c>
      <c r="I247" s="626">
        <v>18.100000000000001</v>
      </c>
      <c r="J247" s="629"/>
      <c r="K247" s="628">
        <f>Table4[[#This Row],[Qty]]*Table4[[#This Row],[Gallon Capacity Per Linear Foot]]</f>
        <v>0</v>
      </c>
      <c r="L247" s="628">
        <f>Table4[[#This Row],[Gallons]]*7.48</f>
        <v>0</v>
      </c>
      <c r="M247" s="628">
        <f>Table4[[#This Row],[Qty]]*Table4[[#This Row],[Weight per Foot]]</f>
        <v>0</v>
      </c>
      <c r="N247" s="628">
        <f>Table4[[#This Row],[Pipe Wt. ]]+Table4[[#This Row],[Fluid Wt. ]]</f>
        <v>0</v>
      </c>
    </row>
    <row r="248" spans="1:14" x14ac:dyDescent="0.2">
      <c r="A248" s="626">
        <v>22</v>
      </c>
      <c r="B248" s="626">
        <v>22</v>
      </c>
      <c r="C248" s="626">
        <v>0.5</v>
      </c>
      <c r="D248" s="626">
        <v>21</v>
      </c>
      <c r="E248" s="626">
        <v>114.92</v>
      </c>
      <c r="F248" s="626" t="s">
        <v>857</v>
      </c>
      <c r="G248" s="626">
        <v>30</v>
      </c>
      <c r="H248" s="626">
        <v>177.5</v>
      </c>
      <c r="I248" s="626">
        <v>17.992999999999999</v>
      </c>
      <c r="J248" s="629"/>
      <c r="K248" s="628">
        <f>Table4[[#This Row],[Qty]]*Table4[[#This Row],[Gallon Capacity Per Linear Foot]]</f>
        <v>0</v>
      </c>
      <c r="L248" s="628">
        <f>Table4[[#This Row],[Gallons]]*7.48</f>
        <v>0</v>
      </c>
      <c r="M248" s="628">
        <f>Table4[[#This Row],[Qty]]*Table4[[#This Row],[Weight per Foot]]</f>
        <v>0</v>
      </c>
      <c r="N248" s="628">
        <f>Table4[[#This Row],[Pipe Wt. ]]+Table4[[#This Row],[Fluid Wt. ]]</f>
        <v>0</v>
      </c>
    </row>
    <row r="249" spans="1:14" x14ac:dyDescent="0.2">
      <c r="A249" s="626">
        <v>22</v>
      </c>
      <c r="B249" s="626">
        <v>22</v>
      </c>
      <c r="C249" s="626">
        <v>0.56200000000000006</v>
      </c>
      <c r="D249" s="626">
        <v>20.876000000000001</v>
      </c>
      <c r="E249" s="626">
        <v>128.79</v>
      </c>
      <c r="F249" s="626"/>
      <c r="G249" s="626"/>
      <c r="H249" s="626">
        <v>197.98</v>
      </c>
      <c r="I249" s="626">
        <v>17.779</v>
      </c>
      <c r="J249" s="629"/>
      <c r="K249" s="628">
        <f>Table4[[#This Row],[Qty]]*Table4[[#This Row],[Gallon Capacity Per Linear Foot]]</f>
        <v>0</v>
      </c>
      <c r="L249" s="628">
        <f>Table4[[#This Row],[Gallons]]*7.48</f>
        <v>0</v>
      </c>
      <c r="M249" s="628">
        <f>Table4[[#This Row],[Qty]]*Table4[[#This Row],[Weight per Foot]]</f>
        <v>0</v>
      </c>
      <c r="N249" s="628">
        <f>Table4[[#This Row],[Pipe Wt. ]]+Table4[[#This Row],[Fluid Wt. ]]</f>
        <v>0</v>
      </c>
    </row>
    <row r="250" spans="1:14" x14ac:dyDescent="0.2">
      <c r="A250" s="626">
        <v>22</v>
      </c>
      <c r="B250" s="626">
        <v>22</v>
      </c>
      <c r="C250" s="626">
        <v>0.625</v>
      </c>
      <c r="D250" s="626">
        <v>22.75</v>
      </c>
      <c r="E250" s="626">
        <v>142.81</v>
      </c>
      <c r="F250" s="626"/>
      <c r="G250" s="626"/>
      <c r="H250" s="626">
        <v>218.08</v>
      </c>
      <c r="I250" s="626">
        <v>17.567</v>
      </c>
      <c r="J250" s="629"/>
      <c r="K250" s="628">
        <f>Table4[[#This Row],[Qty]]*Table4[[#This Row],[Gallon Capacity Per Linear Foot]]</f>
        <v>0</v>
      </c>
      <c r="L250" s="628">
        <f>Table4[[#This Row],[Gallons]]*7.48</f>
        <v>0</v>
      </c>
      <c r="M250" s="628">
        <f>Table4[[#This Row],[Qty]]*Table4[[#This Row],[Weight per Foot]]</f>
        <v>0</v>
      </c>
      <c r="N250" s="628">
        <f>Table4[[#This Row],[Pipe Wt. ]]+Table4[[#This Row],[Fluid Wt. ]]</f>
        <v>0</v>
      </c>
    </row>
    <row r="251" spans="1:14" x14ac:dyDescent="0.2">
      <c r="A251" s="626">
        <v>22</v>
      </c>
      <c r="B251" s="626">
        <v>22</v>
      </c>
      <c r="C251" s="626">
        <v>0.68799999999999994</v>
      </c>
      <c r="D251" s="626">
        <v>22.623999999999999</v>
      </c>
      <c r="E251" s="626">
        <v>156.74</v>
      </c>
      <c r="F251" s="626"/>
      <c r="G251" s="626"/>
      <c r="H251" s="626">
        <v>238.06</v>
      </c>
      <c r="I251" s="626">
        <v>17.353999999999999</v>
      </c>
      <c r="J251" s="629"/>
      <c r="K251" s="628">
        <f>Table4[[#This Row],[Qty]]*Table4[[#This Row],[Gallon Capacity Per Linear Foot]]</f>
        <v>0</v>
      </c>
      <c r="L251" s="628">
        <f>Table4[[#This Row],[Gallons]]*7.48</f>
        <v>0</v>
      </c>
      <c r="M251" s="628">
        <f>Table4[[#This Row],[Qty]]*Table4[[#This Row],[Weight per Foot]]</f>
        <v>0</v>
      </c>
      <c r="N251" s="628">
        <f>Table4[[#This Row],[Pipe Wt. ]]+Table4[[#This Row],[Fluid Wt. ]]</f>
        <v>0</v>
      </c>
    </row>
    <row r="252" spans="1:14" x14ac:dyDescent="0.2">
      <c r="A252" s="626">
        <v>22</v>
      </c>
      <c r="B252" s="626">
        <v>22</v>
      </c>
      <c r="C252" s="626">
        <v>0.75</v>
      </c>
      <c r="D252" s="626">
        <v>22.5</v>
      </c>
      <c r="E252" s="626">
        <v>170.37</v>
      </c>
      <c r="F252" s="626"/>
      <c r="G252" s="626"/>
      <c r="H252" s="626">
        <v>257.24</v>
      </c>
      <c r="I252" s="626">
        <v>17.146000000000001</v>
      </c>
      <c r="J252" s="629"/>
      <c r="K252" s="628">
        <f>Table4[[#This Row],[Qty]]*Table4[[#This Row],[Gallon Capacity Per Linear Foot]]</f>
        <v>0</v>
      </c>
      <c r="L252" s="628">
        <f>Table4[[#This Row],[Gallons]]*7.48</f>
        <v>0</v>
      </c>
      <c r="M252" s="628">
        <f>Table4[[#This Row],[Qty]]*Table4[[#This Row],[Weight per Foot]]</f>
        <v>0</v>
      </c>
      <c r="N252" s="628">
        <f>Table4[[#This Row],[Pipe Wt. ]]+Table4[[#This Row],[Fluid Wt. ]]</f>
        <v>0</v>
      </c>
    </row>
    <row r="253" spans="1:14" x14ac:dyDescent="0.2">
      <c r="A253" s="626">
        <v>22</v>
      </c>
      <c r="B253" s="626">
        <v>22</v>
      </c>
      <c r="C253" s="626">
        <v>0.81200000000000006</v>
      </c>
      <c r="D253" s="626">
        <v>20.376000000000001</v>
      </c>
      <c r="E253" s="626">
        <v>183.92</v>
      </c>
      <c r="F253" s="626"/>
      <c r="G253" s="626"/>
      <c r="H253" s="626">
        <v>276.20999999999998</v>
      </c>
      <c r="I253" s="626">
        <v>16.939</v>
      </c>
      <c r="J253" s="629"/>
      <c r="K253" s="628">
        <f>Table4[[#This Row],[Qty]]*Table4[[#This Row],[Gallon Capacity Per Linear Foot]]</f>
        <v>0</v>
      </c>
      <c r="L253" s="628">
        <f>Table4[[#This Row],[Gallons]]*7.48</f>
        <v>0</v>
      </c>
      <c r="M253" s="628">
        <f>Table4[[#This Row],[Qty]]*Table4[[#This Row],[Weight per Foot]]</f>
        <v>0</v>
      </c>
      <c r="N253" s="628">
        <f>Table4[[#This Row],[Pipe Wt. ]]+Table4[[#This Row],[Fluid Wt. ]]</f>
        <v>0</v>
      </c>
    </row>
    <row r="254" spans="1:14" x14ac:dyDescent="0.2">
      <c r="A254" s="626">
        <v>22</v>
      </c>
      <c r="B254" s="626">
        <v>22</v>
      </c>
      <c r="C254" s="626">
        <v>0.875</v>
      </c>
      <c r="D254" s="626">
        <v>22.25</v>
      </c>
      <c r="E254" s="626">
        <v>197.62</v>
      </c>
      <c r="F254" s="626"/>
      <c r="G254" s="626">
        <v>60</v>
      </c>
      <c r="H254" s="626">
        <v>294.99</v>
      </c>
      <c r="I254" s="626">
        <v>16.731000000000002</v>
      </c>
      <c r="J254" s="629"/>
      <c r="K254" s="628">
        <f>Table4[[#This Row],[Qty]]*Table4[[#This Row],[Gallon Capacity Per Linear Foot]]</f>
        <v>0</v>
      </c>
      <c r="L254" s="628">
        <f>Table4[[#This Row],[Gallons]]*7.48</f>
        <v>0</v>
      </c>
      <c r="M254" s="628">
        <f>Table4[[#This Row],[Qty]]*Table4[[#This Row],[Weight per Foot]]</f>
        <v>0</v>
      </c>
      <c r="N254" s="628">
        <f>Table4[[#This Row],[Pipe Wt. ]]+Table4[[#This Row],[Fluid Wt. ]]</f>
        <v>0</v>
      </c>
    </row>
    <row r="255" spans="1:14" x14ac:dyDescent="0.2">
      <c r="A255" s="626">
        <v>22</v>
      </c>
      <c r="B255" s="626">
        <v>22</v>
      </c>
      <c r="C255" s="626">
        <v>1.125</v>
      </c>
      <c r="D255" s="626">
        <v>19.75</v>
      </c>
      <c r="E255" s="626">
        <v>251.05</v>
      </c>
      <c r="F255" s="626"/>
      <c r="G255" s="626">
        <v>80</v>
      </c>
      <c r="H255" s="626">
        <v>366.4</v>
      </c>
      <c r="I255" s="626">
        <v>15.914999999999999</v>
      </c>
      <c r="J255" s="629"/>
      <c r="K255" s="628">
        <f>Table4[[#This Row],[Qty]]*Table4[[#This Row],[Gallon Capacity Per Linear Foot]]</f>
        <v>0</v>
      </c>
      <c r="L255" s="628">
        <f>Table4[[#This Row],[Gallons]]*7.48</f>
        <v>0</v>
      </c>
      <c r="M255" s="628">
        <f>Table4[[#This Row],[Qty]]*Table4[[#This Row],[Weight per Foot]]</f>
        <v>0</v>
      </c>
      <c r="N255" s="628">
        <f>Table4[[#This Row],[Pipe Wt. ]]+Table4[[#This Row],[Fluid Wt. ]]</f>
        <v>0</v>
      </c>
    </row>
    <row r="256" spans="1:14" x14ac:dyDescent="0.2">
      <c r="A256" s="626">
        <v>22</v>
      </c>
      <c r="B256" s="626">
        <v>22</v>
      </c>
      <c r="C256" s="626">
        <v>1.252</v>
      </c>
      <c r="D256" s="626">
        <v>19.5</v>
      </c>
      <c r="E256" s="626">
        <v>277.27</v>
      </c>
      <c r="F256" s="626"/>
      <c r="G256" s="626">
        <v>100</v>
      </c>
      <c r="H256" s="626">
        <v>400.13</v>
      </c>
      <c r="I256" s="626">
        <v>15.513999999999999</v>
      </c>
      <c r="J256" s="629"/>
      <c r="K256" s="628">
        <f>Table4[[#This Row],[Qty]]*Table4[[#This Row],[Gallon Capacity Per Linear Foot]]</f>
        <v>0</v>
      </c>
      <c r="L256" s="628">
        <f>Table4[[#This Row],[Gallons]]*7.48</f>
        <v>0</v>
      </c>
      <c r="M256" s="628">
        <f>Table4[[#This Row],[Qty]]*Table4[[#This Row],[Weight per Foot]]</f>
        <v>0</v>
      </c>
      <c r="N256" s="628">
        <f>Table4[[#This Row],[Pipe Wt. ]]+Table4[[#This Row],[Fluid Wt. ]]</f>
        <v>0</v>
      </c>
    </row>
    <row r="257" spans="1:14" x14ac:dyDescent="0.2">
      <c r="A257" s="626">
        <v>22</v>
      </c>
      <c r="B257" s="626">
        <v>22</v>
      </c>
      <c r="C257" s="626">
        <v>1.625</v>
      </c>
      <c r="D257" s="626">
        <v>18.75</v>
      </c>
      <c r="E257" s="626">
        <v>353.94</v>
      </c>
      <c r="F257" s="626"/>
      <c r="G257" s="626">
        <v>120</v>
      </c>
      <c r="H257" s="626">
        <v>493.94</v>
      </c>
      <c r="I257" s="626">
        <v>14.343999999999999</v>
      </c>
      <c r="J257" s="629"/>
      <c r="K257" s="628">
        <f>Table4[[#This Row],[Qty]]*Table4[[#This Row],[Gallon Capacity Per Linear Foot]]</f>
        <v>0</v>
      </c>
      <c r="L257" s="628">
        <f>Table4[[#This Row],[Gallons]]*7.48</f>
        <v>0</v>
      </c>
      <c r="M257" s="628">
        <f>Table4[[#This Row],[Qty]]*Table4[[#This Row],[Weight per Foot]]</f>
        <v>0</v>
      </c>
      <c r="N257" s="628">
        <f>Table4[[#This Row],[Pipe Wt. ]]+Table4[[#This Row],[Fluid Wt. ]]</f>
        <v>0</v>
      </c>
    </row>
    <row r="258" spans="1:14" x14ac:dyDescent="0.2">
      <c r="A258" s="626">
        <v>22</v>
      </c>
      <c r="B258" s="626">
        <v>22</v>
      </c>
      <c r="C258" s="626">
        <v>1.875</v>
      </c>
      <c r="D258" s="626">
        <v>18.25</v>
      </c>
      <c r="E258" s="626">
        <v>403.38</v>
      </c>
      <c r="F258" s="626"/>
      <c r="G258" s="626">
        <v>140</v>
      </c>
      <c r="H258" s="626">
        <v>550.47</v>
      </c>
      <c r="I258" s="626">
        <v>13.589</v>
      </c>
      <c r="J258" s="629"/>
      <c r="K258" s="628">
        <f>Table4[[#This Row],[Qty]]*Table4[[#This Row],[Gallon Capacity Per Linear Foot]]</f>
        <v>0</v>
      </c>
      <c r="L258" s="628">
        <f>Table4[[#This Row],[Gallons]]*7.48</f>
        <v>0</v>
      </c>
      <c r="M258" s="628">
        <f>Table4[[#This Row],[Qty]]*Table4[[#This Row],[Weight per Foot]]</f>
        <v>0</v>
      </c>
      <c r="N258" s="628">
        <f>Table4[[#This Row],[Pipe Wt. ]]+Table4[[#This Row],[Fluid Wt. ]]</f>
        <v>0</v>
      </c>
    </row>
    <row r="259" spans="1:14" x14ac:dyDescent="0.2">
      <c r="A259" s="626">
        <v>22</v>
      </c>
      <c r="B259" s="626">
        <v>22</v>
      </c>
      <c r="C259" s="626">
        <v>2.125</v>
      </c>
      <c r="D259" s="626">
        <v>17.75</v>
      </c>
      <c r="E259" s="626">
        <v>451.49</v>
      </c>
      <c r="F259" s="626"/>
      <c r="G259" s="626">
        <v>160</v>
      </c>
      <c r="H259" s="626">
        <v>602.54999999999995</v>
      </c>
      <c r="I259" s="626">
        <v>12.855</v>
      </c>
      <c r="J259" s="629"/>
      <c r="K259" s="628">
        <f>Table4[[#This Row],[Qty]]*Table4[[#This Row],[Gallon Capacity Per Linear Foot]]</f>
        <v>0</v>
      </c>
      <c r="L259" s="628">
        <f>Table4[[#This Row],[Gallons]]*7.48</f>
        <v>0</v>
      </c>
      <c r="M259" s="628">
        <f>Table4[[#This Row],[Qty]]*Table4[[#This Row],[Weight per Foot]]</f>
        <v>0</v>
      </c>
      <c r="N259" s="628">
        <f>Table4[[#This Row],[Pipe Wt. ]]+Table4[[#This Row],[Fluid Wt. ]]</f>
        <v>0</v>
      </c>
    </row>
    <row r="260" spans="1:14" x14ac:dyDescent="0.2">
      <c r="A260" s="626">
        <v>24</v>
      </c>
      <c r="B260" s="626">
        <v>24</v>
      </c>
      <c r="C260" s="626">
        <v>0.25</v>
      </c>
      <c r="D260" s="626">
        <v>23.5</v>
      </c>
      <c r="E260" s="626">
        <v>63.47</v>
      </c>
      <c r="F260" s="626"/>
      <c r="G260" s="626"/>
      <c r="H260" s="626">
        <v>109.64</v>
      </c>
      <c r="I260" s="626">
        <v>22.532</v>
      </c>
      <c r="J260" s="629"/>
      <c r="K260" s="628">
        <f>Table4[[#This Row],[Qty]]*Table4[[#This Row],[Gallon Capacity Per Linear Foot]]</f>
        <v>0</v>
      </c>
      <c r="L260" s="628">
        <f>Table4[[#This Row],[Gallons]]*7.48</f>
        <v>0</v>
      </c>
      <c r="M260" s="628">
        <f>Table4[[#This Row],[Qty]]*Table4[[#This Row],[Weight per Foot]]</f>
        <v>0</v>
      </c>
      <c r="N260" s="628">
        <f>Table4[[#This Row],[Pipe Wt. ]]+Table4[[#This Row],[Fluid Wt. ]]</f>
        <v>0</v>
      </c>
    </row>
    <row r="261" spans="1:14" x14ac:dyDescent="0.2">
      <c r="A261" s="626">
        <v>24</v>
      </c>
      <c r="B261" s="626">
        <v>24</v>
      </c>
      <c r="C261" s="626">
        <v>0.28100000000000003</v>
      </c>
      <c r="D261" s="626">
        <v>23.437999999999999</v>
      </c>
      <c r="E261" s="626">
        <v>71.25</v>
      </c>
      <c r="F261" s="626"/>
      <c r="G261" s="626"/>
      <c r="H261" s="626">
        <v>122.75700000000001</v>
      </c>
      <c r="I261" s="626">
        <v>22.413</v>
      </c>
      <c r="J261" s="629"/>
      <c r="K261" s="628">
        <f>Table4[[#This Row],[Qty]]*Table4[[#This Row],[Gallon Capacity Per Linear Foot]]</f>
        <v>0</v>
      </c>
      <c r="L261" s="628">
        <f>Table4[[#This Row],[Gallons]]*7.48</f>
        <v>0</v>
      </c>
      <c r="M261" s="628">
        <f>Table4[[#This Row],[Qty]]*Table4[[#This Row],[Weight per Foot]]</f>
        <v>0</v>
      </c>
      <c r="N261" s="628">
        <f>Table4[[#This Row],[Pipe Wt. ]]+Table4[[#This Row],[Fluid Wt. ]]</f>
        <v>0</v>
      </c>
    </row>
    <row r="262" spans="1:14" x14ac:dyDescent="0.2">
      <c r="A262" s="626">
        <v>24</v>
      </c>
      <c r="B262" s="626">
        <v>24</v>
      </c>
      <c r="C262" s="626">
        <v>0.312</v>
      </c>
      <c r="D262" s="626">
        <v>23.376000000000001</v>
      </c>
      <c r="E262" s="626">
        <v>79.010000000000005</v>
      </c>
      <c r="F262" s="626"/>
      <c r="G262" s="626"/>
      <c r="H262" s="626">
        <v>135.77099999999999</v>
      </c>
      <c r="I262" s="626">
        <v>22.295000000000002</v>
      </c>
      <c r="J262" s="629"/>
      <c r="K262" s="628">
        <f>Table4[[#This Row],[Qty]]*Table4[[#This Row],[Gallon Capacity Per Linear Foot]]</f>
        <v>0</v>
      </c>
      <c r="L262" s="628">
        <f>Table4[[#This Row],[Gallons]]*7.48</f>
        <v>0</v>
      </c>
      <c r="M262" s="628">
        <f>Table4[[#This Row],[Qty]]*Table4[[#This Row],[Weight per Foot]]</f>
        <v>0</v>
      </c>
      <c r="N262" s="628">
        <f>Table4[[#This Row],[Pipe Wt. ]]+Table4[[#This Row],[Fluid Wt. ]]</f>
        <v>0</v>
      </c>
    </row>
    <row r="263" spans="1:14" x14ac:dyDescent="0.2">
      <c r="A263" s="626">
        <v>24</v>
      </c>
      <c r="B263" s="626">
        <v>24</v>
      </c>
      <c r="C263" s="626">
        <v>0.34399999999999997</v>
      </c>
      <c r="D263" s="626">
        <v>23.312000000000001</v>
      </c>
      <c r="E263" s="626">
        <v>86.99</v>
      </c>
      <c r="F263" s="626"/>
      <c r="G263" s="626"/>
      <c r="H263" s="626">
        <v>149.096</v>
      </c>
      <c r="I263" s="626">
        <v>22.172999999999998</v>
      </c>
      <c r="J263" s="629"/>
      <c r="K263" s="628">
        <f>Table4[[#This Row],[Qty]]*Table4[[#This Row],[Gallon Capacity Per Linear Foot]]</f>
        <v>0</v>
      </c>
      <c r="L263" s="628">
        <f>Table4[[#This Row],[Gallons]]*7.48</f>
        <v>0</v>
      </c>
      <c r="M263" s="628">
        <f>Table4[[#This Row],[Qty]]*Table4[[#This Row],[Weight per Foot]]</f>
        <v>0</v>
      </c>
      <c r="N263" s="628">
        <f>Table4[[#This Row],[Pipe Wt. ]]+Table4[[#This Row],[Fluid Wt. ]]</f>
        <v>0</v>
      </c>
    </row>
    <row r="264" spans="1:14" x14ac:dyDescent="0.2">
      <c r="A264" s="626">
        <v>24</v>
      </c>
      <c r="B264" s="626">
        <v>24</v>
      </c>
      <c r="C264" s="626">
        <v>0.375</v>
      </c>
      <c r="D264" s="626">
        <v>23.25</v>
      </c>
      <c r="E264" s="626">
        <v>94.71</v>
      </c>
      <c r="F264" s="626" t="s">
        <v>859</v>
      </c>
      <c r="G264" s="626">
        <v>20</v>
      </c>
      <c r="H264" s="626">
        <v>161.899</v>
      </c>
      <c r="I264" s="626">
        <v>22.055</v>
      </c>
      <c r="J264" s="629"/>
      <c r="K264" s="628">
        <f>Table4[[#This Row],[Qty]]*Table4[[#This Row],[Gallon Capacity Per Linear Foot]]</f>
        <v>0</v>
      </c>
      <c r="L264" s="628">
        <f>Table4[[#This Row],[Gallons]]*7.48</f>
        <v>0</v>
      </c>
      <c r="M264" s="628">
        <f>Table4[[#This Row],[Qty]]*Table4[[#This Row],[Weight per Foot]]</f>
        <v>0</v>
      </c>
      <c r="N264" s="628">
        <f>Table4[[#This Row],[Pipe Wt. ]]+Table4[[#This Row],[Fluid Wt. ]]</f>
        <v>0</v>
      </c>
    </row>
    <row r="265" spans="1:14" x14ac:dyDescent="0.2">
      <c r="A265" s="626">
        <v>24</v>
      </c>
      <c r="B265" s="626">
        <v>24</v>
      </c>
      <c r="C265" s="626">
        <v>0.40600000000000003</v>
      </c>
      <c r="D265" s="626">
        <v>23.187999999999999</v>
      </c>
      <c r="E265" s="626">
        <v>102.4</v>
      </c>
      <c r="F265" s="626"/>
      <c r="G265" s="626"/>
      <c r="H265" s="626">
        <v>174.60300000000001</v>
      </c>
      <c r="I265" s="626">
        <v>21.937000000000001</v>
      </c>
      <c r="J265" s="629"/>
      <c r="K265" s="628">
        <f>Table4[[#This Row],[Qty]]*Table4[[#This Row],[Gallon Capacity Per Linear Foot]]</f>
        <v>0</v>
      </c>
      <c r="L265" s="628">
        <f>Table4[[#This Row],[Gallons]]*7.48</f>
        <v>0</v>
      </c>
      <c r="M265" s="628">
        <f>Table4[[#This Row],[Qty]]*Table4[[#This Row],[Weight per Foot]]</f>
        <v>0</v>
      </c>
      <c r="N265" s="628">
        <f>Table4[[#This Row],[Pipe Wt. ]]+Table4[[#This Row],[Fluid Wt. ]]</f>
        <v>0</v>
      </c>
    </row>
    <row r="266" spans="1:14" x14ac:dyDescent="0.2">
      <c r="A266" s="626">
        <v>24</v>
      </c>
      <c r="B266" s="626">
        <v>24</v>
      </c>
      <c r="C266" s="626">
        <v>0.438</v>
      </c>
      <c r="D266" s="626">
        <v>23.123999999999999</v>
      </c>
      <c r="E266" s="626">
        <v>110.32</v>
      </c>
      <c r="F266" s="626"/>
      <c r="G266" s="626"/>
      <c r="H266" s="626">
        <v>187.60900000000001</v>
      </c>
      <c r="I266" s="626">
        <v>21.815999999999999</v>
      </c>
      <c r="J266" s="629"/>
      <c r="K266" s="628">
        <f>Table4[[#This Row],[Qty]]*Table4[[#This Row],[Gallon Capacity Per Linear Foot]]</f>
        <v>0</v>
      </c>
      <c r="L266" s="628">
        <f>Table4[[#This Row],[Gallons]]*7.48</f>
        <v>0</v>
      </c>
      <c r="M266" s="628">
        <f>Table4[[#This Row],[Qty]]*Table4[[#This Row],[Weight per Foot]]</f>
        <v>0</v>
      </c>
      <c r="N266" s="628">
        <f>Table4[[#This Row],[Pipe Wt. ]]+Table4[[#This Row],[Fluid Wt. ]]</f>
        <v>0</v>
      </c>
    </row>
    <row r="267" spans="1:14" x14ac:dyDescent="0.2">
      <c r="A267" s="626">
        <v>24</v>
      </c>
      <c r="B267" s="626">
        <v>24</v>
      </c>
      <c r="C267" s="626">
        <v>0.46899999999999997</v>
      </c>
      <c r="D267" s="626">
        <v>23.062000000000001</v>
      </c>
      <c r="E267" s="626">
        <v>117.98</v>
      </c>
      <c r="F267" s="626"/>
      <c r="G267" s="626"/>
      <c r="H267" s="626">
        <v>200.10400000000001</v>
      </c>
      <c r="I267" s="626">
        <v>21.7</v>
      </c>
      <c r="J267" s="629"/>
      <c r="K267" s="628">
        <f>Table4[[#This Row],[Qty]]*Table4[[#This Row],[Gallon Capacity Per Linear Foot]]</f>
        <v>0</v>
      </c>
      <c r="L267" s="628">
        <f>Table4[[#This Row],[Gallons]]*7.48</f>
        <v>0</v>
      </c>
      <c r="M267" s="628">
        <f>Table4[[#This Row],[Qty]]*Table4[[#This Row],[Weight per Foot]]</f>
        <v>0</v>
      </c>
      <c r="N267" s="628">
        <f>Table4[[#This Row],[Pipe Wt. ]]+Table4[[#This Row],[Fluid Wt. ]]</f>
        <v>0</v>
      </c>
    </row>
    <row r="268" spans="1:14" x14ac:dyDescent="0.2">
      <c r="A268" s="626">
        <v>24</v>
      </c>
      <c r="B268" s="626">
        <v>24</v>
      </c>
      <c r="C268" s="626">
        <v>0.5</v>
      </c>
      <c r="D268" s="626">
        <v>23</v>
      </c>
      <c r="E268" s="626">
        <v>125.61</v>
      </c>
      <c r="F268" s="626" t="s">
        <v>857</v>
      </c>
      <c r="G268" s="626"/>
      <c r="H268" s="626">
        <v>212.501</v>
      </c>
      <c r="I268" s="626">
        <v>21.582999999999998</v>
      </c>
      <c r="J268" s="629"/>
      <c r="K268" s="628">
        <f>Table4[[#This Row],[Qty]]*Table4[[#This Row],[Gallon Capacity Per Linear Foot]]</f>
        <v>0</v>
      </c>
      <c r="L268" s="628">
        <f>Table4[[#This Row],[Gallons]]*7.48</f>
        <v>0</v>
      </c>
      <c r="M268" s="628">
        <f>Table4[[#This Row],[Qty]]*Table4[[#This Row],[Weight per Foot]]</f>
        <v>0</v>
      </c>
      <c r="N268" s="628">
        <f>Table4[[#This Row],[Pipe Wt. ]]+Table4[[#This Row],[Fluid Wt. ]]</f>
        <v>0</v>
      </c>
    </row>
    <row r="269" spans="1:14" x14ac:dyDescent="0.2">
      <c r="A269" s="626">
        <v>24</v>
      </c>
      <c r="B269" s="626">
        <v>24</v>
      </c>
      <c r="C269" s="626">
        <v>0.56200000000000006</v>
      </c>
      <c r="D269" s="626">
        <v>22.876000000000001</v>
      </c>
      <c r="E269" s="626">
        <v>140.81</v>
      </c>
      <c r="F269" s="626"/>
      <c r="G269" s="626">
        <v>30</v>
      </c>
      <c r="H269" s="626">
        <v>236.995</v>
      </c>
      <c r="I269" s="626">
        <v>21.350999999999999</v>
      </c>
      <c r="J269" s="629"/>
      <c r="K269" s="628">
        <f>Table4[[#This Row],[Qty]]*Table4[[#This Row],[Gallon Capacity Per Linear Foot]]</f>
        <v>0</v>
      </c>
      <c r="L269" s="628">
        <f>Table4[[#This Row],[Gallons]]*7.48</f>
        <v>0</v>
      </c>
      <c r="M269" s="628">
        <f>Table4[[#This Row],[Qty]]*Table4[[#This Row],[Weight per Foot]]</f>
        <v>0</v>
      </c>
      <c r="N269" s="628">
        <f>Table4[[#This Row],[Pipe Wt. ]]+Table4[[#This Row],[Fluid Wt. ]]</f>
        <v>0</v>
      </c>
    </row>
    <row r="270" spans="1:14" x14ac:dyDescent="0.2">
      <c r="A270" s="626">
        <v>24</v>
      </c>
      <c r="B270" s="626">
        <v>24</v>
      </c>
      <c r="C270" s="626">
        <v>0.625</v>
      </c>
      <c r="D270" s="626">
        <v>22.75</v>
      </c>
      <c r="E270" s="626">
        <v>156.16999999999999</v>
      </c>
      <c r="F270" s="626"/>
      <c r="G270" s="626"/>
      <c r="H270" s="626">
        <v>261.47699999999998</v>
      </c>
      <c r="I270" s="626">
        <v>21.117000000000001</v>
      </c>
      <c r="J270" s="629"/>
      <c r="K270" s="628">
        <f>Table4[[#This Row],[Qty]]*Table4[[#This Row],[Gallon Capacity Per Linear Foot]]</f>
        <v>0</v>
      </c>
      <c r="L270" s="628">
        <f>Table4[[#This Row],[Gallons]]*7.48</f>
        <v>0</v>
      </c>
      <c r="M270" s="628">
        <f>Table4[[#This Row],[Qty]]*Table4[[#This Row],[Weight per Foot]]</f>
        <v>0</v>
      </c>
      <c r="N270" s="628">
        <f>Table4[[#This Row],[Pipe Wt. ]]+Table4[[#This Row],[Fluid Wt. ]]</f>
        <v>0</v>
      </c>
    </row>
    <row r="271" spans="1:14" x14ac:dyDescent="0.2">
      <c r="A271" s="626">
        <v>24</v>
      </c>
      <c r="B271" s="626">
        <v>24</v>
      </c>
      <c r="C271" s="626">
        <v>0.68799999999999994</v>
      </c>
      <c r="D271" s="626">
        <v>22.623999999999999</v>
      </c>
      <c r="E271" s="626">
        <v>171.45</v>
      </c>
      <c r="F271" s="626"/>
      <c r="G271" s="626">
        <v>40</v>
      </c>
      <c r="H271" s="626">
        <v>285.56</v>
      </c>
      <c r="I271" s="626">
        <v>22.882999999999999</v>
      </c>
      <c r="J271" s="629"/>
      <c r="K271" s="628">
        <f>Table4[[#This Row],[Qty]]*Table4[[#This Row],[Gallon Capacity Per Linear Foot]]</f>
        <v>0</v>
      </c>
      <c r="L271" s="628">
        <f>Table4[[#This Row],[Gallons]]*7.48</f>
        <v>0</v>
      </c>
      <c r="M271" s="628">
        <f>Table4[[#This Row],[Qty]]*Table4[[#This Row],[Weight per Foot]]</f>
        <v>0</v>
      </c>
      <c r="N271" s="628">
        <f>Table4[[#This Row],[Pipe Wt. ]]+Table4[[#This Row],[Fluid Wt. ]]</f>
        <v>0</v>
      </c>
    </row>
    <row r="272" spans="1:14" x14ac:dyDescent="0.2">
      <c r="A272" s="626">
        <v>24</v>
      </c>
      <c r="B272" s="626">
        <v>24</v>
      </c>
      <c r="C272" s="626">
        <v>0.75</v>
      </c>
      <c r="D272" s="626">
        <v>22.5</v>
      </c>
      <c r="E272" s="626">
        <v>186.41</v>
      </c>
      <c r="F272" s="626"/>
      <c r="G272" s="626"/>
      <c r="H272" s="626">
        <v>308.86700000000002</v>
      </c>
      <c r="I272" s="626">
        <v>20.655000000000001</v>
      </c>
      <c r="J272" s="629"/>
      <c r="K272" s="628">
        <f>Table4[[#This Row],[Qty]]*Table4[[#This Row],[Gallon Capacity Per Linear Foot]]</f>
        <v>0</v>
      </c>
      <c r="L272" s="628">
        <f>Table4[[#This Row],[Gallons]]*7.48</f>
        <v>0</v>
      </c>
      <c r="M272" s="628">
        <f>Table4[[#This Row],[Qty]]*Table4[[#This Row],[Weight per Foot]]</f>
        <v>0</v>
      </c>
      <c r="N272" s="628">
        <f>Table4[[#This Row],[Pipe Wt. ]]+Table4[[#This Row],[Fluid Wt. ]]</f>
        <v>0</v>
      </c>
    </row>
    <row r="273" spans="1:14" x14ac:dyDescent="0.2">
      <c r="A273" s="626">
        <v>24</v>
      </c>
      <c r="B273" s="626">
        <v>24</v>
      </c>
      <c r="C273" s="626">
        <v>0.81200000000000006</v>
      </c>
      <c r="D273" s="626">
        <v>22.376000000000001</v>
      </c>
      <c r="E273" s="626">
        <v>201.28</v>
      </c>
      <c r="F273" s="626"/>
      <c r="G273" s="626"/>
      <c r="H273" s="626">
        <v>331.79500000000002</v>
      </c>
      <c r="I273" s="626">
        <v>20.428000000000001</v>
      </c>
      <c r="J273" s="629"/>
      <c r="K273" s="628">
        <f>Table4[[#This Row],[Qty]]*Table4[[#This Row],[Gallon Capacity Per Linear Foot]]</f>
        <v>0</v>
      </c>
      <c r="L273" s="628">
        <f>Table4[[#This Row],[Gallons]]*7.48</f>
        <v>0</v>
      </c>
      <c r="M273" s="628">
        <f>Table4[[#This Row],[Qty]]*Table4[[#This Row],[Weight per Foot]]</f>
        <v>0</v>
      </c>
      <c r="N273" s="628">
        <f>Table4[[#This Row],[Pipe Wt. ]]+Table4[[#This Row],[Fluid Wt. ]]</f>
        <v>0</v>
      </c>
    </row>
    <row r="274" spans="1:14" x14ac:dyDescent="0.2">
      <c r="A274" s="626">
        <v>24</v>
      </c>
      <c r="B274" s="626">
        <v>24</v>
      </c>
      <c r="C274" s="626">
        <v>0.875</v>
      </c>
      <c r="D274" s="626">
        <v>22.25</v>
      </c>
      <c r="E274" s="626">
        <v>216.31</v>
      </c>
      <c r="F274" s="626"/>
      <c r="G274" s="626"/>
      <c r="H274" s="626">
        <v>354.702</v>
      </c>
      <c r="I274" s="626">
        <v>20.199000000000002</v>
      </c>
      <c r="J274" s="629"/>
      <c r="K274" s="628">
        <f>Table4[[#This Row],[Qty]]*Table4[[#This Row],[Gallon Capacity Per Linear Foot]]</f>
        <v>0</v>
      </c>
      <c r="L274" s="628">
        <f>Table4[[#This Row],[Gallons]]*7.48</f>
        <v>0</v>
      </c>
      <c r="M274" s="628">
        <f>Table4[[#This Row],[Qty]]*Table4[[#This Row],[Weight per Foot]]</f>
        <v>0</v>
      </c>
      <c r="N274" s="628">
        <f>Table4[[#This Row],[Pipe Wt. ]]+Table4[[#This Row],[Fluid Wt. ]]</f>
        <v>0</v>
      </c>
    </row>
    <row r="275" spans="1:14" x14ac:dyDescent="0.2">
      <c r="A275" s="626">
        <v>24</v>
      </c>
      <c r="B275" s="626">
        <v>24</v>
      </c>
      <c r="C275" s="626">
        <v>0.93799999999999994</v>
      </c>
      <c r="D275" s="626">
        <v>22.123999999999999</v>
      </c>
      <c r="E275" s="626">
        <v>231.25</v>
      </c>
      <c r="F275" s="626"/>
      <c r="G275" s="626"/>
      <c r="H275" s="626">
        <v>377.22699999999998</v>
      </c>
      <c r="I275" s="626">
        <v>19.97</v>
      </c>
      <c r="J275" s="629"/>
      <c r="K275" s="628">
        <f>Table4[[#This Row],[Qty]]*Table4[[#This Row],[Gallon Capacity Per Linear Foot]]</f>
        <v>0</v>
      </c>
      <c r="L275" s="628">
        <f>Table4[[#This Row],[Gallons]]*7.48</f>
        <v>0</v>
      </c>
      <c r="M275" s="628">
        <f>Table4[[#This Row],[Qty]]*Table4[[#This Row],[Weight per Foot]]</f>
        <v>0</v>
      </c>
      <c r="N275" s="628">
        <f>Table4[[#This Row],[Pipe Wt. ]]+Table4[[#This Row],[Fluid Wt. ]]</f>
        <v>0</v>
      </c>
    </row>
    <row r="276" spans="1:14" x14ac:dyDescent="0.2">
      <c r="A276" s="626">
        <v>24</v>
      </c>
      <c r="B276" s="626">
        <v>24</v>
      </c>
      <c r="C276" s="626">
        <v>0.96899999999999997</v>
      </c>
      <c r="D276" s="626">
        <v>22.062000000000001</v>
      </c>
      <c r="E276" s="626">
        <v>238.57</v>
      </c>
      <c r="F276" s="626"/>
      <c r="G276" s="626">
        <v>60</v>
      </c>
      <c r="H276" s="626">
        <v>388.16800000000001</v>
      </c>
      <c r="I276" s="626">
        <v>19.859000000000002</v>
      </c>
      <c r="J276" s="629"/>
      <c r="K276" s="628">
        <f>Table4[[#This Row],[Qty]]*Table4[[#This Row],[Gallon Capacity Per Linear Foot]]</f>
        <v>0</v>
      </c>
      <c r="L276" s="628">
        <f>Table4[[#This Row],[Gallons]]*7.48</f>
        <v>0</v>
      </c>
      <c r="M276" s="628">
        <f>Table4[[#This Row],[Qty]]*Table4[[#This Row],[Weight per Foot]]</f>
        <v>0</v>
      </c>
      <c r="N276" s="628">
        <f>Table4[[#This Row],[Pipe Wt. ]]+Table4[[#This Row],[Fluid Wt. ]]</f>
        <v>0</v>
      </c>
    </row>
    <row r="277" spans="1:14" x14ac:dyDescent="0.2">
      <c r="A277" s="626">
        <v>24</v>
      </c>
      <c r="B277" s="626">
        <v>24</v>
      </c>
      <c r="C277" s="626">
        <v>1.2190000000000001</v>
      </c>
      <c r="D277" s="626">
        <v>21.562000000000001</v>
      </c>
      <c r="E277" s="626">
        <v>296.86</v>
      </c>
      <c r="F277" s="626"/>
      <c r="G277" s="626">
        <v>80</v>
      </c>
      <c r="H277" s="626">
        <v>473.101</v>
      </c>
      <c r="I277" s="626">
        <v>18.969000000000001</v>
      </c>
      <c r="J277" s="629"/>
      <c r="K277" s="628">
        <f>Table4[[#This Row],[Qty]]*Table4[[#This Row],[Gallon Capacity Per Linear Foot]]</f>
        <v>0</v>
      </c>
      <c r="L277" s="628">
        <f>Table4[[#This Row],[Gallons]]*7.48</f>
        <v>0</v>
      </c>
      <c r="M277" s="628">
        <f>Table4[[#This Row],[Qty]]*Table4[[#This Row],[Weight per Foot]]</f>
        <v>0</v>
      </c>
      <c r="N277" s="628">
        <f>Table4[[#This Row],[Pipe Wt. ]]+Table4[[#This Row],[Fluid Wt. ]]</f>
        <v>0</v>
      </c>
    </row>
    <row r="278" spans="1:14" x14ac:dyDescent="0.2">
      <c r="A278" s="626">
        <v>24</v>
      </c>
      <c r="B278" s="626">
        <v>24</v>
      </c>
      <c r="C278" s="626">
        <v>1.5309999999999999</v>
      </c>
      <c r="D278" s="626">
        <v>20.937999999999999</v>
      </c>
      <c r="E278" s="626">
        <v>367.74</v>
      </c>
      <c r="F278" s="626"/>
      <c r="G278" s="626">
        <v>100</v>
      </c>
      <c r="H278" s="626">
        <v>571.12099999999998</v>
      </c>
      <c r="I278" s="626">
        <v>17.887</v>
      </c>
      <c r="J278" s="629"/>
      <c r="K278" s="628">
        <f>Table4[[#This Row],[Qty]]*Table4[[#This Row],[Gallon Capacity Per Linear Foot]]</f>
        <v>0</v>
      </c>
      <c r="L278" s="628">
        <f>Table4[[#This Row],[Gallons]]*7.48</f>
        <v>0</v>
      </c>
      <c r="M278" s="628">
        <f>Table4[[#This Row],[Qty]]*Table4[[#This Row],[Weight per Foot]]</f>
        <v>0</v>
      </c>
      <c r="N278" s="628">
        <f>Table4[[#This Row],[Pipe Wt. ]]+Table4[[#This Row],[Fluid Wt. ]]</f>
        <v>0</v>
      </c>
    </row>
    <row r="279" spans="1:14" x14ac:dyDescent="0.2">
      <c r="A279" s="626">
        <v>24</v>
      </c>
      <c r="B279" s="626">
        <v>24</v>
      </c>
      <c r="C279" s="626">
        <v>1.8120000000000001</v>
      </c>
      <c r="D279" s="626">
        <v>20.376000000000001</v>
      </c>
      <c r="E279" s="626">
        <v>429.79</v>
      </c>
      <c r="F279" s="626"/>
      <c r="G279" s="626">
        <v>120</v>
      </c>
      <c r="H279" s="626">
        <v>652.21400000000006</v>
      </c>
      <c r="I279" s="626">
        <v>16.939</v>
      </c>
      <c r="J279" s="629"/>
      <c r="K279" s="628">
        <f>Table4[[#This Row],[Qty]]*Table4[[#This Row],[Gallon Capacity Per Linear Foot]]</f>
        <v>0</v>
      </c>
      <c r="L279" s="628">
        <f>Table4[[#This Row],[Gallons]]*7.48</f>
        <v>0</v>
      </c>
      <c r="M279" s="628">
        <f>Table4[[#This Row],[Qty]]*Table4[[#This Row],[Weight per Foot]]</f>
        <v>0</v>
      </c>
      <c r="N279" s="628">
        <f>Table4[[#This Row],[Pipe Wt. ]]+Table4[[#This Row],[Fluid Wt. ]]</f>
        <v>0</v>
      </c>
    </row>
    <row r="280" spans="1:14" x14ac:dyDescent="0.2">
      <c r="A280" s="626">
        <v>24</v>
      </c>
      <c r="B280" s="626">
        <v>24</v>
      </c>
      <c r="C280" s="626">
        <v>2.0619999999999998</v>
      </c>
      <c r="D280" s="626">
        <v>19.876000000000001</v>
      </c>
      <c r="E280" s="626">
        <v>483.57</v>
      </c>
      <c r="F280" s="626"/>
      <c r="G280" s="626">
        <v>140</v>
      </c>
      <c r="H280" s="626">
        <v>718.93600000000004</v>
      </c>
      <c r="I280" s="626">
        <v>16.117999999999999</v>
      </c>
      <c r="J280" s="629"/>
      <c r="K280" s="628">
        <f>Table4[[#This Row],[Qty]]*Table4[[#This Row],[Gallon Capacity Per Linear Foot]]</f>
        <v>0</v>
      </c>
      <c r="L280" s="628">
        <f>Table4[[#This Row],[Gallons]]*7.48</f>
        <v>0</v>
      </c>
      <c r="M280" s="628">
        <f>Table4[[#This Row],[Qty]]*Table4[[#This Row],[Weight per Foot]]</f>
        <v>0</v>
      </c>
      <c r="N280" s="628">
        <f>Table4[[#This Row],[Pipe Wt. ]]+Table4[[#This Row],[Fluid Wt. ]]</f>
        <v>0</v>
      </c>
    </row>
    <row r="281" spans="1:14" x14ac:dyDescent="0.2">
      <c r="A281" s="626"/>
      <c r="B281" s="626"/>
      <c r="C281" s="626">
        <v>2.343</v>
      </c>
      <c r="D281" s="626">
        <v>19.314</v>
      </c>
      <c r="E281" s="626">
        <v>542.44000000000005</v>
      </c>
      <c r="F281" s="626"/>
      <c r="G281" s="626">
        <v>160</v>
      </c>
      <c r="H281" s="626">
        <v>788.15300000000002</v>
      </c>
      <c r="I281" s="626">
        <v>15.22</v>
      </c>
      <c r="J281" s="629"/>
      <c r="K281" s="628">
        <f>Table4[[#This Row],[Qty]]*Table4[[#This Row],[Gallon Capacity Per Linear Foot]]</f>
        <v>0</v>
      </c>
      <c r="L281" s="628">
        <f>Table4[[#This Row],[Gallons]]*7.48</f>
        <v>0</v>
      </c>
      <c r="M281" s="628">
        <f>Table4[[#This Row],[Qty]]*Table4[[#This Row],[Weight per Foot]]</f>
        <v>0</v>
      </c>
      <c r="N281" s="628">
        <f>Table4[[#This Row],[Pipe Wt. ]]+Table4[[#This Row],[Fluid Wt. ]]</f>
        <v>0</v>
      </c>
    </row>
    <row r="282" spans="1:14" x14ac:dyDescent="0.2">
      <c r="A282" s="626">
        <v>26</v>
      </c>
      <c r="B282" s="626">
        <v>26</v>
      </c>
      <c r="C282" s="626">
        <v>0.25</v>
      </c>
      <c r="D282" s="626">
        <v>25.5</v>
      </c>
      <c r="E282" s="626">
        <v>68.819999999999993</v>
      </c>
      <c r="F282" s="626"/>
      <c r="G282" s="626"/>
      <c r="H282" s="626">
        <v>128.98500000000001</v>
      </c>
      <c r="I282" s="626">
        <v>26.53</v>
      </c>
      <c r="J282" s="629"/>
      <c r="K282" s="628">
        <f>Table4[[#This Row],[Qty]]*Table4[[#This Row],[Gallon Capacity Per Linear Foot]]</f>
        <v>0</v>
      </c>
      <c r="L282" s="628">
        <f>Table4[[#This Row],[Gallons]]*7.48</f>
        <v>0</v>
      </c>
      <c r="M282" s="628">
        <f>Table4[[#This Row],[Qty]]*Table4[[#This Row],[Weight per Foot]]</f>
        <v>0</v>
      </c>
      <c r="N282" s="628">
        <f>Table4[[#This Row],[Pipe Wt. ]]+Table4[[#This Row],[Fluid Wt. ]]</f>
        <v>0</v>
      </c>
    </row>
    <row r="283" spans="1:14" x14ac:dyDescent="0.2">
      <c r="A283" s="626">
        <v>26</v>
      </c>
      <c r="B283" s="626">
        <v>26</v>
      </c>
      <c r="C283" s="626">
        <v>0.28100000000000003</v>
      </c>
      <c r="D283" s="626">
        <v>25.437999999999999</v>
      </c>
      <c r="E283" s="626">
        <v>77.260000000000005</v>
      </c>
      <c r="F283" s="626"/>
      <c r="G283" s="626"/>
      <c r="H283" s="626">
        <v>144.46</v>
      </c>
      <c r="I283" s="626">
        <v>26.401</v>
      </c>
      <c r="J283" s="629"/>
      <c r="K283" s="628">
        <f>Table4[[#This Row],[Qty]]*Table4[[#This Row],[Gallon Capacity Per Linear Foot]]</f>
        <v>0</v>
      </c>
      <c r="L283" s="628">
        <f>Table4[[#This Row],[Gallons]]*7.48</f>
        <v>0</v>
      </c>
      <c r="M283" s="628">
        <f>Table4[[#This Row],[Qty]]*Table4[[#This Row],[Weight per Foot]]</f>
        <v>0</v>
      </c>
      <c r="N283" s="628">
        <f>Table4[[#This Row],[Pipe Wt. ]]+Table4[[#This Row],[Fluid Wt. ]]</f>
        <v>0</v>
      </c>
    </row>
    <row r="284" spans="1:14" x14ac:dyDescent="0.2">
      <c r="A284" s="626">
        <v>26</v>
      </c>
      <c r="B284" s="626">
        <v>26</v>
      </c>
      <c r="C284" s="626">
        <v>0.312</v>
      </c>
      <c r="D284" s="626">
        <v>25.376000000000001</v>
      </c>
      <c r="E284" s="626">
        <v>85.68</v>
      </c>
      <c r="F284" s="626"/>
      <c r="G284" s="626">
        <v>10</v>
      </c>
      <c r="H284" s="626">
        <v>159.82300000000001</v>
      </c>
      <c r="I284" s="626">
        <v>26.273</v>
      </c>
      <c r="J284" s="629"/>
      <c r="K284" s="628">
        <f>Table4[[#This Row],[Qty]]*Table4[[#This Row],[Gallon Capacity Per Linear Foot]]</f>
        <v>0</v>
      </c>
      <c r="L284" s="628">
        <f>Table4[[#This Row],[Gallons]]*7.48</f>
        <v>0</v>
      </c>
      <c r="M284" s="628">
        <f>Table4[[#This Row],[Qty]]*Table4[[#This Row],[Weight per Foot]]</f>
        <v>0</v>
      </c>
      <c r="N284" s="628">
        <f>Table4[[#This Row],[Pipe Wt. ]]+Table4[[#This Row],[Fluid Wt. ]]</f>
        <v>0</v>
      </c>
    </row>
    <row r="285" spans="1:14" x14ac:dyDescent="0.2">
      <c r="A285" s="626">
        <v>26</v>
      </c>
      <c r="B285" s="626">
        <v>26</v>
      </c>
      <c r="C285" s="626">
        <v>0.34399999999999997</v>
      </c>
      <c r="D285" s="626">
        <v>25.312000000000001</v>
      </c>
      <c r="E285" s="626">
        <v>94.35</v>
      </c>
      <c r="F285" s="626"/>
      <c r="G285" s="626"/>
      <c r="H285" s="626">
        <v>175.56299999999999</v>
      </c>
      <c r="I285" s="626">
        <v>26.14</v>
      </c>
      <c r="J285" s="629"/>
      <c r="K285" s="628">
        <f>Table4[[#This Row],[Qty]]*Table4[[#This Row],[Gallon Capacity Per Linear Foot]]</f>
        <v>0</v>
      </c>
      <c r="L285" s="628">
        <f>Table4[[#This Row],[Gallons]]*7.48</f>
        <v>0</v>
      </c>
      <c r="M285" s="628">
        <f>Table4[[#This Row],[Qty]]*Table4[[#This Row],[Weight per Foot]]</f>
        <v>0</v>
      </c>
      <c r="N285" s="628">
        <f>Table4[[#This Row],[Pipe Wt. ]]+Table4[[#This Row],[Fluid Wt. ]]</f>
        <v>0</v>
      </c>
    </row>
    <row r="286" spans="1:14" x14ac:dyDescent="0.2">
      <c r="A286" s="626">
        <v>26</v>
      </c>
      <c r="B286" s="626">
        <v>26</v>
      </c>
      <c r="C286" s="626">
        <v>0.375</v>
      </c>
      <c r="D286" s="626">
        <v>25.25</v>
      </c>
      <c r="E286" s="626">
        <v>102.72</v>
      </c>
      <c r="F286" s="626" t="s">
        <v>859</v>
      </c>
      <c r="G286" s="626"/>
      <c r="H286" s="626">
        <v>190.696</v>
      </c>
      <c r="I286" s="626">
        <v>26.013000000000002</v>
      </c>
      <c r="J286" s="629"/>
      <c r="K286" s="628">
        <f>Table4[[#This Row],[Qty]]*Table4[[#This Row],[Gallon Capacity Per Linear Foot]]</f>
        <v>0</v>
      </c>
      <c r="L286" s="628">
        <f>Table4[[#This Row],[Gallons]]*7.48</f>
        <v>0</v>
      </c>
      <c r="M286" s="628">
        <f>Table4[[#This Row],[Qty]]*Table4[[#This Row],[Weight per Foot]]</f>
        <v>0</v>
      </c>
      <c r="N286" s="628">
        <f>Table4[[#This Row],[Pipe Wt. ]]+Table4[[#This Row],[Fluid Wt. ]]</f>
        <v>0</v>
      </c>
    </row>
    <row r="287" spans="1:14" x14ac:dyDescent="0.2">
      <c r="A287" s="626">
        <v>26</v>
      </c>
      <c r="B287" s="626">
        <v>26</v>
      </c>
      <c r="C287" s="626">
        <v>0.40600000000000003</v>
      </c>
      <c r="D287" s="626">
        <v>25.187999999999999</v>
      </c>
      <c r="E287" s="626">
        <v>111.08</v>
      </c>
      <c r="F287" s="626"/>
      <c r="G287" s="626"/>
      <c r="H287" s="626">
        <v>205.721</v>
      </c>
      <c r="I287" s="626">
        <v>25.885000000000002</v>
      </c>
      <c r="J287" s="629"/>
      <c r="K287" s="628">
        <f>Table4[[#This Row],[Qty]]*Table4[[#This Row],[Gallon Capacity Per Linear Foot]]</f>
        <v>0</v>
      </c>
      <c r="L287" s="628">
        <f>Table4[[#This Row],[Gallons]]*7.48</f>
        <v>0</v>
      </c>
      <c r="M287" s="628">
        <f>Table4[[#This Row],[Qty]]*Table4[[#This Row],[Weight per Foot]]</f>
        <v>0</v>
      </c>
      <c r="N287" s="628">
        <f>Table4[[#This Row],[Pipe Wt. ]]+Table4[[#This Row],[Fluid Wt. ]]</f>
        <v>0</v>
      </c>
    </row>
    <row r="288" spans="1:14" x14ac:dyDescent="0.2">
      <c r="A288" s="626">
        <v>26</v>
      </c>
      <c r="B288" s="626">
        <v>26</v>
      </c>
      <c r="C288" s="626">
        <v>0.438</v>
      </c>
      <c r="D288" s="626">
        <v>25.120999999999999</v>
      </c>
      <c r="E288" s="626">
        <v>119.69</v>
      </c>
      <c r="F288" s="626"/>
      <c r="G288" s="626"/>
      <c r="H288" s="626">
        <v>221.114</v>
      </c>
      <c r="I288" s="626">
        <v>25.754000000000001</v>
      </c>
      <c r="J288" s="629"/>
      <c r="K288" s="628">
        <f>Table4[[#This Row],[Qty]]*Table4[[#This Row],[Gallon Capacity Per Linear Foot]]</f>
        <v>0</v>
      </c>
      <c r="L288" s="628">
        <f>Table4[[#This Row],[Gallons]]*7.48</f>
        <v>0</v>
      </c>
      <c r="M288" s="628">
        <f>Table4[[#This Row],[Qty]]*Table4[[#This Row],[Weight per Foot]]</f>
        <v>0</v>
      </c>
      <c r="N288" s="628">
        <f>Table4[[#This Row],[Pipe Wt. ]]+Table4[[#This Row],[Fluid Wt. ]]</f>
        <v>0</v>
      </c>
    </row>
    <row r="289" spans="1:14" x14ac:dyDescent="0.2">
      <c r="A289" s="626">
        <v>26</v>
      </c>
      <c r="B289" s="626">
        <v>26</v>
      </c>
      <c r="C289" s="626">
        <v>0.46899999999999997</v>
      </c>
      <c r="D289" s="626">
        <v>25.062000000000001</v>
      </c>
      <c r="E289" s="626">
        <v>128</v>
      </c>
      <c r="F289" s="626"/>
      <c r="G289" s="626"/>
      <c r="H289" s="626">
        <v>235.91200000000001</v>
      </c>
      <c r="I289" s="626">
        <v>25.626999999999999</v>
      </c>
      <c r="J289" s="629"/>
      <c r="K289" s="628">
        <f>Table4[[#This Row],[Qty]]*Table4[[#This Row],[Gallon Capacity Per Linear Foot]]</f>
        <v>0</v>
      </c>
      <c r="L289" s="628">
        <f>Table4[[#This Row],[Gallons]]*7.48</f>
        <v>0</v>
      </c>
      <c r="M289" s="628">
        <f>Table4[[#This Row],[Qty]]*Table4[[#This Row],[Weight per Foot]]</f>
        <v>0</v>
      </c>
      <c r="N289" s="628">
        <f>Table4[[#This Row],[Pipe Wt. ]]+Table4[[#This Row],[Fluid Wt. ]]</f>
        <v>0</v>
      </c>
    </row>
    <row r="290" spans="1:14" x14ac:dyDescent="0.2">
      <c r="A290" s="626">
        <v>26</v>
      </c>
      <c r="B290" s="626">
        <v>26</v>
      </c>
      <c r="C290" s="626">
        <v>0.5</v>
      </c>
      <c r="D290" s="626">
        <v>25</v>
      </c>
      <c r="E290" s="626">
        <v>136.30000000000001</v>
      </c>
      <c r="F290" s="626" t="s">
        <v>857</v>
      </c>
      <c r="G290" s="626">
        <v>20</v>
      </c>
      <c r="H290" s="626">
        <v>250.60300000000001</v>
      </c>
      <c r="I290" s="626">
        <v>25.5</v>
      </c>
      <c r="J290" s="629"/>
      <c r="K290" s="628">
        <f>Table4[[#This Row],[Qty]]*Table4[[#This Row],[Gallon Capacity Per Linear Foot]]</f>
        <v>0</v>
      </c>
      <c r="L290" s="628">
        <f>Table4[[#This Row],[Gallons]]*7.48</f>
        <v>0</v>
      </c>
      <c r="M290" s="628">
        <f>Table4[[#This Row],[Qty]]*Table4[[#This Row],[Weight per Foot]]</f>
        <v>0</v>
      </c>
      <c r="N290" s="628">
        <f>Table4[[#This Row],[Pipe Wt. ]]+Table4[[#This Row],[Fluid Wt. ]]</f>
        <v>0</v>
      </c>
    </row>
    <row r="291" spans="1:14" x14ac:dyDescent="0.2">
      <c r="A291" s="626">
        <v>26</v>
      </c>
      <c r="B291" s="626">
        <v>26</v>
      </c>
      <c r="C291" s="626">
        <v>0.56200000000000006</v>
      </c>
      <c r="D291" s="626">
        <v>24.876000000000001</v>
      </c>
      <c r="E291" s="626">
        <v>152.83000000000001</v>
      </c>
      <c r="F291" s="626"/>
      <c r="G291" s="626"/>
      <c r="H291" s="626">
        <v>279.65800000000002</v>
      </c>
      <c r="I291" s="626">
        <v>25.248000000000001</v>
      </c>
      <c r="J291" s="629"/>
      <c r="K291" s="628">
        <f>Table4[[#This Row],[Qty]]*Table4[[#This Row],[Gallon Capacity Per Linear Foot]]</f>
        <v>0</v>
      </c>
      <c r="L291" s="628">
        <f>Table4[[#This Row],[Gallons]]*7.48</f>
        <v>0</v>
      </c>
      <c r="M291" s="628">
        <f>Table4[[#This Row],[Qty]]*Table4[[#This Row],[Weight per Foot]]</f>
        <v>0</v>
      </c>
      <c r="N291" s="628">
        <f>Table4[[#This Row],[Pipe Wt. ]]+Table4[[#This Row],[Fluid Wt. ]]</f>
        <v>0</v>
      </c>
    </row>
    <row r="292" spans="1:14" x14ac:dyDescent="0.2">
      <c r="A292" s="626">
        <v>26</v>
      </c>
      <c r="B292" s="626">
        <v>26</v>
      </c>
      <c r="C292" s="626">
        <v>0.625</v>
      </c>
      <c r="D292" s="626">
        <v>24.75</v>
      </c>
      <c r="E292" s="626">
        <v>169.54</v>
      </c>
      <c r="F292" s="626"/>
      <c r="G292" s="626"/>
      <c r="H292" s="626">
        <v>308.73700000000002</v>
      </c>
      <c r="I292" s="626">
        <v>24.992999999999999</v>
      </c>
      <c r="J292" s="629"/>
      <c r="K292" s="628">
        <f>Table4[[#This Row],[Qty]]*Table4[[#This Row],[Gallon Capacity Per Linear Foot]]</f>
        <v>0</v>
      </c>
      <c r="L292" s="628">
        <f>Table4[[#This Row],[Gallons]]*7.48</f>
        <v>0</v>
      </c>
      <c r="M292" s="628">
        <f>Table4[[#This Row],[Qty]]*Table4[[#This Row],[Weight per Foot]]</f>
        <v>0</v>
      </c>
      <c r="N292" s="628">
        <f>Table4[[#This Row],[Pipe Wt. ]]+Table4[[#This Row],[Fluid Wt. ]]</f>
        <v>0</v>
      </c>
    </row>
    <row r="293" spans="1:14" x14ac:dyDescent="0.2">
      <c r="A293" s="626">
        <v>26</v>
      </c>
      <c r="B293" s="626">
        <v>26</v>
      </c>
      <c r="C293" s="626">
        <v>0.65600000000000003</v>
      </c>
      <c r="D293" s="626">
        <v>24.687999999999999</v>
      </c>
      <c r="E293" s="626">
        <v>177.73</v>
      </c>
      <c r="F293" s="626"/>
      <c r="G293" s="626"/>
      <c r="H293" s="626">
        <v>322.88600000000002</v>
      </c>
      <c r="I293" s="626">
        <v>24.867000000000001</v>
      </c>
      <c r="J293" s="629"/>
      <c r="K293" s="628">
        <f>Table4[[#This Row],[Qty]]*Table4[[#This Row],[Gallon Capacity Per Linear Foot]]</f>
        <v>0</v>
      </c>
      <c r="L293" s="628">
        <f>Table4[[#This Row],[Gallons]]*7.48</f>
        <v>0</v>
      </c>
      <c r="M293" s="628">
        <f>Table4[[#This Row],[Qty]]*Table4[[#This Row],[Weight per Foot]]</f>
        <v>0</v>
      </c>
      <c r="N293" s="628">
        <f>Table4[[#This Row],[Pipe Wt. ]]+Table4[[#This Row],[Fluid Wt. ]]</f>
        <v>0</v>
      </c>
    </row>
    <row r="294" spans="1:14" x14ac:dyDescent="0.2">
      <c r="A294" s="626">
        <v>26</v>
      </c>
      <c r="B294" s="626">
        <v>26</v>
      </c>
      <c r="C294" s="626">
        <v>0.68799999999999994</v>
      </c>
      <c r="D294" s="626">
        <v>24.623999999999999</v>
      </c>
      <c r="E294" s="626">
        <v>186.16</v>
      </c>
      <c r="F294" s="626"/>
      <c r="G294" s="626"/>
      <c r="H294" s="626">
        <v>337.37900000000002</v>
      </c>
      <c r="I294" s="626">
        <v>24.739000000000001</v>
      </c>
      <c r="J294" s="629"/>
      <c r="K294" s="628">
        <f>Table4[[#This Row],[Qty]]*Table4[[#This Row],[Gallon Capacity Per Linear Foot]]</f>
        <v>0</v>
      </c>
      <c r="L294" s="628">
        <f>Table4[[#This Row],[Gallons]]*7.48</f>
        <v>0</v>
      </c>
      <c r="M294" s="628">
        <f>Table4[[#This Row],[Qty]]*Table4[[#This Row],[Weight per Foot]]</f>
        <v>0</v>
      </c>
      <c r="N294" s="628">
        <f>Table4[[#This Row],[Pipe Wt. ]]+Table4[[#This Row],[Fluid Wt. ]]</f>
        <v>0</v>
      </c>
    </row>
    <row r="295" spans="1:14" x14ac:dyDescent="0.2">
      <c r="A295" s="626">
        <v>26</v>
      </c>
      <c r="B295" s="626">
        <v>26</v>
      </c>
      <c r="C295" s="626">
        <v>0.75</v>
      </c>
      <c r="D295" s="626">
        <v>24.5</v>
      </c>
      <c r="E295" s="626">
        <v>202.14</v>
      </c>
      <c r="F295" s="626"/>
      <c r="G295" s="626"/>
      <c r="H295" s="626">
        <v>365.13799999999998</v>
      </c>
      <c r="I295" s="626">
        <v>24.49</v>
      </c>
      <c r="J295" s="629"/>
      <c r="K295" s="628">
        <f>Table4[[#This Row],[Qty]]*Table4[[#This Row],[Gallon Capacity Per Linear Foot]]</f>
        <v>0</v>
      </c>
      <c r="L295" s="628">
        <f>Table4[[#This Row],[Gallons]]*7.48</f>
        <v>0</v>
      </c>
      <c r="M295" s="628">
        <f>Table4[[#This Row],[Qty]]*Table4[[#This Row],[Weight per Foot]]</f>
        <v>0</v>
      </c>
      <c r="N295" s="628">
        <f>Table4[[#This Row],[Pipe Wt. ]]+Table4[[#This Row],[Fluid Wt. ]]</f>
        <v>0</v>
      </c>
    </row>
    <row r="296" spans="1:14" x14ac:dyDescent="0.2">
      <c r="A296" s="626">
        <v>26</v>
      </c>
      <c r="B296" s="626">
        <v>26</v>
      </c>
      <c r="C296" s="626">
        <v>0.93799999999999994</v>
      </c>
      <c r="D296" s="626">
        <v>24.123999999999999</v>
      </c>
      <c r="E296" s="626">
        <v>251.3</v>
      </c>
      <c r="F296" s="626"/>
      <c r="G296" s="626"/>
      <c r="H296" s="626">
        <v>446.77300000000002</v>
      </c>
      <c r="I296" s="626">
        <v>23.744</v>
      </c>
      <c r="J296" s="629"/>
      <c r="K296" s="628">
        <f>Table4[[#This Row],[Qty]]*Table4[[#This Row],[Gallon Capacity Per Linear Foot]]</f>
        <v>0</v>
      </c>
      <c r="L296" s="628">
        <f>Table4[[#This Row],[Gallons]]*7.48</f>
        <v>0</v>
      </c>
      <c r="M296" s="628">
        <f>Table4[[#This Row],[Qty]]*Table4[[#This Row],[Weight per Foot]]</f>
        <v>0</v>
      </c>
      <c r="N296" s="628">
        <f>Table4[[#This Row],[Pipe Wt. ]]+Table4[[#This Row],[Fluid Wt. ]]</f>
        <v>0</v>
      </c>
    </row>
    <row r="297" spans="1:14" x14ac:dyDescent="0.2">
      <c r="A297" s="626">
        <v>28</v>
      </c>
      <c r="B297" s="626">
        <v>28</v>
      </c>
      <c r="C297" s="626">
        <v>0.25</v>
      </c>
      <c r="D297" s="626">
        <v>27.5</v>
      </c>
      <c r="E297" s="626">
        <v>74.16</v>
      </c>
      <c r="F297" s="626"/>
      <c r="G297" s="626"/>
      <c r="H297" s="626">
        <v>149.90199999999999</v>
      </c>
      <c r="I297" s="626">
        <v>30.855</v>
      </c>
      <c r="J297" s="629"/>
      <c r="K297" s="628">
        <f>Table4[[#This Row],[Qty]]*Table4[[#This Row],[Gallon Capacity Per Linear Foot]]</f>
        <v>0</v>
      </c>
      <c r="L297" s="628">
        <f>Table4[[#This Row],[Gallons]]*7.48</f>
        <v>0</v>
      </c>
      <c r="M297" s="628">
        <f>Table4[[#This Row],[Qty]]*Table4[[#This Row],[Weight per Foot]]</f>
        <v>0</v>
      </c>
      <c r="N297" s="628">
        <f>Table4[[#This Row],[Pipe Wt. ]]+Table4[[#This Row],[Fluid Wt. ]]</f>
        <v>0</v>
      </c>
    </row>
    <row r="298" spans="1:14" x14ac:dyDescent="0.2">
      <c r="A298" s="626">
        <v>28</v>
      </c>
      <c r="B298" s="626">
        <v>28</v>
      </c>
      <c r="C298" s="626">
        <v>0.28100000000000003</v>
      </c>
      <c r="D298" s="626">
        <v>27.437999999999999</v>
      </c>
      <c r="E298" s="626">
        <v>83.26</v>
      </c>
      <c r="F298" s="626"/>
      <c r="G298" s="626"/>
      <c r="H298" s="626">
        <v>167.929</v>
      </c>
      <c r="I298" s="626">
        <v>30.716000000000001</v>
      </c>
      <c r="J298" s="629"/>
      <c r="K298" s="628">
        <f>Table4[[#This Row],[Qty]]*Table4[[#This Row],[Gallon Capacity Per Linear Foot]]</f>
        <v>0</v>
      </c>
      <c r="L298" s="628">
        <f>Table4[[#This Row],[Gallons]]*7.48</f>
        <v>0</v>
      </c>
      <c r="M298" s="628">
        <f>Table4[[#This Row],[Qty]]*Table4[[#This Row],[Weight per Foot]]</f>
        <v>0</v>
      </c>
      <c r="N298" s="628">
        <f>Table4[[#This Row],[Pipe Wt. ]]+Table4[[#This Row],[Fluid Wt. ]]</f>
        <v>0</v>
      </c>
    </row>
    <row r="299" spans="1:14" x14ac:dyDescent="0.2">
      <c r="A299" s="626">
        <v>28</v>
      </c>
      <c r="B299" s="626">
        <v>28</v>
      </c>
      <c r="C299" s="626">
        <v>0.312</v>
      </c>
      <c r="D299" s="626">
        <v>27.376000000000001</v>
      </c>
      <c r="E299" s="626">
        <v>92.35</v>
      </c>
      <c r="F299" s="626"/>
      <c r="G299" s="626">
        <v>10</v>
      </c>
      <c r="H299" s="626">
        <v>185.83600000000001</v>
      </c>
      <c r="I299" s="626">
        <v>30.577000000000002</v>
      </c>
      <c r="J299" s="629"/>
      <c r="K299" s="628">
        <f>Table4[[#This Row],[Qty]]*Table4[[#This Row],[Gallon Capacity Per Linear Foot]]</f>
        <v>0</v>
      </c>
      <c r="L299" s="628">
        <f>Table4[[#This Row],[Gallons]]*7.48</f>
        <v>0</v>
      </c>
      <c r="M299" s="628">
        <f>Table4[[#This Row],[Qty]]*Table4[[#This Row],[Weight per Foot]]</f>
        <v>0</v>
      </c>
      <c r="N299" s="628">
        <f>Table4[[#This Row],[Pipe Wt. ]]+Table4[[#This Row],[Fluid Wt. ]]</f>
        <v>0</v>
      </c>
    </row>
    <row r="300" spans="1:14" x14ac:dyDescent="0.2">
      <c r="A300" s="626">
        <v>28</v>
      </c>
      <c r="B300" s="626">
        <v>28</v>
      </c>
      <c r="C300" s="626">
        <v>0.34399999999999997</v>
      </c>
      <c r="D300" s="626">
        <v>27.312000000000001</v>
      </c>
      <c r="E300" s="626">
        <v>101.7</v>
      </c>
      <c r="F300" s="626"/>
      <c r="G300" s="626"/>
      <c r="H300" s="626">
        <v>204.19200000000001</v>
      </c>
      <c r="I300" s="626">
        <v>30.434000000000001</v>
      </c>
      <c r="J300" s="629"/>
      <c r="K300" s="628">
        <f>Table4[[#This Row],[Qty]]*Table4[[#This Row],[Gallon Capacity Per Linear Foot]]</f>
        <v>0</v>
      </c>
      <c r="L300" s="628">
        <f>Table4[[#This Row],[Gallons]]*7.48</f>
        <v>0</v>
      </c>
      <c r="M300" s="628">
        <f>Table4[[#This Row],[Qty]]*Table4[[#This Row],[Weight per Foot]]</f>
        <v>0</v>
      </c>
      <c r="N300" s="628">
        <f>Table4[[#This Row],[Pipe Wt. ]]+Table4[[#This Row],[Fluid Wt. ]]</f>
        <v>0</v>
      </c>
    </row>
    <row r="301" spans="1:14" x14ac:dyDescent="0.2">
      <c r="A301" s="626">
        <v>28</v>
      </c>
      <c r="B301" s="626">
        <v>28</v>
      </c>
      <c r="C301" s="626">
        <v>0.375</v>
      </c>
      <c r="D301" s="626">
        <v>27.25</v>
      </c>
      <c r="E301" s="626">
        <v>110.71</v>
      </c>
      <c r="F301" s="626" t="s">
        <v>859</v>
      </c>
      <c r="G301" s="626"/>
      <c r="H301" s="626">
        <v>221.65</v>
      </c>
      <c r="I301" s="626">
        <v>30.295999999999999</v>
      </c>
      <c r="J301" s="629"/>
      <c r="K301" s="628">
        <f>Table4[[#This Row],[Qty]]*Table4[[#This Row],[Gallon Capacity Per Linear Foot]]</f>
        <v>0</v>
      </c>
      <c r="L301" s="628">
        <f>Table4[[#This Row],[Gallons]]*7.48</f>
        <v>0</v>
      </c>
      <c r="M301" s="628">
        <f>Table4[[#This Row],[Qty]]*Table4[[#This Row],[Weight per Foot]]</f>
        <v>0</v>
      </c>
      <c r="N301" s="628">
        <f>Table4[[#This Row],[Pipe Wt. ]]+Table4[[#This Row],[Fluid Wt. ]]</f>
        <v>0</v>
      </c>
    </row>
    <row r="302" spans="1:14" x14ac:dyDescent="0.2">
      <c r="A302" s="626">
        <v>28</v>
      </c>
      <c r="B302" s="626">
        <v>28</v>
      </c>
      <c r="C302" s="626">
        <v>0.40600000000000003</v>
      </c>
      <c r="D302" s="626">
        <v>27.187999999999999</v>
      </c>
      <c r="E302" s="626">
        <v>119.76</v>
      </c>
      <c r="F302" s="626"/>
      <c r="G302" s="626"/>
      <c r="H302" s="626">
        <v>239.392</v>
      </c>
      <c r="I302" s="626">
        <v>30.158999999999999</v>
      </c>
      <c r="J302" s="629"/>
      <c r="K302" s="628">
        <f>Table4[[#This Row],[Qty]]*Table4[[#This Row],[Gallon Capacity Per Linear Foot]]</f>
        <v>0</v>
      </c>
      <c r="L302" s="628">
        <f>Table4[[#This Row],[Gallons]]*7.48</f>
        <v>0</v>
      </c>
      <c r="M302" s="628">
        <f>Table4[[#This Row],[Qty]]*Table4[[#This Row],[Weight per Foot]]</f>
        <v>0</v>
      </c>
      <c r="N302" s="628">
        <f>Table4[[#This Row],[Pipe Wt. ]]+Table4[[#This Row],[Fluid Wt. ]]</f>
        <v>0</v>
      </c>
    </row>
    <row r="303" spans="1:14" x14ac:dyDescent="0.2">
      <c r="A303" s="626">
        <v>28</v>
      </c>
      <c r="B303" s="626">
        <v>28</v>
      </c>
      <c r="C303" s="626">
        <v>0.438</v>
      </c>
      <c r="D303" s="626">
        <v>27.123999999999999</v>
      </c>
      <c r="E303" s="626">
        <v>129.05000000000001</v>
      </c>
      <c r="F303" s="626"/>
      <c r="G303" s="626"/>
      <c r="H303" s="626">
        <v>257.37200000000001</v>
      </c>
      <c r="I303" s="626">
        <v>30.016999999999999</v>
      </c>
      <c r="J303" s="629"/>
      <c r="K303" s="628">
        <f>Table4[[#This Row],[Qty]]*Table4[[#This Row],[Gallon Capacity Per Linear Foot]]</f>
        <v>0</v>
      </c>
      <c r="L303" s="628">
        <f>Table4[[#This Row],[Gallons]]*7.48</f>
        <v>0</v>
      </c>
      <c r="M303" s="628">
        <f>Table4[[#This Row],[Qty]]*Table4[[#This Row],[Weight per Foot]]</f>
        <v>0</v>
      </c>
      <c r="N303" s="628">
        <f>Table4[[#This Row],[Pipe Wt. ]]+Table4[[#This Row],[Fluid Wt. ]]</f>
        <v>0</v>
      </c>
    </row>
    <row r="304" spans="1:14" x14ac:dyDescent="0.2">
      <c r="A304" s="626">
        <v>28</v>
      </c>
      <c r="B304" s="626">
        <v>28</v>
      </c>
      <c r="C304" s="626">
        <v>0.46899999999999997</v>
      </c>
      <c r="D304" s="626">
        <v>27.062000000000001</v>
      </c>
      <c r="E304" s="626">
        <v>138.03</v>
      </c>
      <c r="F304" s="626"/>
      <c r="G304" s="626"/>
      <c r="H304" s="626">
        <v>274.66800000000001</v>
      </c>
      <c r="I304" s="626">
        <v>29.88</v>
      </c>
      <c r="J304" s="629"/>
      <c r="K304" s="628">
        <f>Table4[[#This Row],[Qty]]*Table4[[#This Row],[Gallon Capacity Per Linear Foot]]</f>
        <v>0</v>
      </c>
      <c r="L304" s="628">
        <f>Table4[[#This Row],[Gallons]]*7.48</f>
        <v>0</v>
      </c>
      <c r="M304" s="628">
        <f>Table4[[#This Row],[Qty]]*Table4[[#This Row],[Weight per Foot]]</f>
        <v>0</v>
      </c>
      <c r="N304" s="628">
        <f>Table4[[#This Row],[Pipe Wt. ]]+Table4[[#This Row],[Fluid Wt. ]]</f>
        <v>0</v>
      </c>
    </row>
    <row r="305" spans="1:14" x14ac:dyDescent="0.2">
      <c r="A305" s="626">
        <v>28</v>
      </c>
      <c r="B305" s="626">
        <v>28</v>
      </c>
      <c r="C305" s="626">
        <v>0.5</v>
      </c>
      <c r="D305" s="626">
        <v>27</v>
      </c>
      <c r="E305" s="626">
        <v>146.99</v>
      </c>
      <c r="F305" s="626" t="s">
        <v>857</v>
      </c>
      <c r="G305" s="626">
        <v>20</v>
      </c>
      <c r="H305" s="626">
        <v>291.84699999999998</v>
      </c>
      <c r="I305" s="626">
        <v>29.742999999999999</v>
      </c>
      <c r="J305" s="629"/>
      <c r="K305" s="628">
        <f>Table4[[#This Row],[Qty]]*Table4[[#This Row],[Gallon Capacity Per Linear Foot]]</f>
        <v>0</v>
      </c>
      <c r="L305" s="628">
        <f>Table4[[#This Row],[Gallons]]*7.48</f>
        <v>0</v>
      </c>
      <c r="M305" s="628">
        <f>Table4[[#This Row],[Qty]]*Table4[[#This Row],[Weight per Foot]]</f>
        <v>0</v>
      </c>
      <c r="N305" s="628">
        <f>Table4[[#This Row],[Pipe Wt. ]]+Table4[[#This Row],[Fluid Wt. ]]</f>
        <v>0</v>
      </c>
    </row>
    <row r="306" spans="1:14" x14ac:dyDescent="0.2">
      <c r="A306" s="626">
        <v>28</v>
      </c>
      <c r="B306" s="626">
        <v>28</v>
      </c>
      <c r="C306" s="626">
        <v>0.53100000000000003</v>
      </c>
      <c r="D306" s="626">
        <v>26.937999999999999</v>
      </c>
      <c r="E306" s="626">
        <v>155.91999999999999</v>
      </c>
      <c r="F306" s="626"/>
      <c r="G306" s="626"/>
      <c r="H306" s="626">
        <v>308.90699999999998</v>
      </c>
      <c r="I306" s="626">
        <v>29.606999999999999</v>
      </c>
      <c r="J306" s="629"/>
      <c r="K306" s="628">
        <f>Table4[[#This Row],[Qty]]*Table4[[#This Row],[Gallon Capacity Per Linear Foot]]</f>
        <v>0</v>
      </c>
      <c r="L306" s="628">
        <f>Table4[[#This Row],[Gallons]]*7.48</f>
        <v>0</v>
      </c>
      <c r="M306" s="628">
        <f>Table4[[#This Row],[Qty]]*Table4[[#This Row],[Weight per Foot]]</f>
        <v>0</v>
      </c>
      <c r="N306" s="628">
        <f>Table4[[#This Row],[Pipe Wt. ]]+Table4[[#This Row],[Fluid Wt. ]]</f>
        <v>0</v>
      </c>
    </row>
    <row r="307" spans="1:14" x14ac:dyDescent="0.2">
      <c r="A307" s="626">
        <v>28</v>
      </c>
      <c r="B307" s="626">
        <v>28</v>
      </c>
      <c r="C307" s="626">
        <v>0.56200000000000006</v>
      </c>
      <c r="D307" s="626">
        <v>26.876000000000001</v>
      </c>
      <c r="E307" s="626">
        <v>164.84</v>
      </c>
      <c r="F307" s="626"/>
      <c r="G307" s="626"/>
      <c r="H307" s="626">
        <v>325.85199999999998</v>
      </c>
      <c r="I307" s="626">
        <v>29.471</v>
      </c>
      <c r="J307" s="629"/>
      <c r="K307" s="628">
        <f>Table4[[#This Row],[Qty]]*Table4[[#This Row],[Gallon Capacity Per Linear Foot]]</f>
        <v>0</v>
      </c>
      <c r="L307" s="628">
        <f>Table4[[#This Row],[Gallons]]*7.48</f>
        <v>0</v>
      </c>
      <c r="M307" s="628">
        <f>Table4[[#This Row],[Qty]]*Table4[[#This Row],[Weight per Foot]]</f>
        <v>0</v>
      </c>
      <c r="N307" s="628">
        <f>Table4[[#This Row],[Pipe Wt. ]]+Table4[[#This Row],[Fluid Wt. ]]</f>
        <v>0</v>
      </c>
    </row>
    <row r="308" spans="1:14" x14ac:dyDescent="0.2">
      <c r="A308" s="626">
        <v>28</v>
      </c>
      <c r="B308" s="626">
        <v>28</v>
      </c>
      <c r="C308" s="626">
        <v>0.59399999999999997</v>
      </c>
      <c r="D308" s="626">
        <v>26.812000000000001</v>
      </c>
      <c r="E308" s="626">
        <v>174.02</v>
      </c>
      <c r="F308" s="626"/>
      <c r="G308" s="626"/>
      <c r="H308" s="626">
        <v>343.21899999999999</v>
      </c>
      <c r="I308" s="626">
        <v>29.33</v>
      </c>
      <c r="J308" s="629"/>
      <c r="K308" s="628">
        <f>Table4[[#This Row],[Qty]]*Table4[[#This Row],[Gallon Capacity Per Linear Foot]]</f>
        <v>0</v>
      </c>
      <c r="L308" s="628">
        <f>Table4[[#This Row],[Gallons]]*7.48</f>
        <v>0</v>
      </c>
      <c r="M308" s="628">
        <f>Table4[[#This Row],[Qty]]*Table4[[#This Row],[Weight per Foot]]</f>
        <v>0</v>
      </c>
      <c r="N308" s="628">
        <f>Table4[[#This Row],[Pipe Wt. ]]+Table4[[#This Row],[Fluid Wt. ]]</f>
        <v>0</v>
      </c>
    </row>
    <row r="309" spans="1:14" x14ac:dyDescent="0.2">
      <c r="A309" s="626">
        <v>28</v>
      </c>
      <c r="B309" s="626">
        <v>28</v>
      </c>
      <c r="C309" s="626">
        <v>0.625</v>
      </c>
      <c r="D309" s="626">
        <v>26.75</v>
      </c>
      <c r="E309" s="626">
        <v>182.9</v>
      </c>
      <c r="F309" s="626"/>
      <c r="G309" s="626">
        <v>30</v>
      </c>
      <c r="H309" s="626">
        <v>359.92399999999998</v>
      </c>
      <c r="I309" s="626">
        <v>29.195</v>
      </c>
      <c r="J309" s="629"/>
      <c r="K309" s="628">
        <f>Table4[[#This Row],[Qty]]*Table4[[#This Row],[Gallon Capacity Per Linear Foot]]</f>
        <v>0</v>
      </c>
      <c r="L309" s="628">
        <f>Table4[[#This Row],[Gallons]]*7.48</f>
        <v>0</v>
      </c>
      <c r="M309" s="628">
        <f>Table4[[#This Row],[Qty]]*Table4[[#This Row],[Weight per Foot]]</f>
        <v>0</v>
      </c>
      <c r="N309" s="628">
        <f>Table4[[#This Row],[Pipe Wt. ]]+Table4[[#This Row],[Fluid Wt. ]]</f>
        <v>0</v>
      </c>
    </row>
    <row r="310" spans="1:14" x14ac:dyDescent="0.2">
      <c r="A310" s="626">
        <v>28</v>
      </c>
      <c r="B310" s="626">
        <v>28</v>
      </c>
      <c r="C310" s="626">
        <v>0.65600000000000003</v>
      </c>
      <c r="D310" s="626">
        <v>26.687999999999999</v>
      </c>
      <c r="E310" s="626">
        <v>191.75</v>
      </c>
      <c r="F310" s="626"/>
      <c r="G310" s="626"/>
      <c r="H310" s="626">
        <v>376.517</v>
      </c>
      <c r="I310" s="626">
        <v>29.06</v>
      </c>
      <c r="J310" s="629"/>
      <c r="K310" s="628">
        <f>Table4[[#This Row],[Qty]]*Table4[[#This Row],[Gallon Capacity Per Linear Foot]]</f>
        <v>0</v>
      </c>
      <c r="L310" s="628">
        <f>Table4[[#This Row],[Gallons]]*7.48</f>
        <v>0</v>
      </c>
      <c r="M310" s="628">
        <f>Table4[[#This Row],[Qty]]*Table4[[#This Row],[Weight per Foot]]</f>
        <v>0</v>
      </c>
      <c r="N310" s="628">
        <f>Table4[[#This Row],[Pipe Wt. ]]+Table4[[#This Row],[Fluid Wt. ]]</f>
        <v>0</v>
      </c>
    </row>
    <row r="311" spans="1:14" x14ac:dyDescent="0.2">
      <c r="A311" s="626">
        <v>28</v>
      </c>
      <c r="B311" s="626">
        <v>28</v>
      </c>
      <c r="C311" s="626">
        <v>0.68799999999999994</v>
      </c>
      <c r="D311" s="626">
        <v>26.620999999999999</v>
      </c>
      <c r="E311" s="626">
        <v>200.87</v>
      </c>
      <c r="F311" s="626"/>
      <c r="G311" s="626"/>
      <c r="H311" s="626">
        <v>393.52199999999999</v>
      </c>
      <c r="I311" s="626">
        <v>28.92</v>
      </c>
      <c r="J311" s="629"/>
      <c r="K311" s="628">
        <f>Table4[[#This Row],[Qty]]*Table4[[#This Row],[Gallon Capacity Per Linear Foot]]</f>
        <v>0</v>
      </c>
      <c r="L311" s="628">
        <f>Table4[[#This Row],[Gallons]]*7.48</f>
        <v>0</v>
      </c>
      <c r="M311" s="628">
        <f>Table4[[#This Row],[Qty]]*Table4[[#This Row],[Weight per Foot]]</f>
        <v>0</v>
      </c>
      <c r="N311" s="628">
        <f>Table4[[#This Row],[Pipe Wt. ]]+Table4[[#This Row],[Fluid Wt. ]]</f>
        <v>0</v>
      </c>
    </row>
    <row r="312" spans="1:14" x14ac:dyDescent="0.2">
      <c r="A312" s="626">
        <v>28</v>
      </c>
      <c r="B312" s="626">
        <v>28</v>
      </c>
      <c r="C312" s="626">
        <v>0.71899999999999997</v>
      </c>
      <c r="D312" s="626">
        <v>26.562000000000001</v>
      </c>
      <c r="E312" s="626">
        <v>209.68</v>
      </c>
      <c r="F312" s="626"/>
      <c r="G312" s="626"/>
      <c r="H312" s="626">
        <v>409.87799999999999</v>
      </c>
      <c r="I312" s="626">
        <v>28.786000000000001</v>
      </c>
      <c r="J312" s="629"/>
      <c r="K312" s="628">
        <f>Table4[[#This Row],[Qty]]*Table4[[#This Row],[Gallon Capacity Per Linear Foot]]</f>
        <v>0</v>
      </c>
      <c r="L312" s="628">
        <f>Table4[[#This Row],[Gallons]]*7.48</f>
        <v>0</v>
      </c>
      <c r="M312" s="628">
        <f>Table4[[#This Row],[Qty]]*Table4[[#This Row],[Weight per Foot]]</f>
        <v>0</v>
      </c>
      <c r="N312" s="628">
        <f>Table4[[#This Row],[Pipe Wt. ]]+Table4[[#This Row],[Fluid Wt. ]]</f>
        <v>0</v>
      </c>
    </row>
    <row r="313" spans="1:14" x14ac:dyDescent="0.2">
      <c r="A313" s="626">
        <v>28</v>
      </c>
      <c r="B313" s="626">
        <v>28</v>
      </c>
      <c r="C313" s="626">
        <v>0.75</v>
      </c>
      <c r="D313" s="626">
        <v>26.5</v>
      </c>
      <c r="E313" s="626">
        <v>218.48</v>
      </c>
      <c r="F313" s="626"/>
      <c r="G313" s="626"/>
      <c r="H313" s="626">
        <v>426.12099999999998</v>
      </c>
      <c r="I313" s="626">
        <v>28.652000000000001</v>
      </c>
      <c r="J313" s="629"/>
      <c r="K313" s="628">
        <f>Table4[[#This Row],[Qty]]*Table4[[#This Row],[Gallon Capacity Per Linear Foot]]</f>
        <v>0</v>
      </c>
      <c r="L313" s="628">
        <f>Table4[[#This Row],[Gallons]]*7.48</f>
        <v>0</v>
      </c>
      <c r="M313" s="628">
        <f>Table4[[#This Row],[Qty]]*Table4[[#This Row],[Weight per Foot]]</f>
        <v>0</v>
      </c>
      <c r="N313" s="628">
        <f>Table4[[#This Row],[Pipe Wt. ]]+Table4[[#This Row],[Fluid Wt. ]]</f>
        <v>0</v>
      </c>
    </row>
    <row r="314" spans="1:14" x14ac:dyDescent="0.2">
      <c r="A314" s="626">
        <v>30</v>
      </c>
      <c r="B314" s="626">
        <v>30</v>
      </c>
      <c r="C314" s="626">
        <v>0.25</v>
      </c>
      <c r="D314" s="626">
        <v>29.5</v>
      </c>
      <c r="E314" s="626">
        <v>79.510000000000005</v>
      </c>
      <c r="F314" s="626"/>
      <c r="G314" s="626"/>
      <c r="H314" s="626">
        <v>172.39</v>
      </c>
      <c r="I314" s="626">
        <v>35.506</v>
      </c>
      <c r="J314" s="629"/>
      <c r="K314" s="628">
        <f>Table4[[#This Row],[Qty]]*Table4[[#This Row],[Gallon Capacity Per Linear Foot]]</f>
        <v>0</v>
      </c>
      <c r="L314" s="628">
        <f>Table4[[#This Row],[Gallons]]*7.48</f>
        <v>0</v>
      </c>
      <c r="M314" s="628">
        <f>Table4[[#This Row],[Qty]]*Table4[[#This Row],[Weight per Foot]]</f>
        <v>0</v>
      </c>
      <c r="N314" s="628">
        <f>Table4[[#This Row],[Pipe Wt. ]]+Table4[[#This Row],[Fluid Wt. ]]</f>
        <v>0</v>
      </c>
    </row>
    <row r="315" spans="1:14" x14ac:dyDescent="0.2">
      <c r="A315" s="626">
        <v>30</v>
      </c>
      <c r="B315" s="626">
        <v>30</v>
      </c>
      <c r="C315" s="626">
        <v>0.28100000000000003</v>
      </c>
      <c r="D315" s="626">
        <v>29.437999999999999</v>
      </c>
      <c r="E315" s="626">
        <v>89.27</v>
      </c>
      <c r="F315" s="626"/>
      <c r="G315" s="626"/>
      <c r="H315" s="626">
        <v>193.16399999999999</v>
      </c>
      <c r="I315" s="626">
        <v>35.356999999999999</v>
      </c>
      <c r="J315" s="629"/>
      <c r="K315" s="628">
        <f>Table4[[#This Row],[Qty]]*Table4[[#This Row],[Gallon Capacity Per Linear Foot]]</f>
        <v>0</v>
      </c>
      <c r="L315" s="628">
        <f>Table4[[#This Row],[Gallons]]*7.48</f>
        <v>0</v>
      </c>
      <c r="M315" s="628">
        <f>Table4[[#This Row],[Qty]]*Table4[[#This Row],[Weight per Foot]]</f>
        <v>0</v>
      </c>
      <c r="N315" s="628">
        <f>Table4[[#This Row],[Pipe Wt. ]]+Table4[[#This Row],[Fluid Wt. ]]</f>
        <v>0</v>
      </c>
    </row>
    <row r="316" spans="1:14" x14ac:dyDescent="0.2">
      <c r="A316" s="626">
        <v>30</v>
      </c>
      <c r="B316" s="626">
        <v>30</v>
      </c>
      <c r="C316" s="626">
        <v>0.312</v>
      </c>
      <c r="D316" s="626">
        <v>29.376000000000001</v>
      </c>
      <c r="E316" s="626">
        <v>99.02</v>
      </c>
      <c r="F316" s="626"/>
      <c r="G316" s="626">
        <v>10</v>
      </c>
      <c r="H316" s="626">
        <v>213.81</v>
      </c>
      <c r="I316" s="626">
        <v>35.207999999999998</v>
      </c>
      <c r="J316" s="629"/>
      <c r="K316" s="628">
        <f>Table4[[#This Row],[Qty]]*Table4[[#This Row],[Gallon Capacity Per Linear Foot]]</f>
        <v>0</v>
      </c>
      <c r="L316" s="628">
        <f>Table4[[#This Row],[Gallons]]*7.48</f>
        <v>0</v>
      </c>
      <c r="M316" s="628">
        <f>Table4[[#This Row],[Qty]]*Table4[[#This Row],[Weight per Foot]]</f>
        <v>0</v>
      </c>
      <c r="N316" s="628">
        <f>Table4[[#This Row],[Pipe Wt. ]]+Table4[[#This Row],[Fluid Wt. ]]</f>
        <v>0</v>
      </c>
    </row>
    <row r="317" spans="1:14" x14ac:dyDescent="0.2">
      <c r="A317" s="626">
        <v>30</v>
      </c>
      <c r="B317" s="626">
        <v>30</v>
      </c>
      <c r="C317" s="626">
        <v>0.34399999999999997</v>
      </c>
      <c r="D317" s="626">
        <v>29.312000000000001</v>
      </c>
      <c r="E317" s="626">
        <v>109.06</v>
      </c>
      <c r="F317" s="626"/>
      <c r="G317" s="626"/>
      <c r="H317" s="626">
        <v>234.983</v>
      </c>
      <c r="I317" s="626">
        <v>35.055</v>
      </c>
      <c r="J317" s="629"/>
      <c r="K317" s="628">
        <f>Table4[[#This Row],[Qty]]*Table4[[#This Row],[Gallon Capacity Per Linear Foot]]</f>
        <v>0</v>
      </c>
      <c r="L317" s="628">
        <f>Table4[[#This Row],[Gallons]]*7.48</f>
        <v>0</v>
      </c>
      <c r="M317" s="628">
        <f>Table4[[#This Row],[Qty]]*Table4[[#This Row],[Weight per Foot]]</f>
        <v>0</v>
      </c>
      <c r="N317" s="628">
        <f>Table4[[#This Row],[Pipe Wt. ]]+Table4[[#This Row],[Fluid Wt. ]]</f>
        <v>0</v>
      </c>
    </row>
    <row r="318" spans="1:14" x14ac:dyDescent="0.2">
      <c r="A318" s="626">
        <v>30</v>
      </c>
      <c r="B318" s="626">
        <v>30</v>
      </c>
      <c r="C318" s="626">
        <v>0.375</v>
      </c>
      <c r="D318" s="626">
        <v>29.25</v>
      </c>
      <c r="E318" s="626">
        <v>118.76</v>
      </c>
      <c r="F318" s="626" t="s">
        <v>859</v>
      </c>
      <c r="G318" s="626"/>
      <c r="H318" s="626">
        <v>255.36099999999999</v>
      </c>
      <c r="I318" s="626">
        <v>34.906999999999996</v>
      </c>
      <c r="J318" s="629"/>
      <c r="K318" s="628">
        <f>Table4[[#This Row],[Qty]]*Table4[[#This Row],[Gallon Capacity Per Linear Foot]]</f>
        <v>0</v>
      </c>
      <c r="L318" s="628">
        <f>Table4[[#This Row],[Gallons]]*7.48</f>
        <v>0</v>
      </c>
      <c r="M318" s="628">
        <f>Table4[[#This Row],[Qty]]*Table4[[#This Row],[Weight per Foot]]</f>
        <v>0</v>
      </c>
      <c r="N318" s="628">
        <f>Table4[[#This Row],[Pipe Wt. ]]+Table4[[#This Row],[Fluid Wt. ]]</f>
        <v>0</v>
      </c>
    </row>
    <row r="319" spans="1:14" x14ac:dyDescent="0.2">
      <c r="A319" s="626">
        <v>30</v>
      </c>
      <c r="B319" s="626">
        <v>30</v>
      </c>
      <c r="C319" s="626">
        <v>0.40600000000000003</v>
      </c>
      <c r="D319" s="626">
        <v>29.187999999999999</v>
      </c>
      <c r="E319" s="626">
        <v>128.44</v>
      </c>
      <c r="F319" s="626"/>
      <c r="G319" s="626"/>
      <c r="H319" s="626">
        <v>275.613</v>
      </c>
      <c r="I319" s="626">
        <v>34.759</v>
      </c>
      <c r="J319" s="629"/>
      <c r="K319" s="628">
        <f>Table4[[#This Row],[Qty]]*Table4[[#This Row],[Gallon Capacity Per Linear Foot]]</f>
        <v>0</v>
      </c>
      <c r="L319" s="628">
        <f>Table4[[#This Row],[Gallons]]*7.48</f>
        <v>0</v>
      </c>
      <c r="M319" s="628">
        <f>Table4[[#This Row],[Qty]]*Table4[[#This Row],[Weight per Foot]]</f>
        <v>0</v>
      </c>
      <c r="N319" s="628">
        <f>Table4[[#This Row],[Pipe Wt. ]]+Table4[[#This Row],[Fluid Wt. ]]</f>
        <v>0</v>
      </c>
    </row>
    <row r="320" spans="1:14" x14ac:dyDescent="0.2">
      <c r="A320" s="626">
        <v>30</v>
      </c>
      <c r="B320" s="626">
        <v>30</v>
      </c>
      <c r="C320" s="626">
        <v>0.438</v>
      </c>
      <c r="D320" s="626">
        <v>29.120999999999999</v>
      </c>
      <c r="E320" s="626">
        <v>138.41999999999999</v>
      </c>
      <c r="F320" s="626"/>
      <c r="G320" s="626"/>
      <c r="H320" s="626">
        <v>296.38299999999998</v>
      </c>
      <c r="I320" s="626">
        <v>34.606999999999999</v>
      </c>
      <c r="J320" s="629"/>
      <c r="K320" s="628">
        <f>Table4[[#This Row],[Qty]]*Table4[[#This Row],[Gallon Capacity Per Linear Foot]]</f>
        <v>0</v>
      </c>
      <c r="L320" s="628">
        <f>Table4[[#This Row],[Gallons]]*7.48</f>
        <v>0</v>
      </c>
      <c r="M320" s="628">
        <f>Table4[[#This Row],[Qty]]*Table4[[#This Row],[Weight per Foot]]</f>
        <v>0</v>
      </c>
      <c r="N320" s="628">
        <f>Table4[[#This Row],[Pipe Wt. ]]+Table4[[#This Row],[Fluid Wt. ]]</f>
        <v>0</v>
      </c>
    </row>
    <row r="321" spans="1:14" x14ac:dyDescent="0.2">
      <c r="A321" s="626">
        <v>30</v>
      </c>
      <c r="B321" s="626">
        <v>30</v>
      </c>
      <c r="C321" s="626">
        <v>0.46899999999999997</v>
      </c>
      <c r="D321" s="626">
        <v>29.062000000000001</v>
      </c>
      <c r="E321" s="626">
        <v>148.06</v>
      </c>
      <c r="F321" s="626"/>
      <c r="G321" s="626"/>
      <c r="H321" s="626">
        <v>316.37099999999998</v>
      </c>
      <c r="I321" s="626">
        <v>34.46</v>
      </c>
      <c r="J321" s="629"/>
      <c r="K321" s="628">
        <f>Table4[[#This Row],[Qty]]*Table4[[#This Row],[Gallon Capacity Per Linear Foot]]</f>
        <v>0</v>
      </c>
      <c r="L321" s="628">
        <f>Table4[[#This Row],[Gallons]]*7.48</f>
        <v>0</v>
      </c>
      <c r="M321" s="628">
        <f>Table4[[#This Row],[Qty]]*Table4[[#This Row],[Weight per Foot]]</f>
        <v>0</v>
      </c>
      <c r="N321" s="628">
        <f>Table4[[#This Row],[Pipe Wt. ]]+Table4[[#This Row],[Fluid Wt. ]]</f>
        <v>0</v>
      </c>
    </row>
    <row r="322" spans="1:14" x14ac:dyDescent="0.2">
      <c r="A322" s="626">
        <v>30</v>
      </c>
      <c r="B322" s="626">
        <v>30</v>
      </c>
      <c r="C322" s="626">
        <v>0.5</v>
      </c>
      <c r="D322" s="626">
        <v>29</v>
      </c>
      <c r="E322" s="626">
        <v>157.68</v>
      </c>
      <c r="F322" s="626" t="s">
        <v>857</v>
      </c>
      <c r="G322" s="626">
        <v>20</v>
      </c>
      <c r="H322" s="626">
        <v>336.23399999999998</v>
      </c>
      <c r="I322" s="626">
        <v>34.313000000000002</v>
      </c>
      <c r="J322" s="629"/>
      <c r="K322" s="628">
        <f>Table4[[#This Row],[Qty]]*Table4[[#This Row],[Gallon Capacity Per Linear Foot]]</f>
        <v>0</v>
      </c>
      <c r="L322" s="628">
        <f>Table4[[#This Row],[Gallons]]*7.48</f>
        <v>0</v>
      </c>
      <c r="M322" s="628">
        <f>Table4[[#This Row],[Qty]]*Table4[[#This Row],[Weight per Foot]]</f>
        <v>0</v>
      </c>
      <c r="N322" s="628">
        <f>Table4[[#This Row],[Pipe Wt. ]]+Table4[[#This Row],[Fluid Wt. ]]</f>
        <v>0</v>
      </c>
    </row>
    <row r="323" spans="1:14" x14ac:dyDescent="0.2">
      <c r="A323" s="626">
        <v>30</v>
      </c>
      <c r="B323" s="626">
        <v>30</v>
      </c>
      <c r="C323" s="626">
        <v>0.56200000000000006</v>
      </c>
      <c r="D323" s="626">
        <v>28.876000000000001</v>
      </c>
      <c r="E323" s="626">
        <v>176.86</v>
      </c>
      <c r="F323" s="626"/>
      <c r="G323" s="626"/>
      <c r="H323" s="626">
        <v>375.57900000000001</v>
      </c>
      <c r="I323" s="626">
        <v>34.020000000000003</v>
      </c>
      <c r="J323" s="629"/>
      <c r="K323" s="628">
        <f>Table4[[#This Row],[Qty]]*Table4[[#This Row],[Gallon Capacity Per Linear Foot]]</f>
        <v>0</v>
      </c>
      <c r="L323" s="628">
        <f>Table4[[#This Row],[Gallons]]*7.48</f>
        <v>0</v>
      </c>
      <c r="M323" s="628">
        <f>Table4[[#This Row],[Qty]]*Table4[[#This Row],[Weight per Foot]]</f>
        <v>0</v>
      </c>
      <c r="N323" s="628">
        <f>Table4[[#This Row],[Pipe Wt. ]]+Table4[[#This Row],[Fluid Wt. ]]</f>
        <v>0</v>
      </c>
    </row>
    <row r="324" spans="1:14" x14ac:dyDescent="0.2">
      <c r="A324" s="626">
        <v>30</v>
      </c>
      <c r="B324" s="626">
        <v>30</v>
      </c>
      <c r="C324" s="626">
        <v>0.625</v>
      </c>
      <c r="D324" s="626">
        <v>28.75</v>
      </c>
      <c r="E324" s="626">
        <v>196.26</v>
      </c>
      <c r="F324" s="626"/>
      <c r="G324" s="626">
        <v>30</v>
      </c>
      <c r="H324" s="626">
        <v>415.03899999999999</v>
      </c>
      <c r="I324" s="626">
        <v>33.723999999999997</v>
      </c>
      <c r="J324" s="629"/>
      <c r="K324" s="628">
        <f>Table4[[#This Row],[Qty]]*Table4[[#This Row],[Gallon Capacity Per Linear Foot]]</f>
        <v>0</v>
      </c>
      <c r="L324" s="628">
        <f>Table4[[#This Row],[Gallons]]*7.48</f>
        <v>0</v>
      </c>
      <c r="M324" s="628">
        <f>Table4[[#This Row],[Qty]]*Table4[[#This Row],[Weight per Foot]]</f>
        <v>0</v>
      </c>
      <c r="N324" s="628">
        <f>Table4[[#This Row],[Pipe Wt. ]]+Table4[[#This Row],[Fluid Wt. ]]</f>
        <v>0</v>
      </c>
    </row>
    <row r="325" spans="1:14" x14ac:dyDescent="0.2">
      <c r="A325" s="626">
        <v>30</v>
      </c>
      <c r="B325" s="626">
        <v>30</v>
      </c>
      <c r="C325" s="626">
        <v>0.65600000000000003</v>
      </c>
      <c r="D325" s="626">
        <v>28.687999999999999</v>
      </c>
      <c r="E325" s="626">
        <v>205.78</v>
      </c>
      <c r="F325" s="626"/>
      <c r="G325" s="626"/>
      <c r="H325" s="626">
        <v>434.27</v>
      </c>
      <c r="I325" s="626">
        <v>33.578000000000003</v>
      </c>
      <c r="J325" s="629"/>
      <c r="K325" s="628">
        <f>Table4[[#This Row],[Qty]]*Table4[[#This Row],[Gallon Capacity Per Linear Foot]]</f>
        <v>0</v>
      </c>
      <c r="L325" s="628">
        <f>Table4[[#This Row],[Gallons]]*7.48</f>
        <v>0</v>
      </c>
      <c r="M325" s="628">
        <f>Table4[[#This Row],[Qty]]*Table4[[#This Row],[Weight per Foot]]</f>
        <v>0</v>
      </c>
      <c r="N325" s="628">
        <f>Table4[[#This Row],[Pipe Wt. ]]+Table4[[#This Row],[Fluid Wt. ]]</f>
        <v>0</v>
      </c>
    </row>
    <row r="326" spans="1:14" x14ac:dyDescent="0.2">
      <c r="A326" s="626">
        <v>30</v>
      </c>
      <c r="B326" s="626">
        <v>30</v>
      </c>
      <c r="C326" s="626">
        <v>0.68799999999999994</v>
      </c>
      <c r="D326" s="626">
        <v>28.623999999999999</v>
      </c>
      <c r="E326" s="626">
        <v>215.58</v>
      </c>
      <c r="F326" s="626"/>
      <c r="G326" s="626"/>
      <c r="H326" s="626">
        <v>453.98899999999998</v>
      </c>
      <c r="I326" s="626">
        <v>33.429000000000002</v>
      </c>
      <c r="J326" s="629"/>
      <c r="K326" s="628">
        <f>Table4[[#This Row],[Qty]]*Table4[[#This Row],[Gallon Capacity Per Linear Foot]]</f>
        <v>0</v>
      </c>
      <c r="L326" s="628">
        <f>Table4[[#This Row],[Gallons]]*7.48</f>
        <v>0</v>
      </c>
      <c r="M326" s="628">
        <f>Table4[[#This Row],[Qty]]*Table4[[#This Row],[Weight per Foot]]</f>
        <v>0</v>
      </c>
      <c r="N326" s="628">
        <f>Table4[[#This Row],[Pipe Wt. ]]+Table4[[#This Row],[Fluid Wt. ]]</f>
        <v>0</v>
      </c>
    </row>
    <row r="327" spans="1:14" x14ac:dyDescent="0.2">
      <c r="A327" s="626">
        <v>30</v>
      </c>
      <c r="B327" s="626">
        <v>30</v>
      </c>
      <c r="C327" s="626">
        <v>0.75</v>
      </c>
      <c r="D327" s="626">
        <v>28.5</v>
      </c>
      <c r="E327" s="626">
        <v>234.51</v>
      </c>
      <c r="F327" s="626"/>
      <c r="G327" s="626"/>
      <c r="H327" s="626">
        <v>491.81799999999998</v>
      </c>
      <c r="I327" s="626">
        <v>33.14</v>
      </c>
      <c r="J327" s="629"/>
      <c r="K327" s="628">
        <f>Table4[[#This Row],[Qty]]*Table4[[#This Row],[Gallon Capacity Per Linear Foot]]</f>
        <v>0</v>
      </c>
      <c r="L327" s="628">
        <f>Table4[[#This Row],[Gallons]]*7.48</f>
        <v>0</v>
      </c>
      <c r="M327" s="628">
        <f>Table4[[#This Row],[Qty]]*Table4[[#This Row],[Weight per Foot]]</f>
        <v>0</v>
      </c>
      <c r="N327" s="628">
        <f>Table4[[#This Row],[Pipe Wt. ]]+Table4[[#This Row],[Fluid Wt. ]]</f>
        <v>0</v>
      </c>
    </row>
    <row r="328" spans="1:14" x14ac:dyDescent="0.2">
      <c r="A328" s="626">
        <v>30</v>
      </c>
      <c r="B328" s="626">
        <v>30</v>
      </c>
      <c r="C328" s="626">
        <v>0.875</v>
      </c>
      <c r="D328" s="626">
        <v>28.25</v>
      </c>
      <c r="E328" s="626">
        <v>272.43</v>
      </c>
      <c r="F328" s="626"/>
      <c r="G328" s="626"/>
      <c r="H328" s="626">
        <v>566.6</v>
      </c>
      <c r="I328" s="626">
        <v>32.561</v>
      </c>
      <c r="J328" s="629"/>
      <c r="K328" s="628">
        <f>Table4[[#This Row],[Qty]]*Table4[[#This Row],[Gallon Capacity Per Linear Foot]]</f>
        <v>0</v>
      </c>
      <c r="L328" s="628">
        <f>Table4[[#This Row],[Gallons]]*7.48</f>
        <v>0</v>
      </c>
      <c r="M328" s="628">
        <f>Table4[[#This Row],[Qty]]*Table4[[#This Row],[Weight per Foot]]</f>
        <v>0</v>
      </c>
      <c r="N328" s="628">
        <f>Table4[[#This Row],[Pipe Wt. ]]+Table4[[#This Row],[Fluid Wt. ]]</f>
        <v>0</v>
      </c>
    </row>
    <row r="329" spans="1:14" x14ac:dyDescent="0.2">
      <c r="A329" s="626">
        <v>30</v>
      </c>
      <c r="B329" s="626">
        <v>30</v>
      </c>
      <c r="C329" s="626">
        <v>1</v>
      </c>
      <c r="D329" s="626">
        <v>28</v>
      </c>
      <c r="E329" s="626">
        <v>310.01</v>
      </c>
      <c r="F329" s="626"/>
      <c r="G329" s="626"/>
      <c r="H329" s="626">
        <v>639.42600000000004</v>
      </c>
      <c r="I329" s="626">
        <v>31.986999999999998</v>
      </c>
      <c r="J329" s="629"/>
      <c r="K329" s="628">
        <f>Table4[[#This Row],[Qty]]*Table4[[#This Row],[Gallon Capacity Per Linear Foot]]</f>
        <v>0</v>
      </c>
      <c r="L329" s="628">
        <f>Table4[[#This Row],[Gallons]]*7.48</f>
        <v>0</v>
      </c>
      <c r="M329" s="628">
        <f>Table4[[#This Row],[Qty]]*Table4[[#This Row],[Weight per Foot]]</f>
        <v>0</v>
      </c>
      <c r="N329" s="628">
        <f>Table4[[#This Row],[Pipe Wt. ]]+Table4[[#This Row],[Fluid Wt. ]]</f>
        <v>0</v>
      </c>
    </row>
    <row r="330" spans="1:14" x14ac:dyDescent="0.2">
      <c r="A330" s="626">
        <v>32</v>
      </c>
      <c r="B330" s="626">
        <v>32</v>
      </c>
      <c r="C330" s="626">
        <v>0.25</v>
      </c>
      <c r="D330" s="626">
        <v>31.5</v>
      </c>
      <c r="E330" s="626">
        <v>84.85</v>
      </c>
      <c r="F330" s="626"/>
      <c r="G330" s="626"/>
      <c r="H330" s="626">
        <v>196.44900000000001</v>
      </c>
      <c r="I330" s="626">
        <v>40.484000000000002</v>
      </c>
      <c r="J330" s="629"/>
      <c r="K330" s="628">
        <f>Table4[[#This Row],[Qty]]*Table4[[#This Row],[Gallon Capacity Per Linear Foot]]</f>
        <v>0</v>
      </c>
      <c r="L330" s="628">
        <f>Table4[[#This Row],[Gallons]]*7.48</f>
        <v>0</v>
      </c>
      <c r="M330" s="628">
        <f>Table4[[#This Row],[Qty]]*Table4[[#This Row],[Weight per Foot]]</f>
        <v>0</v>
      </c>
      <c r="N330" s="628">
        <f>Table4[[#This Row],[Pipe Wt. ]]+Table4[[#This Row],[Fluid Wt. ]]</f>
        <v>0</v>
      </c>
    </row>
    <row r="331" spans="1:14" x14ac:dyDescent="0.2">
      <c r="A331" s="626">
        <v>32</v>
      </c>
      <c r="B331" s="626">
        <v>32</v>
      </c>
      <c r="C331" s="626">
        <v>0.28100000000000003</v>
      </c>
      <c r="D331" s="626">
        <v>31.437999999999999</v>
      </c>
      <c r="E331" s="626">
        <v>95.28</v>
      </c>
      <c r="F331" s="626"/>
      <c r="G331" s="626"/>
      <c r="H331" s="626">
        <v>220.166</v>
      </c>
      <c r="I331" s="626">
        <v>40.325000000000003</v>
      </c>
      <c r="J331" s="629"/>
      <c r="K331" s="628">
        <f>Table4[[#This Row],[Qty]]*Table4[[#This Row],[Gallon Capacity Per Linear Foot]]</f>
        <v>0</v>
      </c>
      <c r="L331" s="628">
        <f>Table4[[#This Row],[Gallons]]*7.48</f>
        <v>0</v>
      </c>
      <c r="M331" s="628">
        <f>Table4[[#This Row],[Qty]]*Table4[[#This Row],[Weight per Foot]]</f>
        <v>0</v>
      </c>
      <c r="N331" s="628">
        <f>Table4[[#This Row],[Pipe Wt. ]]+Table4[[#This Row],[Fluid Wt. ]]</f>
        <v>0</v>
      </c>
    </row>
    <row r="332" spans="1:14" x14ac:dyDescent="0.2">
      <c r="A332" s="626">
        <v>32</v>
      </c>
      <c r="B332" s="626">
        <v>32</v>
      </c>
      <c r="C332" s="626">
        <v>0.312</v>
      </c>
      <c r="D332" s="626">
        <v>31.376000000000001</v>
      </c>
      <c r="E332" s="626">
        <v>105.69</v>
      </c>
      <c r="F332" s="626"/>
      <c r="G332" s="626">
        <v>10</v>
      </c>
      <c r="H332" s="626">
        <v>243.744</v>
      </c>
      <c r="I332" s="626">
        <v>40.165999999999997</v>
      </c>
      <c r="J332" s="629"/>
      <c r="K332" s="628">
        <f>Table4[[#This Row],[Qty]]*Table4[[#This Row],[Gallon Capacity Per Linear Foot]]</f>
        <v>0</v>
      </c>
      <c r="L332" s="628">
        <f>Table4[[#This Row],[Gallons]]*7.48</f>
        <v>0</v>
      </c>
      <c r="M332" s="628">
        <f>Table4[[#This Row],[Qty]]*Table4[[#This Row],[Weight per Foot]]</f>
        <v>0</v>
      </c>
      <c r="N332" s="628">
        <f>Table4[[#This Row],[Pipe Wt. ]]+Table4[[#This Row],[Fluid Wt. ]]</f>
        <v>0</v>
      </c>
    </row>
    <row r="333" spans="1:14" x14ac:dyDescent="0.2">
      <c r="A333" s="626">
        <v>32</v>
      </c>
      <c r="B333" s="626">
        <v>32</v>
      </c>
      <c r="C333" s="626">
        <v>0.34399999999999997</v>
      </c>
      <c r="D333" s="626">
        <v>31.312000000000001</v>
      </c>
      <c r="E333" s="626">
        <v>116.41</v>
      </c>
      <c r="F333" s="626"/>
      <c r="G333" s="626"/>
      <c r="H333" s="626">
        <v>267.93599999999998</v>
      </c>
      <c r="I333" s="626">
        <v>40.002000000000002</v>
      </c>
      <c r="J333" s="629"/>
      <c r="K333" s="628">
        <f>Table4[[#This Row],[Qty]]*Table4[[#This Row],[Gallon Capacity Per Linear Foot]]</f>
        <v>0</v>
      </c>
      <c r="L333" s="628">
        <f>Table4[[#This Row],[Gallons]]*7.48</f>
        <v>0</v>
      </c>
      <c r="M333" s="628">
        <f>Table4[[#This Row],[Qty]]*Table4[[#This Row],[Weight per Foot]]</f>
        <v>0</v>
      </c>
      <c r="N333" s="628">
        <f>Table4[[#This Row],[Pipe Wt. ]]+Table4[[#This Row],[Fluid Wt. ]]</f>
        <v>0</v>
      </c>
    </row>
    <row r="334" spans="1:14" x14ac:dyDescent="0.2">
      <c r="A334" s="626">
        <v>32</v>
      </c>
      <c r="B334" s="626">
        <v>32</v>
      </c>
      <c r="C334" s="626">
        <v>0.375</v>
      </c>
      <c r="D334" s="626">
        <v>31.25</v>
      </c>
      <c r="E334" s="626">
        <v>126.78</v>
      </c>
      <c r="F334" s="626" t="s">
        <v>859</v>
      </c>
      <c r="G334" s="626"/>
      <c r="H334" s="626">
        <v>291.22800000000001</v>
      </c>
      <c r="I334" s="626">
        <v>39.844000000000001</v>
      </c>
      <c r="J334" s="629"/>
      <c r="K334" s="628">
        <f>Table4[[#This Row],[Qty]]*Table4[[#This Row],[Gallon Capacity Per Linear Foot]]</f>
        <v>0</v>
      </c>
      <c r="L334" s="628">
        <f>Table4[[#This Row],[Gallons]]*7.48</f>
        <v>0</v>
      </c>
      <c r="M334" s="628">
        <f>Table4[[#This Row],[Qty]]*Table4[[#This Row],[Weight per Foot]]</f>
        <v>0</v>
      </c>
      <c r="N334" s="628">
        <f>Table4[[#This Row],[Pipe Wt. ]]+Table4[[#This Row],[Fluid Wt. ]]</f>
        <v>0</v>
      </c>
    </row>
    <row r="335" spans="1:14" x14ac:dyDescent="0.2">
      <c r="A335" s="626">
        <v>32</v>
      </c>
      <c r="B335" s="626">
        <v>32</v>
      </c>
      <c r="C335" s="626">
        <v>0.40600000000000003</v>
      </c>
      <c r="D335" s="626">
        <v>31.187999999999999</v>
      </c>
      <c r="E335" s="626">
        <v>137.12</v>
      </c>
      <c r="F335" s="626"/>
      <c r="G335" s="626"/>
      <c r="H335" s="626">
        <v>314.387</v>
      </c>
      <c r="I335" s="626">
        <v>39.686</v>
      </c>
      <c r="J335" s="629"/>
      <c r="K335" s="628">
        <f>Table4[[#This Row],[Qty]]*Table4[[#This Row],[Gallon Capacity Per Linear Foot]]</f>
        <v>0</v>
      </c>
      <c r="L335" s="628">
        <f>Table4[[#This Row],[Gallons]]*7.48</f>
        <v>0</v>
      </c>
      <c r="M335" s="628">
        <f>Table4[[#This Row],[Qty]]*Table4[[#This Row],[Weight per Foot]]</f>
        <v>0</v>
      </c>
      <c r="N335" s="628">
        <f>Table4[[#This Row],[Pipe Wt. ]]+Table4[[#This Row],[Fluid Wt. ]]</f>
        <v>0</v>
      </c>
    </row>
    <row r="336" spans="1:14" x14ac:dyDescent="0.2">
      <c r="A336" s="626">
        <v>32</v>
      </c>
      <c r="B336" s="626">
        <v>32</v>
      </c>
      <c r="C336" s="626">
        <v>0.438</v>
      </c>
      <c r="D336" s="626">
        <v>31.120999999999999</v>
      </c>
      <c r="E336" s="626">
        <v>147.78</v>
      </c>
      <c r="F336" s="626"/>
      <c r="G336" s="626"/>
      <c r="H336" s="626">
        <v>338.14600000000002</v>
      </c>
      <c r="I336" s="626">
        <v>39.523000000000003</v>
      </c>
      <c r="J336" s="629"/>
      <c r="K336" s="628">
        <f>Table4[[#This Row],[Qty]]*Table4[[#This Row],[Gallon Capacity Per Linear Foot]]</f>
        <v>0</v>
      </c>
      <c r="L336" s="628">
        <f>Table4[[#This Row],[Gallons]]*7.48</f>
        <v>0</v>
      </c>
      <c r="M336" s="628">
        <f>Table4[[#This Row],[Qty]]*Table4[[#This Row],[Weight per Foot]]</f>
        <v>0</v>
      </c>
      <c r="N336" s="628">
        <f>Table4[[#This Row],[Pipe Wt. ]]+Table4[[#This Row],[Fluid Wt. ]]</f>
        <v>0</v>
      </c>
    </row>
    <row r="337" spans="1:14" x14ac:dyDescent="0.2">
      <c r="A337" s="626">
        <v>32</v>
      </c>
      <c r="B337" s="626">
        <v>32</v>
      </c>
      <c r="C337" s="626">
        <v>0.46899999999999997</v>
      </c>
      <c r="D337" s="626">
        <v>31.062000000000001</v>
      </c>
      <c r="E337" s="626">
        <v>158.08000000000001</v>
      </c>
      <c r="F337" s="626"/>
      <c r="G337" s="626"/>
      <c r="H337" s="626">
        <v>361.02100000000002</v>
      </c>
      <c r="I337" s="626">
        <v>39.366</v>
      </c>
      <c r="J337" s="629"/>
      <c r="K337" s="628">
        <f>Table4[[#This Row],[Qty]]*Table4[[#This Row],[Gallon Capacity Per Linear Foot]]</f>
        <v>0</v>
      </c>
      <c r="L337" s="628">
        <f>Table4[[#This Row],[Gallons]]*7.48</f>
        <v>0</v>
      </c>
      <c r="M337" s="628">
        <f>Table4[[#This Row],[Qty]]*Table4[[#This Row],[Weight per Foot]]</f>
        <v>0</v>
      </c>
      <c r="N337" s="628">
        <f>Table4[[#This Row],[Pipe Wt. ]]+Table4[[#This Row],[Fluid Wt. ]]</f>
        <v>0</v>
      </c>
    </row>
    <row r="338" spans="1:14" x14ac:dyDescent="0.2">
      <c r="A338" s="626">
        <v>32</v>
      </c>
      <c r="B338" s="626">
        <v>32</v>
      </c>
      <c r="C338" s="626">
        <v>0.5</v>
      </c>
      <c r="D338" s="626">
        <v>31</v>
      </c>
      <c r="E338" s="626">
        <v>168.37</v>
      </c>
      <c r="F338" s="626" t="s">
        <v>857</v>
      </c>
      <c r="G338" s="626">
        <v>20</v>
      </c>
      <c r="H338" s="626">
        <v>383.76299999999998</v>
      </c>
      <c r="I338" s="626">
        <v>39.209000000000003</v>
      </c>
      <c r="J338" s="629"/>
      <c r="K338" s="628">
        <f>Table4[[#This Row],[Qty]]*Table4[[#This Row],[Gallon Capacity Per Linear Foot]]</f>
        <v>0</v>
      </c>
      <c r="L338" s="628">
        <f>Table4[[#This Row],[Gallons]]*7.48</f>
        <v>0</v>
      </c>
      <c r="M338" s="628">
        <f>Table4[[#This Row],[Qty]]*Table4[[#This Row],[Weight per Foot]]</f>
        <v>0</v>
      </c>
      <c r="N338" s="628">
        <f>Table4[[#This Row],[Pipe Wt. ]]+Table4[[#This Row],[Fluid Wt. ]]</f>
        <v>0</v>
      </c>
    </row>
    <row r="339" spans="1:14" x14ac:dyDescent="0.2">
      <c r="A339" s="626">
        <v>32</v>
      </c>
      <c r="B339" s="626">
        <v>32</v>
      </c>
      <c r="C339" s="626">
        <v>0.56200000000000006</v>
      </c>
      <c r="D339" s="626">
        <v>30.876000000000001</v>
      </c>
      <c r="E339" s="626">
        <v>188.87</v>
      </c>
      <c r="F339" s="626"/>
      <c r="G339" s="626"/>
      <c r="H339" s="626">
        <v>428.83699999999999</v>
      </c>
      <c r="I339" s="626">
        <v>38.896000000000001</v>
      </c>
      <c r="J339" s="629"/>
      <c r="K339" s="628">
        <f>Table4[[#This Row],[Qty]]*Table4[[#This Row],[Gallon Capacity Per Linear Foot]]</f>
        <v>0</v>
      </c>
      <c r="L339" s="628">
        <f>Table4[[#This Row],[Gallons]]*7.48</f>
        <v>0</v>
      </c>
      <c r="M339" s="628">
        <f>Table4[[#This Row],[Qty]]*Table4[[#This Row],[Weight per Foot]]</f>
        <v>0</v>
      </c>
      <c r="N339" s="628">
        <f>Table4[[#This Row],[Pipe Wt. ]]+Table4[[#This Row],[Fluid Wt. ]]</f>
        <v>0</v>
      </c>
    </row>
    <row r="340" spans="1:14" x14ac:dyDescent="0.2">
      <c r="A340" s="626">
        <v>32</v>
      </c>
      <c r="B340" s="626">
        <v>32</v>
      </c>
      <c r="C340" s="626">
        <v>0.625</v>
      </c>
      <c r="D340" s="626">
        <v>30.75</v>
      </c>
      <c r="E340" s="626">
        <v>209.62</v>
      </c>
      <c r="F340" s="626"/>
      <c r="G340" s="626">
        <v>30</v>
      </c>
      <c r="H340" s="626">
        <v>474.08199999999999</v>
      </c>
      <c r="I340" s="626">
        <v>38.579000000000001</v>
      </c>
      <c r="J340" s="629"/>
      <c r="K340" s="628">
        <f>Table4[[#This Row],[Qty]]*Table4[[#This Row],[Gallon Capacity Per Linear Foot]]</f>
        <v>0</v>
      </c>
      <c r="L340" s="628">
        <f>Table4[[#This Row],[Gallons]]*7.48</f>
        <v>0</v>
      </c>
      <c r="M340" s="628">
        <f>Table4[[#This Row],[Qty]]*Table4[[#This Row],[Weight per Foot]]</f>
        <v>0</v>
      </c>
      <c r="N340" s="628">
        <f>Table4[[#This Row],[Pipe Wt. ]]+Table4[[#This Row],[Fluid Wt. ]]</f>
        <v>0</v>
      </c>
    </row>
    <row r="341" spans="1:14" x14ac:dyDescent="0.2">
      <c r="A341" s="626">
        <v>32</v>
      </c>
      <c r="B341" s="626">
        <v>32</v>
      </c>
      <c r="C341" s="626">
        <v>0.65600000000000003</v>
      </c>
      <c r="D341" s="626">
        <v>30.687999999999999</v>
      </c>
      <c r="E341" s="626">
        <v>219.8</v>
      </c>
      <c r="F341" s="626"/>
      <c r="G341" s="626"/>
      <c r="H341" s="626">
        <v>496.14600000000002</v>
      </c>
      <c r="I341" s="626">
        <v>38.423000000000002</v>
      </c>
      <c r="J341" s="629"/>
      <c r="K341" s="628">
        <f>Table4[[#This Row],[Qty]]*Table4[[#This Row],[Gallon Capacity Per Linear Foot]]</f>
        <v>0</v>
      </c>
      <c r="L341" s="628">
        <f>Table4[[#This Row],[Gallons]]*7.48</f>
        <v>0</v>
      </c>
      <c r="M341" s="628">
        <f>Table4[[#This Row],[Qty]]*Table4[[#This Row],[Weight per Foot]]</f>
        <v>0</v>
      </c>
      <c r="N341" s="628">
        <f>Table4[[#This Row],[Pipe Wt. ]]+Table4[[#This Row],[Fluid Wt. ]]</f>
        <v>0</v>
      </c>
    </row>
    <row r="342" spans="1:14" x14ac:dyDescent="0.2">
      <c r="A342" s="626">
        <v>32</v>
      </c>
      <c r="B342" s="626">
        <v>32</v>
      </c>
      <c r="C342" s="626">
        <v>0.68799999999999994</v>
      </c>
      <c r="D342" s="626">
        <v>30.623999999999999</v>
      </c>
      <c r="E342" s="626">
        <v>230.29</v>
      </c>
      <c r="F342" s="626"/>
      <c r="G342" s="626">
        <v>40</v>
      </c>
      <c r="H342" s="626">
        <v>518.78</v>
      </c>
      <c r="I342" s="626">
        <v>38.262999999999998</v>
      </c>
      <c r="J342" s="629"/>
      <c r="K342" s="628">
        <f>Table4[[#This Row],[Qty]]*Table4[[#This Row],[Gallon Capacity Per Linear Foot]]</f>
        <v>0</v>
      </c>
      <c r="L342" s="628">
        <f>Table4[[#This Row],[Gallons]]*7.48</f>
        <v>0</v>
      </c>
      <c r="M342" s="628">
        <f>Table4[[#This Row],[Qty]]*Table4[[#This Row],[Weight per Foot]]</f>
        <v>0</v>
      </c>
      <c r="N342" s="628">
        <f>Table4[[#This Row],[Pipe Wt. ]]+Table4[[#This Row],[Fluid Wt. ]]</f>
        <v>0</v>
      </c>
    </row>
    <row r="343" spans="1:14" x14ac:dyDescent="0.2">
      <c r="A343" s="626">
        <v>32</v>
      </c>
      <c r="B343" s="626">
        <v>32</v>
      </c>
      <c r="C343" s="626">
        <v>0.75</v>
      </c>
      <c r="D343" s="626">
        <v>30.5</v>
      </c>
      <c r="E343" s="626">
        <v>250.55</v>
      </c>
      <c r="F343" s="626"/>
      <c r="G343" s="626"/>
      <c r="H343" s="626">
        <v>562.22900000000004</v>
      </c>
      <c r="I343" s="626">
        <v>37.954000000000001</v>
      </c>
      <c r="J343" s="629"/>
      <c r="K343" s="628">
        <f>Table4[[#This Row],[Qty]]*Table4[[#This Row],[Gallon Capacity Per Linear Foot]]</f>
        <v>0</v>
      </c>
      <c r="L343" s="628">
        <f>Table4[[#This Row],[Gallons]]*7.48</f>
        <v>0</v>
      </c>
      <c r="M343" s="628">
        <f>Table4[[#This Row],[Qty]]*Table4[[#This Row],[Weight per Foot]]</f>
        <v>0</v>
      </c>
      <c r="N343" s="628">
        <f>Table4[[#This Row],[Pipe Wt. ]]+Table4[[#This Row],[Fluid Wt. ]]</f>
        <v>0</v>
      </c>
    </row>
    <row r="344" spans="1:14" x14ac:dyDescent="0.2">
      <c r="A344" s="626">
        <v>32</v>
      </c>
      <c r="B344" s="626">
        <v>32</v>
      </c>
      <c r="C344" s="626">
        <v>0.875</v>
      </c>
      <c r="D344" s="626">
        <v>30.25</v>
      </c>
      <c r="E344" s="626">
        <v>291.14</v>
      </c>
      <c r="F344" s="626"/>
      <c r="G344" s="626"/>
      <c r="H344" s="626">
        <v>648.23099999999999</v>
      </c>
      <c r="I344" s="626">
        <v>37.334000000000003</v>
      </c>
      <c r="J344" s="629"/>
      <c r="K344" s="628">
        <f>Table4[[#This Row],[Qty]]*Table4[[#This Row],[Gallon Capacity Per Linear Foot]]</f>
        <v>0</v>
      </c>
      <c r="L344" s="628">
        <f>Table4[[#This Row],[Gallons]]*7.48</f>
        <v>0</v>
      </c>
      <c r="M344" s="628">
        <f>Table4[[#This Row],[Qty]]*Table4[[#This Row],[Weight per Foot]]</f>
        <v>0</v>
      </c>
      <c r="N344" s="628">
        <f>Table4[[#This Row],[Pipe Wt. ]]+Table4[[#This Row],[Fluid Wt. ]]</f>
        <v>0</v>
      </c>
    </row>
    <row r="345" spans="1:14" x14ac:dyDescent="0.2">
      <c r="A345" s="626">
        <v>32</v>
      </c>
      <c r="B345" s="626">
        <v>32</v>
      </c>
      <c r="C345" s="626">
        <v>1</v>
      </c>
      <c r="D345" s="626">
        <v>30</v>
      </c>
      <c r="E345" s="626">
        <v>331.39</v>
      </c>
      <c r="F345" s="626"/>
      <c r="G345" s="626"/>
      <c r="H345" s="626">
        <v>732.13</v>
      </c>
      <c r="I345" s="626">
        <v>36.72</v>
      </c>
      <c r="J345" s="629"/>
      <c r="K345" s="628">
        <f>Table4[[#This Row],[Qty]]*Table4[[#This Row],[Gallon Capacity Per Linear Foot]]</f>
        <v>0</v>
      </c>
      <c r="L345" s="628">
        <f>Table4[[#This Row],[Gallons]]*7.48</f>
        <v>0</v>
      </c>
      <c r="M345" s="628">
        <f>Table4[[#This Row],[Qty]]*Table4[[#This Row],[Weight per Foot]]</f>
        <v>0</v>
      </c>
      <c r="N345" s="628">
        <f>Table4[[#This Row],[Pipe Wt. ]]+Table4[[#This Row],[Fluid Wt. ]]</f>
        <v>0</v>
      </c>
    </row>
    <row r="346" spans="1:14" x14ac:dyDescent="0.2">
      <c r="A346" s="626">
        <v>34</v>
      </c>
      <c r="B346" s="626">
        <v>34</v>
      </c>
      <c r="C346" s="626">
        <v>0.25</v>
      </c>
      <c r="D346" s="626">
        <v>33.5</v>
      </c>
      <c r="E346" s="626">
        <v>90.2</v>
      </c>
      <c r="F346" s="626"/>
      <c r="G346" s="626"/>
      <c r="H346" s="626">
        <v>222.07900000000001</v>
      </c>
      <c r="I346" s="626">
        <v>45.787999999999997</v>
      </c>
      <c r="J346" s="629"/>
      <c r="K346" s="628">
        <f>Table4[[#This Row],[Qty]]*Table4[[#This Row],[Gallon Capacity Per Linear Foot]]</f>
        <v>0</v>
      </c>
      <c r="L346" s="628">
        <f>Table4[[#This Row],[Gallons]]*7.48</f>
        <v>0</v>
      </c>
      <c r="M346" s="628">
        <f>Table4[[#This Row],[Qty]]*Table4[[#This Row],[Weight per Foot]]</f>
        <v>0</v>
      </c>
      <c r="N346" s="628">
        <f>Table4[[#This Row],[Pipe Wt. ]]+Table4[[#This Row],[Fluid Wt. ]]</f>
        <v>0</v>
      </c>
    </row>
    <row r="347" spans="1:14" x14ac:dyDescent="0.2">
      <c r="A347" s="626">
        <v>34</v>
      </c>
      <c r="B347" s="626">
        <v>34</v>
      </c>
      <c r="C347" s="626">
        <v>0.312</v>
      </c>
      <c r="D347" s="626">
        <v>33.375999999999998</v>
      </c>
      <c r="E347" s="626">
        <v>112.36</v>
      </c>
      <c r="F347" s="626"/>
      <c r="G347" s="626"/>
      <c r="H347" s="626">
        <v>275.64</v>
      </c>
      <c r="I347" s="626">
        <v>45.558999999999997</v>
      </c>
      <c r="J347" s="629"/>
      <c r="K347" s="628">
        <f>Table4[[#This Row],[Qty]]*Table4[[#This Row],[Gallon Capacity Per Linear Foot]]</f>
        <v>0</v>
      </c>
      <c r="L347" s="628">
        <f>Table4[[#This Row],[Gallons]]*7.48</f>
        <v>0</v>
      </c>
      <c r="M347" s="628">
        <f>Table4[[#This Row],[Qty]]*Table4[[#This Row],[Weight per Foot]]</f>
        <v>0</v>
      </c>
      <c r="N347" s="628">
        <f>Table4[[#This Row],[Pipe Wt. ]]+Table4[[#This Row],[Fluid Wt. ]]</f>
        <v>0</v>
      </c>
    </row>
    <row r="348" spans="1:14" x14ac:dyDescent="0.2">
      <c r="A348" s="626">
        <v>34</v>
      </c>
      <c r="B348" s="626">
        <v>34</v>
      </c>
      <c r="C348" s="626">
        <v>0.34399999999999997</v>
      </c>
      <c r="D348" s="626">
        <v>33.311999999999998</v>
      </c>
      <c r="E348" s="626">
        <v>123.77</v>
      </c>
      <c r="F348" s="626"/>
      <c r="G348" s="626">
        <v>10</v>
      </c>
      <c r="H348" s="626">
        <v>303.05099999999999</v>
      </c>
      <c r="I348" s="626">
        <v>45.274999999999999</v>
      </c>
      <c r="J348" s="629"/>
      <c r="K348" s="628">
        <f>Table4[[#This Row],[Qty]]*Table4[[#This Row],[Gallon Capacity Per Linear Foot]]</f>
        <v>0</v>
      </c>
      <c r="L348" s="628">
        <f>Table4[[#This Row],[Gallons]]*7.48</f>
        <v>0</v>
      </c>
      <c r="M348" s="628">
        <f>Table4[[#This Row],[Qty]]*Table4[[#This Row],[Weight per Foot]]</f>
        <v>0</v>
      </c>
      <c r="N348" s="628">
        <f>Table4[[#This Row],[Pipe Wt. ]]+Table4[[#This Row],[Fluid Wt. ]]</f>
        <v>0</v>
      </c>
    </row>
    <row r="349" spans="1:14" x14ac:dyDescent="0.2">
      <c r="A349" s="626">
        <v>34</v>
      </c>
      <c r="B349" s="626">
        <v>34</v>
      </c>
      <c r="C349" s="626">
        <v>0.375</v>
      </c>
      <c r="D349" s="626">
        <v>33.25</v>
      </c>
      <c r="E349" s="626">
        <v>134.79</v>
      </c>
      <c r="F349" s="626" t="s">
        <v>859</v>
      </c>
      <c r="G349" s="626"/>
      <c r="H349" s="626">
        <v>329.452</v>
      </c>
      <c r="I349" s="626">
        <v>45.106999999999999</v>
      </c>
      <c r="J349" s="629"/>
      <c r="K349" s="628">
        <f>Table4[[#This Row],[Qty]]*Table4[[#This Row],[Gallon Capacity Per Linear Foot]]</f>
        <v>0</v>
      </c>
      <c r="L349" s="628">
        <f>Table4[[#This Row],[Gallons]]*7.48</f>
        <v>0</v>
      </c>
      <c r="M349" s="628">
        <f>Table4[[#This Row],[Qty]]*Table4[[#This Row],[Weight per Foot]]</f>
        <v>0</v>
      </c>
      <c r="N349" s="628">
        <f>Table4[[#This Row],[Pipe Wt. ]]+Table4[[#This Row],[Fluid Wt. ]]</f>
        <v>0</v>
      </c>
    </row>
    <row r="350" spans="1:14" x14ac:dyDescent="0.2">
      <c r="A350" s="626">
        <v>34</v>
      </c>
      <c r="B350" s="626">
        <v>34</v>
      </c>
      <c r="C350" s="626">
        <v>0.40600000000000003</v>
      </c>
      <c r="D350" s="626">
        <v>33.188000000000002</v>
      </c>
      <c r="E350" s="626">
        <v>145.80000000000001</v>
      </c>
      <c r="F350" s="626"/>
      <c r="G350" s="626"/>
      <c r="H350" s="626">
        <v>355.71199999999999</v>
      </c>
      <c r="I350" s="626">
        <v>44.939</v>
      </c>
      <c r="J350" s="629"/>
      <c r="K350" s="628">
        <f>Table4[[#This Row],[Qty]]*Table4[[#This Row],[Gallon Capacity Per Linear Foot]]</f>
        <v>0</v>
      </c>
      <c r="L350" s="628">
        <f>Table4[[#This Row],[Gallons]]*7.48</f>
        <v>0</v>
      </c>
      <c r="M350" s="628">
        <f>Table4[[#This Row],[Qty]]*Table4[[#This Row],[Weight per Foot]]</f>
        <v>0</v>
      </c>
      <c r="N350" s="628">
        <f>Table4[[#This Row],[Pipe Wt. ]]+Table4[[#This Row],[Fluid Wt. ]]</f>
        <v>0</v>
      </c>
    </row>
    <row r="351" spans="1:14" x14ac:dyDescent="0.2">
      <c r="A351" s="626">
        <v>34</v>
      </c>
      <c r="B351" s="626">
        <v>34</v>
      </c>
      <c r="C351" s="626">
        <v>0.438</v>
      </c>
      <c r="D351" s="626">
        <v>33.121000000000002</v>
      </c>
      <c r="E351" s="626">
        <v>157.13999999999999</v>
      </c>
      <c r="F351" s="626"/>
      <c r="G351" s="626"/>
      <c r="H351" s="626">
        <v>382.66199999999998</v>
      </c>
      <c r="I351" s="626">
        <v>44.765999999999998</v>
      </c>
      <c r="J351" s="629"/>
      <c r="K351" s="628">
        <f>Table4[[#This Row],[Qty]]*Table4[[#This Row],[Gallon Capacity Per Linear Foot]]</f>
        <v>0</v>
      </c>
      <c r="L351" s="628">
        <f>Table4[[#This Row],[Gallons]]*7.48</f>
        <v>0</v>
      </c>
      <c r="M351" s="628">
        <f>Table4[[#This Row],[Qty]]*Table4[[#This Row],[Weight per Foot]]</f>
        <v>0</v>
      </c>
      <c r="N351" s="628">
        <f>Table4[[#This Row],[Pipe Wt. ]]+Table4[[#This Row],[Fluid Wt. ]]</f>
        <v>0</v>
      </c>
    </row>
    <row r="352" spans="1:14" x14ac:dyDescent="0.2">
      <c r="A352" s="626">
        <v>34</v>
      </c>
      <c r="B352" s="626">
        <v>34</v>
      </c>
      <c r="C352" s="626">
        <v>0.46899999999999997</v>
      </c>
      <c r="D352" s="626">
        <v>33.061999999999998</v>
      </c>
      <c r="E352" s="626">
        <v>168.11</v>
      </c>
      <c r="F352" s="626"/>
      <c r="G352" s="626"/>
      <c r="H352" s="626">
        <v>408.62</v>
      </c>
      <c r="I352" s="626">
        <v>44.597999999999999</v>
      </c>
      <c r="J352" s="629"/>
      <c r="K352" s="628">
        <f>Table4[[#This Row],[Qty]]*Table4[[#This Row],[Gallon Capacity Per Linear Foot]]</f>
        <v>0</v>
      </c>
      <c r="L352" s="628">
        <f>Table4[[#This Row],[Gallons]]*7.48</f>
        <v>0</v>
      </c>
      <c r="M352" s="628">
        <f>Table4[[#This Row],[Qty]]*Table4[[#This Row],[Weight per Foot]]</f>
        <v>0</v>
      </c>
      <c r="N352" s="628">
        <f>Table4[[#This Row],[Pipe Wt. ]]+Table4[[#This Row],[Fluid Wt. ]]</f>
        <v>0</v>
      </c>
    </row>
    <row r="353" spans="1:14" x14ac:dyDescent="0.2">
      <c r="A353" s="626">
        <v>34</v>
      </c>
      <c r="B353" s="626">
        <v>34</v>
      </c>
      <c r="C353" s="626">
        <v>0.5</v>
      </c>
      <c r="D353" s="626">
        <v>33</v>
      </c>
      <c r="E353" s="626">
        <v>179.06</v>
      </c>
      <c r="F353" s="626" t="s">
        <v>857</v>
      </c>
      <c r="G353" s="626">
        <v>20</v>
      </c>
      <c r="H353" s="626">
        <v>434.43400000000003</v>
      </c>
      <c r="I353" s="626">
        <v>44.430999999999997</v>
      </c>
      <c r="J353" s="629"/>
      <c r="K353" s="628">
        <f>Table4[[#This Row],[Qty]]*Table4[[#This Row],[Gallon Capacity Per Linear Foot]]</f>
        <v>0</v>
      </c>
      <c r="L353" s="628">
        <f>Table4[[#This Row],[Gallons]]*7.48</f>
        <v>0</v>
      </c>
      <c r="M353" s="628">
        <f>Table4[[#This Row],[Qty]]*Table4[[#This Row],[Weight per Foot]]</f>
        <v>0</v>
      </c>
      <c r="N353" s="628">
        <f>Table4[[#This Row],[Pipe Wt. ]]+Table4[[#This Row],[Fluid Wt. ]]</f>
        <v>0</v>
      </c>
    </row>
    <row r="354" spans="1:14" x14ac:dyDescent="0.2">
      <c r="A354" s="626">
        <v>34</v>
      </c>
      <c r="B354" s="626">
        <v>34</v>
      </c>
      <c r="C354" s="626">
        <v>0.56200000000000006</v>
      </c>
      <c r="D354" s="626">
        <v>32.875999999999998</v>
      </c>
      <c r="E354" s="626">
        <v>200.89</v>
      </c>
      <c r="F354" s="626"/>
      <c r="G354" s="626"/>
      <c r="H354" s="626">
        <v>485.62799999999999</v>
      </c>
      <c r="I354" s="626">
        <v>44.097999999999999</v>
      </c>
      <c r="J354" s="629"/>
      <c r="K354" s="628">
        <f>Table4[[#This Row],[Qty]]*Table4[[#This Row],[Gallon Capacity Per Linear Foot]]</f>
        <v>0</v>
      </c>
      <c r="L354" s="628">
        <f>Table4[[#This Row],[Gallons]]*7.48</f>
        <v>0</v>
      </c>
      <c r="M354" s="628">
        <f>Table4[[#This Row],[Qty]]*Table4[[#This Row],[Weight per Foot]]</f>
        <v>0</v>
      </c>
      <c r="N354" s="628">
        <f>Table4[[#This Row],[Pipe Wt. ]]+Table4[[#This Row],[Fluid Wt. ]]</f>
        <v>0</v>
      </c>
    </row>
    <row r="355" spans="1:14" x14ac:dyDescent="0.2">
      <c r="A355" s="626">
        <v>34</v>
      </c>
      <c r="B355" s="626">
        <v>34</v>
      </c>
      <c r="C355" s="626">
        <v>0.625</v>
      </c>
      <c r="D355" s="626">
        <v>32.75</v>
      </c>
      <c r="E355" s="626">
        <v>222.99</v>
      </c>
      <c r="F355" s="626"/>
      <c r="G355" s="626">
        <v>30</v>
      </c>
      <c r="H355" s="626">
        <v>537.053</v>
      </c>
      <c r="I355" s="626">
        <v>43.76</v>
      </c>
      <c r="J355" s="629"/>
      <c r="K355" s="628">
        <f>Table4[[#This Row],[Qty]]*Table4[[#This Row],[Gallon Capacity Per Linear Foot]]</f>
        <v>0</v>
      </c>
      <c r="L355" s="628">
        <f>Table4[[#This Row],[Gallons]]*7.48</f>
        <v>0</v>
      </c>
      <c r="M355" s="628">
        <f>Table4[[#This Row],[Qty]]*Table4[[#This Row],[Weight per Foot]]</f>
        <v>0</v>
      </c>
      <c r="N355" s="628">
        <f>Table4[[#This Row],[Pipe Wt. ]]+Table4[[#This Row],[Fluid Wt. ]]</f>
        <v>0</v>
      </c>
    </row>
    <row r="356" spans="1:14" x14ac:dyDescent="0.2">
      <c r="A356" s="626">
        <v>34</v>
      </c>
      <c r="B356" s="626">
        <v>34</v>
      </c>
      <c r="C356" s="626">
        <v>0.65600000000000003</v>
      </c>
      <c r="D356" s="626">
        <v>32.688000000000002</v>
      </c>
      <c r="E356" s="626">
        <v>233.83</v>
      </c>
      <c r="F356" s="626"/>
      <c r="G356" s="626"/>
      <c r="H356" s="626">
        <v>562.14499999999998</v>
      </c>
      <c r="I356" s="626">
        <v>43.594999999999999</v>
      </c>
      <c r="J356" s="629"/>
      <c r="K356" s="628">
        <f>Table4[[#This Row],[Qty]]*Table4[[#This Row],[Gallon Capacity Per Linear Foot]]</f>
        <v>0</v>
      </c>
      <c r="L356" s="628">
        <f>Table4[[#This Row],[Gallons]]*7.48</f>
        <v>0</v>
      </c>
      <c r="M356" s="628">
        <f>Table4[[#This Row],[Qty]]*Table4[[#This Row],[Weight per Foot]]</f>
        <v>0</v>
      </c>
      <c r="N356" s="628">
        <f>Table4[[#This Row],[Pipe Wt. ]]+Table4[[#This Row],[Fluid Wt. ]]</f>
        <v>0</v>
      </c>
    </row>
    <row r="357" spans="1:14" x14ac:dyDescent="0.2">
      <c r="A357" s="626">
        <v>34</v>
      </c>
      <c r="B357" s="626">
        <v>34</v>
      </c>
      <c r="C357" s="626">
        <v>0.68799999999999994</v>
      </c>
      <c r="D357" s="626">
        <v>32.621000000000002</v>
      </c>
      <c r="E357" s="626">
        <v>245</v>
      </c>
      <c r="F357" s="626"/>
      <c r="G357" s="626">
        <v>40</v>
      </c>
      <c r="H357" s="626">
        <v>587.89400000000001</v>
      </c>
      <c r="I357" s="626">
        <v>43.423999999999999</v>
      </c>
      <c r="J357" s="629"/>
      <c r="K357" s="628">
        <f>Table4[[#This Row],[Qty]]*Table4[[#This Row],[Gallon Capacity Per Linear Foot]]</f>
        <v>0</v>
      </c>
      <c r="L357" s="628">
        <f>Table4[[#This Row],[Gallons]]*7.48</f>
        <v>0</v>
      </c>
      <c r="M357" s="628">
        <f>Table4[[#This Row],[Qty]]*Table4[[#This Row],[Weight per Foot]]</f>
        <v>0</v>
      </c>
      <c r="N357" s="628">
        <f>Table4[[#This Row],[Pipe Wt. ]]+Table4[[#This Row],[Fluid Wt. ]]</f>
        <v>0</v>
      </c>
    </row>
    <row r="358" spans="1:14" x14ac:dyDescent="0.2">
      <c r="A358" s="626">
        <v>34</v>
      </c>
      <c r="B358" s="626">
        <v>34</v>
      </c>
      <c r="C358" s="626">
        <v>0.75</v>
      </c>
      <c r="D358" s="626">
        <v>32.5</v>
      </c>
      <c r="E358" s="626">
        <v>266.58</v>
      </c>
      <c r="F358" s="626"/>
      <c r="G358" s="626"/>
      <c r="H358" s="626">
        <v>637.35199999999998</v>
      </c>
      <c r="I358" s="626">
        <v>43.094999999999999</v>
      </c>
      <c r="J358" s="629"/>
      <c r="K358" s="628">
        <f>Table4[[#This Row],[Qty]]*Table4[[#This Row],[Gallon Capacity Per Linear Foot]]</f>
        <v>0</v>
      </c>
      <c r="L358" s="628">
        <f>Table4[[#This Row],[Gallons]]*7.48</f>
        <v>0</v>
      </c>
      <c r="M358" s="628">
        <f>Table4[[#This Row],[Qty]]*Table4[[#This Row],[Weight per Foot]]</f>
        <v>0</v>
      </c>
      <c r="N358" s="628">
        <f>Table4[[#This Row],[Pipe Wt. ]]+Table4[[#This Row],[Fluid Wt. ]]</f>
        <v>0</v>
      </c>
    </row>
    <row r="359" spans="1:14" x14ac:dyDescent="0.2">
      <c r="A359" s="626">
        <v>34</v>
      </c>
      <c r="B359" s="626">
        <v>34</v>
      </c>
      <c r="C359" s="626">
        <v>0.875</v>
      </c>
      <c r="D359" s="626">
        <v>32.25</v>
      </c>
      <c r="E359" s="626">
        <v>309.83999999999997</v>
      </c>
      <c r="F359" s="626"/>
      <c r="G359" s="626"/>
      <c r="H359" s="626">
        <v>735.36</v>
      </c>
      <c r="I359" s="626">
        <v>42.433999999999997</v>
      </c>
      <c r="J359" s="629"/>
      <c r="K359" s="628">
        <f>Table4[[#This Row],[Qty]]*Table4[[#This Row],[Gallon Capacity Per Linear Foot]]</f>
        <v>0</v>
      </c>
      <c r="L359" s="628">
        <f>Table4[[#This Row],[Gallons]]*7.48</f>
        <v>0</v>
      </c>
      <c r="M359" s="628">
        <f>Table4[[#This Row],[Qty]]*Table4[[#This Row],[Weight per Foot]]</f>
        <v>0</v>
      </c>
      <c r="N359" s="628">
        <f>Table4[[#This Row],[Pipe Wt. ]]+Table4[[#This Row],[Fluid Wt. ]]</f>
        <v>0</v>
      </c>
    </row>
    <row r="360" spans="1:14" x14ac:dyDescent="0.2">
      <c r="A360" s="626">
        <v>34</v>
      </c>
      <c r="B360" s="626">
        <v>34</v>
      </c>
      <c r="C360" s="626">
        <v>1</v>
      </c>
      <c r="D360" s="626">
        <v>32</v>
      </c>
      <c r="E360" s="626">
        <v>352.77</v>
      </c>
      <c r="F360" s="626"/>
      <c r="G360" s="626"/>
      <c r="H360" s="626">
        <v>831.11900000000003</v>
      </c>
      <c r="I360" s="626">
        <v>41.779000000000003</v>
      </c>
      <c r="J360" s="629"/>
      <c r="K360" s="628">
        <f>Table4[[#This Row],[Qty]]*Table4[[#This Row],[Gallon Capacity Per Linear Foot]]</f>
        <v>0</v>
      </c>
      <c r="L360" s="628">
        <f>Table4[[#This Row],[Gallons]]*7.48</f>
        <v>0</v>
      </c>
      <c r="M360" s="628">
        <f>Table4[[#This Row],[Qty]]*Table4[[#This Row],[Weight per Foot]]</f>
        <v>0</v>
      </c>
      <c r="N360" s="628">
        <f>Table4[[#This Row],[Pipe Wt. ]]+Table4[[#This Row],[Fluid Wt. ]]</f>
        <v>0</v>
      </c>
    </row>
    <row r="361" spans="1:14" x14ac:dyDescent="0.2">
      <c r="A361" s="626">
        <v>36</v>
      </c>
      <c r="B361" s="626">
        <v>36</v>
      </c>
      <c r="C361" s="626">
        <v>0.25</v>
      </c>
      <c r="D361" s="626">
        <v>35.5</v>
      </c>
      <c r="E361" s="626">
        <v>95.54</v>
      </c>
      <c r="F361" s="626"/>
      <c r="G361" s="626"/>
      <c r="H361" s="626">
        <v>249.28100000000001</v>
      </c>
      <c r="I361" s="626">
        <v>51.417999999999999</v>
      </c>
      <c r="J361" s="629"/>
      <c r="K361" s="628">
        <f>Table4[[#This Row],[Qty]]*Table4[[#This Row],[Gallon Capacity Per Linear Foot]]</f>
        <v>0</v>
      </c>
      <c r="L361" s="628">
        <f>Table4[[#This Row],[Gallons]]*7.48</f>
        <v>0</v>
      </c>
      <c r="M361" s="628">
        <f>Table4[[#This Row],[Qty]]*Table4[[#This Row],[Weight per Foot]]</f>
        <v>0</v>
      </c>
      <c r="N361" s="628">
        <f>Table4[[#This Row],[Pipe Wt. ]]+Table4[[#This Row],[Fluid Wt. ]]</f>
        <v>0</v>
      </c>
    </row>
    <row r="362" spans="1:14" x14ac:dyDescent="0.2">
      <c r="A362" s="626">
        <v>36</v>
      </c>
      <c r="B362" s="626">
        <v>36</v>
      </c>
      <c r="C362" s="626">
        <v>0.28100000000000003</v>
      </c>
      <c r="D362" s="626">
        <v>35.438000000000002</v>
      </c>
      <c r="E362" s="626">
        <v>107.3</v>
      </c>
      <c r="F362" s="626"/>
      <c r="G362" s="626"/>
      <c r="H362" s="626">
        <v>279.46600000000001</v>
      </c>
      <c r="I362" s="626">
        <v>51.238999999999997</v>
      </c>
      <c r="J362" s="629"/>
      <c r="K362" s="628">
        <f>Table4[[#This Row],[Qty]]*Table4[[#This Row],[Gallon Capacity Per Linear Foot]]</f>
        <v>0</v>
      </c>
      <c r="L362" s="628">
        <f>Table4[[#This Row],[Gallons]]*7.48</f>
        <v>0</v>
      </c>
      <c r="M362" s="628">
        <f>Table4[[#This Row],[Qty]]*Table4[[#This Row],[Weight per Foot]]</f>
        <v>0</v>
      </c>
      <c r="N362" s="628">
        <f>Table4[[#This Row],[Pipe Wt. ]]+Table4[[#This Row],[Fluid Wt. ]]</f>
        <v>0</v>
      </c>
    </row>
    <row r="363" spans="1:14" x14ac:dyDescent="0.2">
      <c r="A363" s="626">
        <v>36</v>
      </c>
      <c r="B363" s="626">
        <v>36</v>
      </c>
      <c r="C363" s="626">
        <v>0.312</v>
      </c>
      <c r="D363" s="626">
        <v>35.375999999999998</v>
      </c>
      <c r="E363" s="626">
        <v>119.03</v>
      </c>
      <c r="F363" s="626"/>
      <c r="G363" s="626">
        <v>10</v>
      </c>
      <c r="H363" s="626">
        <v>309.49599999999998</v>
      </c>
      <c r="I363" s="626">
        <v>51.058999999999997</v>
      </c>
      <c r="J363" s="629"/>
      <c r="K363" s="628">
        <f>Table4[[#This Row],[Qty]]*Table4[[#This Row],[Gallon Capacity Per Linear Foot]]</f>
        <v>0</v>
      </c>
      <c r="L363" s="628">
        <f>Table4[[#This Row],[Gallons]]*7.48</f>
        <v>0</v>
      </c>
      <c r="M363" s="628">
        <f>Table4[[#This Row],[Qty]]*Table4[[#This Row],[Weight per Foot]]</f>
        <v>0</v>
      </c>
      <c r="N363" s="628">
        <f>Table4[[#This Row],[Pipe Wt. ]]+Table4[[#This Row],[Fluid Wt. ]]</f>
        <v>0</v>
      </c>
    </row>
    <row r="364" spans="1:14" x14ac:dyDescent="0.2">
      <c r="A364" s="626">
        <v>36</v>
      </c>
      <c r="B364" s="626">
        <v>36</v>
      </c>
      <c r="C364" s="626">
        <v>0.34399999999999997</v>
      </c>
      <c r="D364" s="626">
        <v>35.311999999999998</v>
      </c>
      <c r="E364" s="626">
        <v>131.12</v>
      </c>
      <c r="F364" s="626"/>
      <c r="G364" s="626"/>
      <c r="H364" s="626">
        <v>340.32799999999997</v>
      </c>
      <c r="I364" s="626">
        <v>50.875</v>
      </c>
      <c r="J364" s="629"/>
      <c r="K364" s="628">
        <f>Table4[[#This Row],[Qty]]*Table4[[#This Row],[Gallon Capacity Per Linear Foot]]</f>
        <v>0</v>
      </c>
      <c r="L364" s="628">
        <f>Table4[[#This Row],[Gallons]]*7.48</f>
        <v>0</v>
      </c>
      <c r="M364" s="628">
        <f>Table4[[#This Row],[Qty]]*Table4[[#This Row],[Weight per Foot]]</f>
        <v>0</v>
      </c>
      <c r="N364" s="628">
        <f>Table4[[#This Row],[Pipe Wt. ]]+Table4[[#This Row],[Fluid Wt. ]]</f>
        <v>0</v>
      </c>
    </row>
    <row r="365" spans="1:14" x14ac:dyDescent="0.2">
      <c r="A365" s="626">
        <v>36</v>
      </c>
      <c r="B365" s="626">
        <v>36</v>
      </c>
      <c r="C365" s="626">
        <v>0.375</v>
      </c>
      <c r="D365" s="626">
        <v>35.25</v>
      </c>
      <c r="E365" s="626">
        <v>142.81</v>
      </c>
      <c r="F365" s="626" t="s">
        <v>859</v>
      </c>
      <c r="G365" s="626"/>
      <c r="H365" s="626">
        <v>370.03300000000002</v>
      </c>
      <c r="I365" s="626">
        <v>50.695999999999998</v>
      </c>
      <c r="J365" s="629"/>
      <c r="K365" s="628">
        <f>Table4[[#This Row],[Qty]]*Table4[[#This Row],[Gallon Capacity Per Linear Foot]]</f>
        <v>0</v>
      </c>
      <c r="L365" s="628">
        <f>Table4[[#This Row],[Gallons]]*7.48</f>
        <v>0</v>
      </c>
      <c r="M365" s="628">
        <f>Table4[[#This Row],[Qty]]*Table4[[#This Row],[Weight per Foot]]</f>
        <v>0</v>
      </c>
      <c r="N365" s="628">
        <f>Table4[[#This Row],[Pipe Wt. ]]+Table4[[#This Row],[Fluid Wt. ]]</f>
        <v>0</v>
      </c>
    </row>
    <row r="366" spans="1:14" x14ac:dyDescent="0.2">
      <c r="A366" s="626">
        <v>36</v>
      </c>
      <c r="B366" s="626">
        <v>36</v>
      </c>
      <c r="C366" s="626">
        <v>0.40600000000000003</v>
      </c>
      <c r="D366" s="626">
        <v>35.188000000000002</v>
      </c>
      <c r="E366" s="626">
        <v>154.47999999999999</v>
      </c>
      <c r="F366" s="626"/>
      <c r="G366" s="626"/>
      <c r="H366" s="626">
        <v>399.589</v>
      </c>
      <c r="I366" s="626">
        <v>50.518000000000001</v>
      </c>
      <c r="J366" s="629"/>
      <c r="K366" s="628">
        <f>Table4[[#This Row],[Qty]]*Table4[[#This Row],[Gallon Capacity Per Linear Foot]]</f>
        <v>0</v>
      </c>
      <c r="L366" s="628">
        <f>Table4[[#This Row],[Gallons]]*7.48</f>
        <v>0</v>
      </c>
      <c r="M366" s="628">
        <f>Table4[[#This Row],[Qty]]*Table4[[#This Row],[Weight per Foot]]</f>
        <v>0</v>
      </c>
      <c r="N366" s="628">
        <f>Table4[[#This Row],[Pipe Wt. ]]+Table4[[#This Row],[Fluid Wt. ]]</f>
        <v>0</v>
      </c>
    </row>
    <row r="367" spans="1:14" x14ac:dyDescent="0.2">
      <c r="A367" s="626">
        <v>36</v>
      </c>
      <c r="B367" s="626">
        <v>36</v>
      </c>
      <c r="C367" s="626">
        <v>0.438</v>
      </c>
      <c r="D367" s="626">
        <v>35.121000000000002</v>
      </c>
      <c r="E367" s="626">
        <v>166.51</v>
      </c>
      <c r="F367" s="626"/>
      <c r="G367" s="626"/>
      <c r="H367" s="626">
        <v>429.93099999999998</v>
      </c>
      <c r="I367" s="626">
        <v>50.335000000000001</v>
      </c>
      <c r="J367" s="629"/>
      <c r="K367" s="628">
        <f>Table4[[#This Row],[Qty]]*Table4[[#This Row],[Gallon Capacity Per Linear Foot]]</f>
        <v>0</v>
      </c>
      <c r="L367" s="628">
        <f>Table4[[#This Row],[Gallons]]*7.48</f>
        <v>0</v>
      </c>
      <c r="M367" s="628">
        <f>Table4[[#This Row],[Qty]]*Table4[[#This Row],[Weight per Foot]]</f>
        <v>0</v>
      </c>
      <c r="N367" s="628">
        <f>Table4[[#This Row],[Pipe Wt. ]]+Table4[[#This Row],[Fluid Wt. ]]</f>
        <v>0</v>
      </c>
    </row>
    <row r="368" spans="1:14" x14ac:dyDescent="0.2">
      <c r="A368" s="626">
        <v>36</v>
      </c>
      <c r="B368" s="626">
        <v>36</v>
      </c>
      <c r="C368" s="626">
        <v>0.46899999999999997</v>
      </c>
      <c r="D368" s="626">
        <v>35.061999999999998</v>
      </c>
      <c r="E368" s="626">
        <v>178.14</v>
      </c>
      <c r="F368" s="626"/>
      <c r="G368" s="626"/>
      <c r="H368" s="626">
        <v>459.166</v>
      </c>
      <c r="I368" s="626">
        <v>50.156999999999996</v>
      </c>
      <c r="J368" s="629"/>
      <c r="K368" s="628">
        <f>Table4[[#This Row],[Qty]]*Table4[[#This Row],[Gallon Capacity Per Linear Foot]]</f>
        <v>0</v>
      </c>
      <c r="L368" s="628">
        <f>Table4[[#This Row],[Gallons]]*7.48</f>
        <v>0</v>
      </c>
      <c r="M368" s="628">
        <f>Table4[[#This Row],[Qty]]*Table4[[#This Row],[Weight per Foot]]</f>
        <v>0</v>
      </c>
      <c r="N368" s="628">
        <f>Table4[[#This Row],[Pipe Wt. ]]+Table4[[#This Row],[Fluid Wt. ]]</f>
        <v>0</v>
      </c>
    </row>
    <row r="369" spans="1:14" x14ac:dyDescent="0.2">
      <c r="A369" s="626">
        <v>36</v>
      </c>
      <c r="B369" s="626">
        <v>36</v>
      </c>
      <c r="C369" s="626">
        <v>0.5</v>
      </c>
      <c r="D369" s="626">
        <v>35</v>
      </c>
      <c r="E369" s="626">
        <v>189.75</v>
      </c>
      <c r="F369" s="626" t="s">
        <v>857</v>
      </c>
      <c r="G369" s="626">
        <v>20</v>
      </c>
      <c r="H369" s="626">
        <v>488.24799999999999</v>
      </c>
      <c r="I369" s="626">
        <v>49.87</v>
      </c>
      <c r="J369" s="629"/>
      <c r="K369" s="628">
        <f>Table4[[#This Row],[Qty]]*Table4[[#This Row],[Gallon Capacity Per Linear Foot]]</f>
        <v>0</v>
      </c>
      <c r="L369" s="628">
        <f>Table4[[#This Row],[Gallons]]*7.48</f>
        <v>0</v>
      </c>
      <c r="M369" s="628">
        <f>Table4[[#This Row],[Qty]]*Table4[[#This Row],[Weight per Foot]]</f>
        <v>0</v>
      </c>
      <c r="N369" s="628">
        <f>Table4[[#This Row],[Pipe Wt. ]]+Table4[[#This Row],[Fluid Wt. ]]</f>
        <v>0</v>
      </c>
    </row>
    <row r="370" spans="1:14" x14ac:dyDescent="0.2">
      <c r="A370" s="626">
        <v>36</v>
      </c>
      <c r="B370" s="626">
        <v>36</v>
      </c>
      <c r="C370" s="626">
        <v>0.56200000000000006</v>
      </c>
      <c r="D370" s="626">
        <v>34.875999999999998</v>
      </c>
      <c r="E370" s="626">
        <v>212.9</v>
      </c>
      <c r="F370" s="626"/>
      <c r="G370" s="626"/>
      <c r="H370" s="626">
        <v>545.95000000000005</v>
      </c>
      <c r="I370" s="626">
        <v>49.625999999999998</v>
      </c>
      <c r="J370" s="629"/>
      <c r="K370" s="628">
        <f>Table4[[#This Row],[Qty]]*Table4[[#This Row],[Gallon Capacity Per Linear Foot]]</f>
        <v>0</v>
      </c>
      <c r="L370" s="628">
        <f>Table4[[#This Row],[Gallons]]*7.48</f>
        <v>0</v>
      </c>
      <c r="M370" s="628">
        <f>Table4[[#This Row],[Qty]]*Table4[[#This Row],[Weight per Foot]]</f>
        <v>0</v>
      </c>
      <c r="N370" s="628">
        <f>Table4[[#This Row],[Pipe Wt. ]]+Table4[[#This Row],[Fluid Wt. ]]</f>
        <v>0</v>
      </c>
    </row>
    <row r="371" spans="1:14" x14ac:dyDescent="0.2">
      <c r="A371" s="626">
        <v>36</v>
      </c>
      <c r="B371" s="626">
        <v>36</v>
      </c>
      <c r="C371" s="626">
        <v>0.625</v>
      </c>
      <c r="D371" s="626">
        <v>34.75</v>
      </c>
      <c r="E371" s="626">
        <v>236.35</v>
      </c>
      <c r="F371" s="626"/>
      <c r="G371" s="626">
        <v>30</v>
      </c>
      <c r="H371" s="626">
        <v>603.952</v>
      </c>
      <c r="I371" s="626">
        <v>49.268000000000001</v>
      </c>
      <c r="J371" s="629"/>
      <c r="K371" s="628">
        <f>Table4[[#This Row],[Qty]]*Table4[[#This Row],[Gallon Capacity Per Linear Foot]]</f>
        <v>0</v>
      </c>
      <c r="L371" s="628">
        <f>Table4[[#This Row],[Gallons]]*7.48</f>
        <v>0</v>
      </c>
      <c r="M371" s="628">
        <f>Table4[[#This Row],[Qty]]*Table4[[#This Row],[Weight per Foot]]</f>
        <v>0</v>
      </c>
      <c r="N371" s="628">
        <f>Table4[[#This Row],[Pipe Wt. ]]+Table4[[#This Row],[Fluid Wt. ]]</f>
        <v>0</v>
      </c>
    </row>
    <row r="372" spans="1:14" x14ac:dyDescent="0.2">
      <c r="A372" s="626">
        <v>36</v>
      </c>
      <c r="B372" s="626">
        <v>36</v>
      </c>
      <c r="C372" s="626">
        <v>0.65600000000000003</v>
      </c>
      <c r="D372" s="626">
        <v>34.688000000000002</v>
      </c>
      <c r="E372" s="626">
        <v>247.85</v>
      </c>
      <c r="F372" s="626"/>
      <c r="G372" s="626"/>
      <c r="H372" s="626">
        <v>632.26700000000005</v>
      </c>
      <c r="I372" s="626">
        <v>49.093000000000004</v>
      </c>
      <c r="J372" s="629"/>
      <c r="K372" s="628">
        <f>Table4[[#This Row],[Qty]]*Table4[[#This Row],[Gallon Capacity Per Linear Foot]]</f>
        <v>0</v>
      </c>
      <c r="L372" s="628">
        <f>Table4[[#This Row],[Gallons]]*7.48</f>
        <v>0</v>
      </c>
      <c r="M372" s="628">
        <f>Table4[[#This Row],[Qty]]*Table4[[#This Row],[Weight per Foot]]</f>
        <v>0</v>
      </c>
      <c r="N372" s="628">
        <f>Table4[[#This Row],[Pipe Wt. ]]+Table4[[#This Row],[Fluid Wt. ]]</f>
        <v>0</v>
      </c>
    </row>
    <row r="373" spans="1:14" x14ac:dyDescent="0.2">
      <c r="A373" s="626">
        <v>36</v>
      </c>
      <c r="B373" s="626">
        <v>36</v>
      </c>
      <c r="C373" s="626">
        <v>0.68799999999999994</v>
      </c>
      <c r="D373" s="626">
        <v>34.624000000000002</v>
      </c>
      <c r="E373" s="626">
        <v>259.70999999999998</v>
      </c>
      <c r="F373" s="626"/>
      <c r="G373" s="626"/>
      <c r="H373" s="626">
        <v>661.33299999999997</v>
      </c>
      <c r="I373" s="626">
        <v>48.911999999999999</v>
      </c>
      <c r="J373" s="629"/>
      <c r="K373" s="628">
        <f>Table4[[#This Row],[Qty]]*Table4[[#This Row],[Gallon Capacity Per Linear Foot]]</f>
        <v>0</v>
      </c>
      <c r="L373" s="628">
        <f>Table4[[#This Row],[Gallons]]*7.48</f>
        <v>0</v>
      </c>
      <c r="M373" s="628">
        <f>Table4[[#This Row],[Qty]]*Table4[[#This Row],[Weight per Foot]]</f>
        <v>0</v>
      </c>
      <c r="N373" s="628">
        <f>Table4[[#This Row],[Pipe Wt. ]]+Table4[[#This Row],[Fluid Wt. ]]</f>
        <v>0</v>
      </c>
    </row>
    <row r="374" spans="1:14" x14ac:dyDescent="0.2">
      <c r="A374" s="626">
        <v>36</v>
      </c>
      <c r="B374" s="626">
        <v>36</v>
      </c>
      <c r="C374" s="626">
        <v>0.75</v>
      </c>
      <c r="D374" s="626">
        <v>34.5</v>
      </c>
      <c r="E374" s="626">
        <v>282.62</v>
      </c>
      <c r="F374" s="626"/>
      <c r="G374" s="626">
        <v>40</v>
      </c>
      <c r="H374" s="626">
        <v>717.19</v>
      </c>
      <c r="I374" s="626">
        <v>48.561999999999998</v>
      </c>
      <c r="J374" s="629"/>
      <c r="K374" s="628">
        <f>Table4[[#This Row],[Qty]]*Table4[[#This Row],[Gallon Capacity Per Linear Foot]]</f>
        <v>0</v>
      </c>
      <c r="L374" s="628">
        <f>Table4[[#This Row],[Gallons]]*7.48</f>
        <v>0</v>
      </c>
      <c r="M374" s="628">
        <f>Table4[[#This Row],[Qty]]*Table4[[#This Row],[Weight per Foot]]</f>
        <v>0</v>
      </c>
      <c r="N374" s="628">
        <f>Table4[[#This Row],[Pipe Wt. ]]+Table4[[#This Row],[Fluid Wt. ]]</f>
        <v>0</v>
      </c>
    </row>
    <row r="375" spans="1:14" x14ac:dyDescent="0.2">
      <c r="A375" s="626">
        <v>36</v>
      </c>
      <c r="B375" s="626">
        <v>36</v>
      </c>
      <c r="C375" s="626">
        <v>0.875</v>
      </c>
      <c r="D375" s="626">
        <v>34.25</v>
      </c>
      <c r="E375" s="626">
        <v>328.55</v>
      </c>
      <c r="F375" s="626"/>
      <c r="G375" s="626"/>
      <c r="H375" s="626">
        <v>827.98900000000003</v>
      </c>
      <c r="I375" s="626">
        <v>47.860999999999997</v>
      </c>
      <c r="J375" s="629"/>
      <c r="K375" s="628">
        <f>Table4[[#This Row],[Qty]]*Table4[[#This Row],[Gallon Capacity Per Linear Foot]]</f>
        <v>0</v>
      </c>
      <c r="L375" s="628">
        <f>Table4[[#This Row],[Gallons]]*7.48</f>
        <v>0</v>
      </c>
      <c r="M375" s="628">
        <f>Table4[[#This Row],[Qty]]*Table4[[#This Row],[Weight per Foot]]</f>
        <v>0</v>
      </c>
      <c r="N375" s="628">
        <f>Table4[[#This Row],[Pipe Wt. ]]+Table4[[#This Row],[Fluid Wt. ]]</f>
        <v>0</v>
      </c>
    </row>
    <row r="376" spans="1:14" x14ac:dyDescent="0.2">
      <c r="A376" s="626">
        <v>36</v>
      </c>
      <c r="B376" s="626">
        <v>36</v>
      </c>
      <c r="C376" s="626">
        <v>1</v>
      </c>
      <c r="D376" s="626">
        <v>34</v>
      </c>
      <c r="E376" s="626">
        <v>374.15</v>
      </c>
      <c r="F376" s="626"/>
      <c r="G376" s="626"/>
      <c r="H376" s="626">
        <v>936.39200000000005</v>
      </c>
      <c r="I376" s="626">
        <v>47.164999999999999</v>
      </c>
      <c r="J376" s="629"/>
      <c r="K376" s="628">
        <f>Table4[[#This Row],[Qty]]*Table4[[#This Row],[Gallon Capacity Per Linear Foot]]</f>
        <v>0</v>
      </c>
      <c r="L376" s="628">
        <f>Table4[[#This Row],[Gallons]]*7.48</f>
        <v>0</v>
      </c>
      <c r="M376" s="628">
        <f>Table4[[#This Row],[Qty]]*Table4[[#This Row],[Weight per Foot]]</f>
        <v>0</v>
      </c>
      <c r="N376" s="628">
        <f>Table4[[#This Row],[Pipe Wt. ]]+Table4[[#This Row],[Fluid Wt. ]]</f>
        <v>0</v>
      </c>
    </row>
    <row r="377" spans="1:14" x14ac:dyDescent="0.2">
      <c r="A377" s="626">
        <v>38</v>
      </c>
      <c r="B377" s="626">
        <v>38</v>
      </c>
      <c r="C377" s="626">
        <v>0.312</v>
      </c>
      <c r="D377" s="626">
        <v>37.375999999999998</v>
      </c>
      <c r="E377" s="626">
        <v>125.7</v>
      </c>
      <c r="F377" s="626"/>
      <c r="G377" s="626"/>
      <c r="H377" s="626">
        <v>345.31299999999999</v>
      </c>
      <c r="I377" s="626">
        <v>56.996000000000002</v>
      </c>
      <c r="J377" s="629"/>
      <c r="K377" s="628">
        <f>Table4[[#This Row],[Qty]]*Table4[[#This Row],[Gallon Capacity Per Linear Foot]]</f>
        <v>0</v>
      </c>
      <c r="L377" s="628">
        <f>Table4[[#This Row],[Gallons]]*7.48</f>
        <v>0</v>
      </c>
      <c r="M377" s="628">
        <f>Table4[[#This Row],[Qty]]*Table4[[#This Row],[Weight per Foot]]</f>
        <v>0</v>
      </c>
      <c r="N377" s="628">
        <f>Table4[[#This Row],[Pipe Wt. ]]+Table4[[#This Row],[Fluid Wt. ]]</f>
        <v>0</v>
      </c>
    </row>
    <row r="378" spans="1:14" x14ac:dyDescent="0.2">
      <c r="A378" s="626">
        <v>38</v>
      </c>
      <c r="B378" s="626">
        <v>38</v>
      </c>
      <c r="C378" s="626">
        <v>0.34399999999999997</v>
      </c>
      <c r="D378" s="626">
        <v>37.311999999999998</v>
      </c>
      <c r="E378" s="626">
        <v>138.47</v>
      </c>
      <c r="F378" s="626"/>
      <c r="G378" s="626"/>
      <c r="H378" s="626">
        <v>379.76600000000002</v>
      </c>
      <c r="I378" s="626">
        <v>56.801000000000002</v>
      </c>
      <c r="J378" s="629"/>
      <c r="K378" s="628">
        <f>Table4[[#This Row],[Qty]]*Table4[[#This Row],[Gallon Capacity Per Linear Foot]]</f>
        <v>0</v>
      </c>
      <c r="L378" s="628">
        <f>Table4[[#This Row],[Gallons]]*7.48</f>
        <v>0</v>
      </c>
      <c r="M378" s="628">
        <f>Table4[[#This Row],[Qty]]*Table4[[#This Row],[Weight per Foot]]</f>
        <v>0</v>
      </c>
      <c r="N378" s="628">
        <f>Table4[[#This Row],[Pipe Wt. ]]+Table4[[#This Row],[Fluid Wt. ]]</f>
        <v>0</v>
      </c>
    </row>
    <row r="379" spans="1:14" x14ac:dyDescent="0.2">
      <c r="A379" s="626">
        <v>38</v>
      </c>
      <c r="B379" s="626">
        <v>38</v>
      </c>
      <c r="C379" s="626">
        <v>0.375</v>
      </c>
      <c r="D379" s="626">
        <v>37.25</v>
      </c>
      <c r="E379" s="626">
        <v>150.83000000000001</v>
      </c>
      <c r="F379" s="626" t="s">
        <v>859</v>
      </c>
      <c r="G379" s="626"/>
      <c r="H379" s="626">
        <v>412.971</v>
      </c>
      <c r="I379" s="626">
        <v>56.612000000000002</v>
      </c>
      <c r="J379" s="629"/>
      <c r="K379" s="628">
        <f>Table4[[#This Row],[Qty]]*Table4[[#This Row],[Gallon Capacity Per Linear Foot]]</f>
        <v>0</v>
      </c>
      <c r="L379" s="628">
        <f>Table4[[#This Row],[Gallons]]*7.48</f>
        <v>0</v>
      </c>
      <c r="M379" s="628">
        <f>Table4[[#This Row],[Qty]]*Table4[[#This Row],[Weight per Foot]]</f>
        <v>0</v>
      </c>
      <c r="N379" s="628">
        <f>Table4[[#This Row],[Pipe Wt. ]]+Table4[[#This Row],[Fluid Wt. ]]</f>
        <v>0</v>
      </c>
    </row>
    <row r="380" spans="1:14" x14ac:dyDescent="0.2">
      <c r="A380" s="626">
        <v>38</v>
      </c>
      <c r="B380" s="626">
        <v>38</v>
      </c>
      <c r="C380" s="626">
        <v>0.40600000000000003</v>
      </c>
      <c r="D380" s="626">
        <v>37.188000000000002</v>
      </c>
      <c r="E380" s="626">
        <v>163.16</v>
      </c>
      <c r="F380" s="626"/>
      <c r="G380" s="626"/>
      <c r="H380" s="626">
        <v>446.017</v>
      </c>
      <c r="I380" s="626">
        <v>56.423999999999999</v>
      </c>
      <c r="J380" s="629"/>
      <c r="K380" s="628">
        <f>Table4[[#This Row],[Qty]]*Table4[[#This Row],[Gallon Capacity Per Linear Foot]]</f>
        <v>0</v>
      </c>
      <c r="L380" s="628">
        <f>Table4[[#This Row],[Gallons]]*7.48</f>
        <v>0</v>
      </c>
      <c r="M380" s="628">
        <f>Table4[[#This Row],[Qty]]*Table4[[#This Row],[Weight per Foot]]</f>
        <v>0</v>
      </c>
      <c r="N380" s="628">
        <f>Table4[[#This Row],[Pipe Wt. ]]+Table4[[#This Row],[Fluid Wt. ]]</f>
        <v>0</v>
      </c>
    </row>
    <row r="381" spans="1:14" x14ac:dyDescent="0.2">
      <c r="A381" s="626">
        <v>38</v>
      </c>
      <c r="B381" s="626">
        <v>38</v>
      </c>
      <c r="C381" s="626">
        <v>0.438</v>
      </c>
      <c r="D381" s="626">
        <v>37.124000000000002</v>
      </c>
      <c r="E381" s="626">
        <v>175.87</v>
      </c>
      <c r="F381" s="626"/>
      <c r="G381" s="626"/>
      <c r="H381" s="626">
        <v>479.95299999999997</v>
      </c>
      <c r="I381" s="626">
        <v>56.23</v>
      </c>
      <c r="J381" s="629"/>
      <c r="K381" s="628">
        <f>Table4[[#This Row],[Qty]]*Table4[[#This Row],[Gallon Capacity Per Linear Foot]]</f>
        <v>0</v>
      </c>
      <c r="L381" s="628">
        <f>Table4[[#This Row],[Gallons]]*7.48</f>
        <v>0</v>
      </c>
      <c r="M381" s="628">
        <f>Table4[[#This Row],[Qty]]*Table4[[#This Row],[Weight per Foot]]</f>
        <v>0</v>
      </c>
      <c r="N381" s="628">
        <f>Table4[[#This Row],[Pipe Wt. ]]+Table4[[#This Row],[Fluid Wt. ]]</f>
        <v>0</v>
      </c>
    </row>
    <row r="382" spans="1:14" x14ac:dyDescent="0.2">
      <c r="A382" s="626">
        <v>38</v>
      </c>
      <c r="B382" s="626">
        <v>38</v>
      </c>
      <c r="C382" s="626">
        <v>0.46899999999999997</v>
      </c>
      <c r="D382" s="626">
        <v>37.061999999999998</v>
      </c>
      <c r="E382" s="626">
        <v>188.17</v>
      </c>
      <c r="F382" s="626"/>
      <c r="G382" s="626"/>
      <c r="H382" s="626">
        <v>512.65899999999999</v>
      </c>
      <c r="I382" s="626">
        <v>56.042000000000002</v>
      </c>
      <c r="J382" s="629"/>
      <c r="K382" s="628">
        <f>Table4[[#This Row],[Qty]]*Table4[[#This Row],[Gallon Capacity Per Linear Foot]]</f>
        <v>0</v>
      </c>
      <c r="L382" s="628">
        <f>Table4[[#This Row],[Gallons]]*7.48</f>
        <v>0</v>
      </c>
      <c r="M382" s="628">
        <f>Table4[[#This Row],[Qty]]*Table4[[#This Row],[Weight per Foot]]</f>
        <v>0</v>
      </c>
      <c r="N382" s="628">
        <f>Table4[[#This Row],[Pipe Wt. ]]+Table4[[#This Row],[Fluid Wt. ]]</f>
        <v>0</v>
      </c>
    </row>
    <row r="383" spans="1:14" x14ac:dyDescent="0.2">
      <c r="A383" s="626">
        <v>38</v>
      </c>
      <c r="B383" s="626">
        <v>38</v>
      </c>
      <c r="C383" s="626">
        <v>0.5</v>
      </c>
      <c r="D383" s="626">
        <v>37</v>
      </c>
      <c r="E383" s="626">
        <v>200.44</v>
      </c>
      <c r="F383" s="626" t="s">
        <v>857</v>
      </c>
      <c r="G383" s="626"/>
      <c r="H383" s="626">
        <v>545.20399999999995</v>
      </c>
      <c r="I383" s="626">
        <v>55.854999999999997</v>
      </c>
      <c r="J383" s="629"/>
      <c r="K383" s="628">
        <f>Table4[[#This Row],[Qty]]*Table4[[#This Row],[Gallon Capacity Per Linear Foot]]</f>
        <v>0</v>
      </c>
      <c r="L383" s="628">
        <f>Table4[[#This Row],[Gallons]]*7.48</f>
        <v>0</v>
      </c>
      <c r="M383" s="628">
        <f>Table4[[#This Row],[Qty]]*Table4[[#This Row],[Weight per Foot]]</f>
        <v>0</v>
      </c>
      <c r="N383" s="628">
        <f>Table4[[#This Row],[Pipe Wt. ]]+Table4[[#This Row],[Fluid Wt. ]]</f>
        <v>0</v>
      </c>
    </row>
    <row r="384" spans="1:14" x14ac:dyDescent="0.2">
      <c r="A384" s="626">
        <v>38</v>
      </c>
      <c r="B384" s="626">
        <v>38</v>
      </c>
      <c r="C384" s="626">
        <v>0.56200000000000006</v>
      </c>
      <c r="D384" s="626">
        <v>36.875999999999998</v>
      </c>
      <c r="E384" s="626">
        <v>224.92</v>
      </c>
      <c r="F384" s="626"/>
      <c r="G384" s="626"/>
      <c r="H384" s="626">
        <v>609.80499999999995</v>
      </c>
      <c r="I384" s="626">
        <v>55.481000000000002</v>
      </c>
      <c r="J384" s="629"/>
      <c r="K384" s="628">
        <f>Table4[[#This Row],[Qty]]*Table4[[#This Row],[Gallon Capacity Per Linear Foot]]</f>
        <v>0</v>
      </c>
      <c r="L384" s="628">
        <f>Table4[[#This Row],[Gallons]]*7.48</f>
        <v>0</v>
      </c>
      <c r="M384" s="628">
        <f>Table4[[#This Row],[Qty]]*Table4[[#This Row],[Weight per Foot]]</f>
        <v>0</v>
      </c>
      <c r="N384" s="628">
        <f>Table4[[#This Row],[Pipe Wt. ]]+Table4[[#This Row],[Fluid Wt. ]]</f>
        <v>0</v>
      </c>
    </row>
    <row r="385" spans="1:14" x14ac:dyDescent="0.2">
      <c r="A385" s="626">
        <v>38</v>
      </c>
      <c r="B385" s="626">
        <v>38</v>
      </c>
      <c r="C385" s="626">
        <v>0.625</v>
      </c>
      <c r="D385" s="626">
        <v>36.75</v>
      </c>
      <c r="E385" s="626">
        <v>249.71</v>
      </c>
      <c r="F385" s="626"/>
      <c r="G385" s="626"/>
      <c r="H385" s="626">
        <v>674.779</v>
      </c>
      <c r="I385" s="626">
        <v>55.103000000000002</v>
      </c>
      <c r="J385" s="629"/>
      <c r="K385" s="628">
        <f>Table4[[#This Row],[Qty]]*Table4[[#This Row],[Gallon Capacity Per Linear Foot]]</f>
        <v>0</v>
      </c>
      <c r="L385" s="628">
        <f>Table4[[#This Row],[Gallons]]*7.48</f>
        <v>0</v>
      </c>
      <c r="M385" s="628">
        <f>Table4[[#This Row],[Qty]]*Table4[[#This Row],[Weight per Foot]]</f>
        <v>0</v>
      </c>
      <c r="N385" s="628">
        <f>Table4[[#This Row],[Pipe Wt. ]]+Table4[[#This Row],[Fluid Wt. ]]</f>
        <v>0</v>
      </c>
    </row>
    <row r="386" spans="1:14" x14ac:dyDescent="0.2">
      <c r="A386" s="626">
        <v>38</v>
      </c>
      <c r="B386" s="626">
        <v>38</v>
      </c>
      <c r="C386" s="626">
        <v>0.68799999999999994</v>
      </c>
      <c r="D386" s="626">
        <v>36.624000000000002</v>
      </c>
      <c r="E386" s="626">
        <v>274.42</v>
      </c>
      <c r="F386" s="626"/>
      <c r="G386" s="626"/>
      <c r="H386" s="626">
        <v>739.09500000000003</v>
      </c>
      <c r="I386" s="626">
        <v>54.725999999999999</v>
      </c>
      <c r="J386" s="629"/>
      <c r="K386" s="628">
        <f>Table4[[#This Row],[Qty]]*Table4[[#This Row],[Gallon Capacity Per Linear Foot]]</f>
        <v>0</v>
      </c>
      <c r="L386" s="628">
        <f>Table4[[#This Row],[Gallons]]*7.48</f>
        <v>0</v>
      </c>
      <c r="M386" s="628">
        <f>Table4[[#This Row],[Qty]]*Table4[[#This Row],[Weight per Foot]]</f>
        <v>0</v>
      </c>
      <c r="N386" s="628">
        <f>Table4[[#This Row],[Pipe Wt. ]]+Table4[[#This Row],[Fluid Wt. ]]</f>
        <v>0</v>
      </c>
    </row>
    <row r="387" spans="1:14" x14ac:dyDescent="0.2">
      <c r="A387" s="626">
        <v>38</v>
      </c>
      <c r="B387" s="626">
        <v>38</v>
      </c>
      <c r="C387" s="626">
        <v>0.75</v>
      </c>
      <c r="D387" s="626">
        <v>36.5</v>
      </c>
      <c r="E387" s="626">
        <v>298.64999999999998</v>
      </c>
      <c r="F387" s="626"/>
      <c r="G387" s="626"/>
      <c r="H387" s="626">
        <v>801.74099999999999</v>
      </c>
      <c r="I387" s="626">
        <v>54.356000000000002</v>
      </c>
      <c r="J387" s="629"/>
      <c r="K387" s="628">
        <f>Table4[[#This Row],[Qty]]*Table4[[#This Row],[Gallon Capacity Per Linear Foot]]</f>
        <v>0</v>
      </c>
      <c r="L387" s="628">
        <f>Table4[[#This Row],[Gallons]]*7.48</f>
        <v>0</v>
      </c>
      <c r="M387" s="628">
        <f>Table4[[#This Row],[Qty]]*Table4[[#This Row],[Weight per Foot]]</f>
        <v>0</v>
      </c>
      <c r="N387" s="628">
        <f>Table4[[#This Row],[Pipe Wt. ]]+Table4[[#This Row],[Fluid Wt. ]]</f>
        <v>0</v>
      </c>
    </row>
    <row r="388" spans="1:14" x14ac:dyDescent="0.2">
      <c r="A388" s="626">
        <v>38</v>
      </c>
      <c r="B388" s="626">
        <v>38</v>
      </c>
      <c r="C388" s="626">
        <v>0.875</v>
      </c>
      <c r="D388" s="626">
        <v>36.25</v>
      </c>
      <c r="E388" s="626">
        <v>347.26</v>
      </c>
      <c r="F388" s="626"/>
      <c r="G388" s="626"/>
      <c r="H388" s="626">
        <v>926.11699999999996</v>
      </c>
      <c r="I388" s="626">
        <v>53.613999999999997</v>
      </c>
      <c r="J388" s="629"/>
      <c r="K388" s="628">
        <f>Table4[[#This Row],[Qty]]*Table4[[#This Row],[Gallon Capacity Per Linear Foot]]</f>
        <v>0</v>
      </c>
      <c r="L388" s="628">
        <f>Table4[[#This Row],[Gallons]]*7.48</f>
        <v>0</v>
      </c>
      <c r="M388" s="628">
        <f>Table4[[#This Row],[Qty]]*Table4[[#This Row],[Weight per Foot]]</f>
        <v>0</v>
      </c>
      <c r="N388" s="628">
        <f>Table4[[#This Row],[Pipe Wt. ]]+Table4[[#This Row],[Fluid Wt. ]]</f>
        <v>0</v>
      </c>
    </row>
    <row r="389" spans="1:14" x14ac:dyDescent="0.2">
      <c r="A389" s="626">
        <v>38</v>
      </c>
      <c r="B389" s="626">
        <v>38</v>
      </c>
      <c r="C389" s="626">
        <v>1</v>
      </c>
      <c r="D389" s="626">
        <v>36</v>
      </c>
      <c r="E389" s="626">
        <v>395.53</v>
      </c>
      <c r="F389" s="626"/>
      <c r="G389" s="626"/>
      <c r="H389" s="626">
        <v>1047.9490000000001</v>
      </c>
      <c r="I389" s="626">
        <v>52.877000000000002</v>
      </c>
      <c r="J389" s="629"/>
      <c r="K389" s="628">
        <f>Table4[[#This Row],[Qty]]*Table4[[#This Row],[Gallon Capacity Per Linear Foot]]</f>
        <v>0</v>
      </c>
      <c r="L389" s="628">
        <f>Table4[[#This Row],[Gallons]]*7.48</f>
        <v>0</v>
      </c>
      <c r="M389" s="628">
        <f>Table4[[#This Row],[Qty]]*Table4[[#This Row],[Weight per Foot]]</f>
        <v>0</v>
      </c>
      <c r="N389" s="628">
        <f>Table4[[#This Row],[Pipe Wt. ]]+Table4[[#This Row],[Fluid Wt. ]]</f>
        <v>0</v>
      </c>
    </row>
    <row r="390" spans="1:14" x14ac:dyDescent="0.2">
      <c r="A390" s="626">
        <v>40</v>
      </c>
      <c r="B390" s="626">
        <v>40</v>
      </c>
      <c r="C390" s="626">
        <v>0.312</v>
      </c>
      <c r="D390" s="626">
        <v>39.375999999999998</v>
      </c>
      <c r="E390" s="626">
        <v>132.37</v>
      </c>
      <c r="F390" s="626"/>
      <c r="G390" s="626"/>
      <c r="H390" s="626">
        <v>383.09100000000001</v>
      </c>
      <c r="I390" s="626">
        <v>63.259</v>
      </c>
      <c r="J390" s="629"/>
      <c r="K390" s="628">
        <f>Table4[[#This Row],[Qty]]*Table4[[#This Row],[Gallon Capacity Per Linear Foot]]</f>
        <v>0</v>
      </c>
      <c r="L390" s="628">
        <f>Table4[[#This Row],[Gallons]]*7.48</f>
        <v>0</v>
      </c>
      <c r="M390" s="628">
        <f>Table4[[#This Row],[Qty]]*Table4[[#This Row],[Weight per Foot]]</f>
        <v>0</v>
      </c>
      <c r="N390" s="628">
        <f>Table4[[#This Row],[Pipe Wt. ]]+Table4[[#This Row],[Fluid Wt. ]]</f>
        <v>0</v>
      </c>
    </row>
    <row r="391" spans="1:14" x14ac:dyDescent="0.2">
      <c r="A391" s="626">
        <v>40</v>
      </c>
      <c r="B391" s="626">
        <v>40</v>
      </c>
      <c r="C391" s="626">
        <v>0.34399999999999997</v>
      </c>
      <c r="D391" s="626">
        <v>39.311999999999998</v>
      </c>
      <c r="E391" s="626">
        <v>145.83000000000001</v>
      </c>
      <c r="F391" s="626"/>
      <c r="G391" s="626"/>
      <c r="H391" s="626">
        <v>421.36700000000002</v>
      </c>
      <c r="I391" s="626">
        <v>63.054000000000002</v>
      </c>
      <c r="J391" s="629"/>
      <c r="K391" s="628">
        <f>Table4[[#This Row],[Qty]]*Table4[[#This Row],[Gallon Capacity Per Linear Foot]]</f>
        <v>0</v>
      </c>
      <c r="L391" s="628">
        <f>Table4[[#This Row],[Gallons]]*7.48</f>
        <v>0</v>
      </c>
      <c r="M391" s="628">
        <f>Table4[[#This Row],[Qty]]*Table4[[#This Row],[Weight per Foot]]</f>
        <v>0</v>
      </c>
      <c r="N391" s="628">
        <f>Table4[[#This Row],[Pipe Wt. ]]+Table4[[#This Row],[Fluid Wt. ]]</f>
        <v>0</v>
      </c>
    </row>
    <row r="392" spans="1:14" x14ac:dyDescent="0.2">
      <c r="A392" s="626">
        <v>40</v>
      </c>
      <c r="B392" s="626">
        <v>40</v>
      </c>
      <c r="C392" s="626">
        <v>0.375</v>
      </c>
      <c r="D392" s="626">
        <v>39.25</v>
      </c>
      <c r="E392" s="626">
        <v>158.85</v>
      </c>
      <c r="F392" s="626" t="s">
        <v>859</v>
      </c>
      <c r="G392" s="626"/>
      <c r="H392" s="626">
        <v>458.26600000000002</v>
      </c>
      <c r="I392" s="626">
        <v>62.854999999999997</v>
      </c>
      <c r="J392" s="629"/>
      <c r="K392" s="628">
        <f>Table4[[#This Row],[Qty]]*Table4[[#This Row],[Gallon Capacity Per Linear Foot]]</f>
        <v>0</v>
      </c>
      <c r="L392" s="628">
        <f>Table4[[#This Row],[Gallons]]*7.48</f>
        <v>0</v>
      </c>
      <c r="M392" s="628">
        <f>Table4[[#This Row],[Qty]]*Table4[[#This Row],[Weight per Foot]]</f>
        <v>0</v>
      </c>
      <c r="N392" s="628">
        <f>Table4[[#This Row],[Pipe Wt. ]]+Table4[[#This Row],[Fluid Wt. ]]</f>
        <v>0</v>
      </c>
    </row>
    <row r="393" spans="1:14" x14ac:dyDescent="0.2">
      <c r="A393" s="626">
        <v>40</v>
      </c>
      <c r="B393" s="626">
        <v>40</v>
      </c>
      <c r="C393" s="626">
        <v>0.40600000000000003</v>
      </c>
      <c r="D393" s="626">
        <v>39.188000000000002</v>
      </c>
      <c r="E393" s="626">
        <v>171.81</v>
      </c>
      <c r="F393" s="626"/>
      <c r="G393" s="626"/>
      <c r="H393" s="626">
        <v>494.99700000000001</v>
      </c>
      <c r="I393" s="626">
        <v>62.655999999999999</v>
      </c>
      <c r="J393" s="629"/>
      <c r="K393" s="628">
        <f>Table4[[#This Row],[Qty]]*Table4[[#This Row],[Gallon Capacity Per Linear Foot]]</f>
        <v>0</v>
      </c>
      <c r="L393" s="628">
        <f>Table4[[#This Row],[Gallons]]*7.48</f>
        <v>0</v>
      </c>
      <c r="M393" s="628">
        <f>Table4[[#This Row],[Qty]]*Table4[[#This Row],[Weight per Foot]]</f>
        <v>0</v>
      </c>
      <c r="N393" s="628">
        <f>Table4[[#This Row],[Pipe Wt. ]]+Table4[[#This Row],[Fluid Wt. ]]</f>
        <v>0</v>
      </c>
    </row>
    <row r="394" spans="1:14" x14ac:dyDescent="0.2">
      <c r="A394" s="626">
        <v>40</v>
      </c>
      <c r="B394" s="626">
        <v>40</v>
      </c>
      <c r="C394" s="626">
        <v>0.438</v>
      </c>
      <c r="D394" s="626">
        <v>39.124000000000002</v>
      </c>
      <c r="E394" s="626">
        <v>185.21</v>
      </c>
      <c r="F394" s="626"/>
      <c r="G394" s="626"/>
      <c r="H394" s="626">
        <v>532.72699999999998</v>
      </c>
      <c r="I394" s="626">
        <v>62.451999999999998</v>
      </c>
      <c r="J394" s="629"/>
      <c r="K394" s="628">
        <f>Table4[[#This Row],[Qty]]*Table4[[#This Row],[Gallon Capacity Per Linear Foot]]</f>
        <v>0</v>
      </c>
      <c r="L394" s="628">
        <f>Table4[[#This Row],[Gallons]]*7.48</f>
        <v>0</v>
      </c>
      <c r="M394" s="628">
        <f>Table4[[#This Row],[Qty]]*Table4[[#This Row],[Weight per Foot]]</f>
        <v>0</v>
      </c>
      <c r="N394" s="628">
        <f>Table4[[#This Row],[Pipe Wt. ]]+Table4[[#This Row],[Fluid Wt. ]]</f>
        <v>0</v>
      </c>
    </row>
    <row r="395" spans="1:14" x14ac:dyDescent="0.2">
      <c r="A395" s="626">
        <v>40</v>
      </c>
      <c r="B395" s="626">
        <v>40</v>
      </c>
      <c r="C395" s="626">
        <v>0.46899999999999997</v>
      </c>
      <c r="D395" s="626">
        <v>39.061999999999998</v>
      </c>
      <c r="E395" s="626">
        <v>198.19</v>
      </c>
      <c r="F395" s="626"/>
      <c r="G395" s="626"/>
      <c r="H395" s="626">
        <v>569.1</v>
      </c>
      <c r="I395" s="626">
        <v>62.253999999999998</v>
      </c>
      <c r="J395" s="629"/>
      <c r="K395" s="628">
        <f>Table4[[#This Row],[Qty]]*Table4[[#This Row],[Gallon Capacity Per Linear Foot]]</f>
        <v>0</v>
      </c>
      <c r="L395" s="628">
        <f>Table4[[#This Row],[Gallons]]*7.48</f>
        <v>0</v>
      </c>
      <c r="M395" s="628">
        <f>Table4[[#This Row],[Qty]]*Table4[[#This Row],[Weight per Foot]]</f>
        <v>0</v>
      </c>
      <c r="N395" s="628">
        <f>Table4[[#This Row],[Pipe Wt. ]]+Table4[[#This Row],[Fluid Wt. ]]</f>
        <v>0</v>
      </c>
    </row>
    <row r="396" spans="1:14" x14ac:dyDescent="0.2">
      <c r="A396" s="626">
        <v>40</v>
      </c>
      <c r="B396" s="626">
        <v>40</v>
      </c>
      <c r="C396" s="626">
        <v>0.5</v>
      </c>
      <c r="D396" s="626">
        <v>39</v>
      </c>
      <c r="E396" s="626">
        <v>211.13</v>
      </c>
      <c r="F396" s="626" t="s">
        <v>857</v>
      </c>
      <c r="G396" s="626"/>
      <c r="H396" s="626">
        <v>605.30200000000002</v>
      </c>
      <c r="I396" s="626">
        <v>62.057000000000002</v>
      </c>
      <c r="J396" s="629"/>
      <c r="K396" s="628">
        <f>Table4[[#This Row],[Qty]]*Table4[[#This Row],[Gallon Capacity Per Linear Foot]]</f>
        <v>0</v>
      </c>
      <c r="L396" s="628">
        <f>Table4[[#This Row],[Gallons]]*7.48</f>
        <v>0</v>
      </c>
      <c r="M396" s="628">
        <f>Table4[[#This Row],[Qty]]*Table4[[#This Row],[Weight per Foot]]</f>
        <v>0</v>
      </c>
      <c r="N396" s="628">
        <f>Table4[[#This Row],[Pipe Wt. ]]+Table4[[#This Row],[Fluid Wt. ]]</f>
        <v>0</v>
      </c>
    </row>
    <row r="397" spans="1:14" x14ac:dyDescent="0.2">
      <c r="A397" s="626">
        <v>40</v>
      </c>
      <c r="B397" s="626">
        <v>40</v>
      </c>
      <c r="C397" s="626">
        <v>0.56200000000000006</v>
      </c>
      <c r="D397" s="626">
        <v>38.875999999999998</v>
      </c>
      <c r="E397" s="626">
        <v>236.93</v>
      </c>
      <c r="F397" s="626"/>
      <c r="G397" s="626"/>
      <c r="H397" s="626">
        <v>677.19200000000001</v>
      </c>
      <c r="I397" s="626">
        <v>61.662999999999997</v>
      </c>
      <c r="J397" s="629"/>
      <c r="K397" s="628">
        <f>Table4[[#This Row],[Qty]]*Table4[[#This Row],[Gallon Capacity Per Linear Foot]]</f>
        <v>0</v>
      </c>
      <c r="L397" s="628">
        <f>Table4[[#This Row],[Gallons]]*7.48</f>
        <v>0</v>
      </c>
      <c r="M397" s="628">
        <f>Table4[[#This Row],[Qty]]*Table4[[#This Row],[Weight per Foot]]</f>
        <v>0</v>
      </c>
      <c r="N397" s="628">
        <f>Table4[[#This Row],[Pipe Wt. ]]+Table4[[#This Row],[Fluid Wt. ]]</f>
        <v>0</v>
      </c>
    </row>
    <row r="398" spans="1:14" x14ac:dyDescent="0.2">
      <c r="A398" s="626">
        <v>40</v>
      </c>
      <c r="B398" s="626">
        <v>40</v>
      </c>
      <c r="C398" s="626">
        <v>0.625</v>
      </c>
      <c r="D398" s="626">
        <v>38.75</v>
      </c>
      <c r="E398" s="626">
        <v>263.07</v>
      </c>
      <c r="F398" s="626"/>
      <c r="G398" s="626"/>
      <c r="H398" s="626">
        <v>749.53399999999999</v>
      </c>
      <c r="I398" s="626">
        <v>61.264000000000003</v>
      </c>
      <c r="J398" s="629"/>
      <c r="K398" s="628">
        <f>Table4[[#This Row],[Qty]]*Table4[[#This Row],[Gallon Capacity Per Linear Foot]]</f>
        <v>0</v>
      </c>
      <c r="L398" s="628">
        <f>Table4[[#This Row],[Gallons]]*7.48</f>
        <v>0</v>
      </c>
      <c r="M398" s="628">
        <f>Table4[[#This Row],[Qty]]*Table4[[#This Row],[Weight per Foot]]</f>
        <v>0</v>
      </c>
      <c r="N398" s="628">
        <f>Table4[[#This Row],[Pipe Wt. ]]+Table4[[#This Row],[Fluid Wt. ]]</f>
        <v>0</v>
      </c>
    </row>
    <row r="399" spans="1:14" x14ac:dyDescent="0.2">
      <c r="A399" s="626">
        <v>40</v>
      </c>
      <c r="B399" s="626">
        <v>40</v>
      </c>
      <c r="C399" s="626">
        <v>0.68799999999999994</v>
      </c>
      <c r="D399" s="626">
        <v>38.624000000000002</v>
      </c>
      <c r="E399" s="626">
        <v>289.13</v>
      </c>
      <c r="F399" s="626"/>
      <c r="G399" s="626"/>
      <c r="H399" s="626">
        <v>821.18100000000004</v>
      </c>
      <c r="I399" s="626">
        <v>60.866</v>
      </c>
      <c r="J399" s="629"/>
      <c r="K399" s="628">
        <f>Table4[[#This Row],[Qty]]*Table4[[#This Row],[Gallon Capacity Per Linear Foot]]</f>
        <v>0</v>
      </c>
      <c r="L399" s="628">
        <f>Table4[[#This Row],[Gallons]]*7.48</f>
        <v>0</v>
      </c>
      <c r="M399" s="628">
        <f>Table4[[#This Row],[Qty]]*Table4[[#This Row],[Weight per Foot]]</f>
        <v>0</v>
      </c>
      <c r="N399" s="628">
        <f>Table4[[#This Row],[Pipe Wt. ]]+Table4[[#This Row],[Fluid Wt. ]]</f>
        <v>0</v>
      </c>
    </row>
    <row r="400" spans="1:14" x14ac:dyDescent="0.2">
      <c r="A400" s="626">
        <v>40</v>
      </c>
      <c r="B400" s="626">
        <v>40</v>
      </c>
      <c r="C400" s="626">
        <v>0.75</v>
      </c>
      <c r="D400" s="626">
        <v>38.5</v>
      </c>
      <c r="E400" s="626">
        <v>314.69</v>
      </c>
      <c r="F400" s="626"/>
      <c r="G400" s="626"/>
      <c r="H400" s="626">
        <v>891.005</v>
      </c>
      <c r="I400" s="626">
        <v>60.475999999999999</v>
      </c>
      <c r="J400" s="629"/>
      <c r="K400" s="628">
        <f>Table4[[#This Row],[Qty]]*Table4[[#This Row],[Gallon Capacity Per Linear Foot]]</f>
        <v>0</v>
      </c>
      <c r="L400" s="628">
        <f>Table4[[#This Row],[Gallons]]*7.48</f>
        <v>0</v>
      </c>
      <c r="M400" s="628">
        <f>Table4[[#This Row],[Qty]]*Table4[[#This Row],[Weight per Foot]]</f>
        <v>0</v>
      </c>
      <c r="N400" s="628">
        <f>Table4[[#This Row],[Pipe Wt. ]]+Table4[[#This Row],[Fluid Wt. ]]</f>
        <v>0</v>
      </c>
    </row>
    <row r="401" spans="1:14" x14ac:dyDescent="0.2">
      <c r="A401" s="626">
        <v>40</v>
      </c>
      <c r="B401" s="626">
        <v>40</v>
      </c>
      <c r="C401" s="626">
        <v>0.875</v>
      </c>
      <c r="D401" s="626">
        <v>38.25</v>
      </c>
      <c r="E401" s="626">
        <v>365.97</v>
      </c>
      <c r="F401" s="626"/>
      <c r="G401" s="626"/>
      <c r="H401" s="626">
        <v>1029.7429999999999</v>
      </c>
      <c r="I401" s="626">
        <v>59.692999999999998</v>
      </c>
      <c r="J401" s="629"/>
      <c r="K401" s="628">
        <f>Table4[[#This Row],[Qty]]*Table4[[#This Row],[Gallon Capacity Per Linear Foot]]</f>
        <v>0</v>
      </c>
      <c r="L401" s="628">
        <f>Table4[[#This Row],[Gallons]]*7.48</f>
        <v>0</v>
      </c>
      <c r="M401" s="628">
        <f>Table4[[#This Row],[Qty]]*Table4[[#This Row],[Weight per Foot]]</f>
        <v>0</v>
      </c>
      <c r="N401" s="628">
        <f>Table4[[#This Row],[Pipe Wt. ]]+Table4[[#This Row],[Fluid Wt. ]]</f>
        <v>0</v>
      </c>
    </row>
    <row r="402" spans="1:14" x14ac:dyDescent="0.2">
      <c r="A402" s="626">
        <v>40</v>
      </c>
      <c r="B402" s="626">
        <v>40</v>
      </c>
      <c r="C402" s="626">
        <v>1</v>
      </c>
      <c r="D402" s="626">
        <v>38</v>
      </c>
      <c r="E402" s="626">
        <v>416.91</v>
      </c>
      <c r="F402" s="626"/>
      <c r="G402" s="626"/>
      <c r="H402" s="626">
        <v>1165.7909999999999</v>
      </c>
      <c r="I402" s="626">
        <v>58.914999999999999</v>
      </c>
      <c r="J402" s="629"/>
      <c r="K402" s="628">
        <f>Table4[[#This Row],[Qty]]*Table4[[#This Row],[Gallon Capacity Per Linear Foot]]</f>
        <v>0</v>
      </c>
      <c r="L402" s="628">
        <f>Table4[[#This Row],[Gallons]]*7.48</f>
        <v>0</v>
      </c>
      <c r="M402" s="628">
        <f>Table4[[#This Row],[Qty]]*Table4[[#This Row],[Weight per Foot]]</f>
        <v>0</v>
      </c>
      <c r="N402" s="628">
        <f>Table4[[#This Row],[Pipe Wt. ]]+Table4[[#This Row],[Fluid Wt. ]]</f>
        <v>0</v>
      </c>
    </row>
    <row r="403" spans="1:14" x14ac:dyDescent="0.2">
      <c r="A403" s="626">
        <v>42</v>
      </c>
      <c r="B403" s="626">
        <v>42</v>
      </c>
      <c r="C403" s="626">
        <v>0.25</v>
      </c>
      <c r="D403" s="626">
        <v>41.5</v>
      </c>
      <c r="E403" s="626">
        <v>111.58</v>
      </c>
      <c r="F403" s="626"/>
      <c r="G403" s="626"/>
      <c r="H403" s="626">
        <v>340.31200000000001</v>
      </c>
      <c r="I403" s="626">
        <v>70.268000000000001</v>
      </c>
      <c r="J403" s="629"/>
      <c r="K403" s="628">
        <f>Table4[[#This Row],[Qty]]*Table4[[#This Row],[Gallon Capacity Per Linear Foot]]</f>
        <v>0</v>
      </c>
      <c r="L403" s="628">
        <f>Table4[[#This Row],[Gallons]]*7.48</f>
        <v>0</v>
      </c>
      <c r="M403" s="628">
        <f>Table4[[#This Row],[Qty]]*Table4[[#This Row],[Weight per Foot]]</f>
        <v>0</v>
      </c>
      <c r="N403" s="628">
        <f>Table4[[#This Row],[Pipe Wt. ]]+Table4[[#This Row],[Fluid Wt. ]]</f>
        <v>0</v>
      </c>
    </row>
    <row r="404" spans="1:14" x14ac:dyDescent="0.2">
      <c r="A404" s="626">
        <v>42</v>
      </c>
      <c r="B404" s="626">
        <v>42</v>
      </c>
      <c r="C404" s="626">
        <v>0.312</v>
      </c>
      <c r="D404" s="626">
        <v>41.375999999999998</v>
      </c>
      <c r="E404" s="626">
        <v>139.04</v>
      </c>
      <c r="F404" s="626"/>
      <c r="G404" s="626"/>
      <c r="H404" s="626">
        <v>422.83</v>
      </c>
      <c r="I404" s="626">
        <v>69.847999999999999</v>
      </c>
      <c r="J404" s="629"/>
      <c r="K404" s="628">
        <f>Table4[[#This Row],[Qty]]*Table4[[#This Row],[Gallon Capacity Per Linear Foot]]</f>
        <v>0</v>
      </c>
      <c r="L404" s="628">
        <f>Table4[[#This Row],[Gallons]]*7.48</f>
        <v>0</v>
      </c>
      <c r="M404" s="628">
        <f>Table4[[#This Row],[Qty]]*Table4[[#This Row],[Weight per Foot]]</f>
        <v>0</v>
      </c>
      <c r="N404" s="628">
        <f>Table4[[#This Row],[Pipe Wt. ]]+Table4[[#This Row],[Fluid Wt. ]]</f>
        <v>0</v>
      </c>
    </row>
    <row r="405" spans="1:14" x14ac:dyDescent="0.2">
      <c r="A405" s="626">
        <v>42</v>
      </c>
      <c r="B405" s="626">
        <v>42</v>
      </c>
      <c r="C405" s="626">
        <v>0.34399999999999997</v>
      </c>
      <c r="D405" s="626">
        <v>41.311999999999998</v>
      </c>
      <c r="E405" s="626">
        <v>153.18</v>
      </c>
      <c r="F405" s="626"/>
      <c r="G405" s="626"/>
      <c r="H405" s="626">
        <v>465.13</v>
      </c>
      <c r="I405" s="626">
        <v>69.632000000000005</v>
      </c>
      <c r="J405" s="629"/>
      <c r="K405" s="628">
        <f>Table4[[#This Row],[Qty]]*Table4[[#This Row],[Gallon Capacity Per Linear Foot]]</f>
        <v>0</v>
      </c>
      <c r="L405" s="628">
        <f>Table4[[#This Row],[Gallons]]*7.48</f>
        <v>0</v>
      </c>
      <c r="M405" s="628">
        <f>Table4[[#This Row],[Qty]]*Table4[[#This Row],[Weight per Foot]]</f>
        <v>0</v>
      </c>
      <c r="N405" s="628">
        <f>Table4[[#This Row],[Pipe Wt. ]]+Table4[[#This Row],[Fluid Wt. ]]</f>
        <v>0</v>
      </c>
    </row>
    <row r="406" spans="1:14" x14ac:dyDescent="0.2">
      <c r="A406" s="626">
        <v>42</v>
      </c>
      <c r="B406" s="626">
        <v>42</v>
      </c>
      <c r="C406" s="626">
        <v>0.375</v>
      </c>
      <c r="D406" s="626">
        <v>41.25</v>
      </c>
      <c r="E406" s="626">
        <v>166.86</v>
      </c>
      <c r="F406" s="626" t="s">
        <v>859</v>
      </c>
      <c r="G406" s="626"/>
      <c r="H406" s="626">
        <v>505.91800000000001</v>
      </c>
      <c r="I406" s="626">
        <v>69.424000000000007</v>
      </c>
      <c r="J406" s="629"/>
      <c r="K406" s="628">
        <f>Table4[[#This Row],[Qty]]*Table4[[#This Row],[Gallon Capacity Per Linear Foot]]</f>
        <v>0</v>
      </c>
      <c r="L406" s="628">
        <f>Table4[[#This Row],[Gallons]]*7.48</f>
        <v>0</v>
      </c>
      <c r="M406" s="628">
        <f>Table4[[#This Row],[Qty]]*Table4[[#This Row],[Weight per Foot]]</f>
        <v>0</v>
      </c>
      <c r="N406" s="628">
        <f>Table4[[#This Row],[Pipe Wt. ]]+Table4[[#This Row],[Fluid Wt. ]]</f>
        <v>0</v>
      </c>
    </row>
    <row r="407" spans="1:14" x14ac:dyDescent="0.2">
      <c r="A407" s="626">
        <v>42</v>
      </c>
      <c r="B407" s="626">
        <v>42</v>
      </c>
      <c r="C407" s="626">
        <v>0.40600000000000003</v>
      </c>
      <c r="D407" s="626">
        <v>41.188000000000002</v>
      </c>
      <c r="E407" s="626">
        <v>180.52</v>
      </c>
      <c r="F407" s="626"/>
      <c r="G407" s="626"/>
      <c r="H407" s="626">
        <v>546.52800000000002</v>
      </c>
      <c r="I407" s="626">
        <v>69.215000000000003</v>
      </c>
      <c r="J407" s="629"/>
      <c r="K407" s="628">
        <f>Table4[[#This Row],[Qty]]*Table4[[#This Row],[Gallon Capacity Per Linear Foot]]</f>
        <v>0</v>
      </c>
      <c r="L407" s="628">
        <f>Table4[[#This Row],[Gallons]]*7.48</f>
        <v>0</v>
      </c>
      <c r="M407" s="628">
        <f>Table4[[#This Row],[Qty]]*Table4[[#This Row],[Weight per Foot]]</f>
        <v>0</v>
      </c>
      <c r="N407" s="628">
        <f>Table4[[#This Row],[Pipe Wt. ]]+Table4[[#This Row],[Fluid Wt. ]]</f>
        <v>0</v>
      </c>
    </row>
    <row r="408" spans="1:14" x14ac:dyDescent="0.2">
      <c r="A408" s="626">
        <v>42</v>
      </c>
      <c r="B408" s="626">
        <v>42</v>
      </c>
      <c r="C408" s="626">
        <v>0.438</v>
      </c>
      <c r="D408" s="626">
        <v>41.124000000000002</v>
      </c>
      <c r="E408" s="626">
        <v>194.6</v>
      </c>
      <c r="F408" s="626"/>
      <c r="G408" s="626"/>
      <c r="H408" s="626">
        <v>588.25400000000002</v>
      </c>
      <c r="I408" s="626">
        <v>69</v>
      </c>
      <c r="J408" s="629"/>
      <c r="K408" s="628">
        <f>Table4[[#This Row],[Qty]]*Table4[[#This Row],[Gallon Capacity Per Linear Foot]]</f>
        <v>0</v>
      </c>
      <c r="L408" s="628">
        <f>Table4[[#This Row],[Gallons]]*7.48</f>
        <v>0</v>
      </c>
      <c r="M408" s="628">
        <f>Table4[[#This Row],[Qty]]*Table4[[#This Row],[Weight per Foot]]</f>
        <v>0</v>
      </c>
      <c r="N408" s="628">
        <f>Table4[[#This Row],[Pipe Wt. ]]+Table4[[#This Row],[Fluid Wt. ]]</f>
        <v>0</v>
      </c>
    </row>
    <row r="409" spans="1:14" x14ac:dyDescent="0.2">
      <c r="A409" s="626">
        <v>42</v>
      </c>
      <c r="B409" s="626">
        <v>42</v>
      </c>
      <c r="C409" s="626">
        <v>0.46899999999999997</v>
      </c>
      <c r="D409" s="626">
        <v>41.061999999999998</v>
      </c>
      <c r="E409" s="626">
        <v>208.22</v>
      </c>
      <c r="F409" s="626"/>
      <c r="G409" s="626"/>
      <c r="H409" s="626">
        <v>628.48800000000006</v>
      </c>
      <c r="I409" s="626">
        <v>68.792000000000002</v>
      </c>
      <c r="J409" s="629"/>
      <c r="K409" s="628">
        <f>Table4[[#This Row],[Qty]]*Table4[[#This Row],[Gallon Capacity Per Linear Foot]]</f>
        <v>0</v>
      </c>
      <c r="L409" s="628">
        <f>Table4[[#This Row],[Gallons]]*7.48</f>
        <v>0</v>
      </c>
      <c r="M409" s="628">
        <f>Table4[[#This Row],[Qty]]*Table4[[#This Row],[Weight per Foot]]</f>
        <v>0</v>
      </c>
      <c r="N409" s="628">
        <f>Table4[[#This Row],[Pipe Wt. ]]+Table4[[#This Row],[Fluid Wt. ]]</f>
        <v>0</v>
      </c>
    </row>
    <row r="410" spans="1:14" x14ac:dyDescent="0.2">
      <c r="A410" s="626">
        <v>42</v>
      </c>
      <c r="B410" s="626">
        <v>42</v>
      </c>
      <c r="C410" s="626">
        <v>0.5</v>
      </c>
      <c r="D410" s="626">
        <v>41</v>
      </c>
      <c r="E410" s="626">
        <v>221.82</v>
      </c>
      <c r="F410" s="626" t="s">
        <v>857</v>
      </c>
      <c r="G410" s="626"/>
      <c r="H410" s="626">
        <v>668.54300000000001</v>
      </c>
      <c r="I410" s="626">
        <v>68.584999999999994</v>
      </c>
      <c r="J410" s="629"/>
      <c r="K410" s="628">
        <f>Table4[[#This Row],[Qty]]*Table4[[#This Row],[Gallon Capacity Per Linear Foot]]</f>
        <v>0</v>
      </c>
      <c r="L410" s="628">
        <f>Table4[[#This Row],[Gallons]]*7.48</f>
        <v>0</v>
      </c>
      <c r="M410" s="628">
        <f>Table4[[#This Row],[Qty]]*Table4[[#This Row],[Weight per Foot]]</f>
        <v>0</v>
      </c>
      <c r="N410" s="628">
        <f>Table4[[#This Row],[Pipe Wt. ]]+Table4[[#This Row],[Fluid Wt. ]]</f>
        <v>0</v>
      </c>
    </row>
    <row r="411" spans="1:14" x14ac:dyDescent="0.2">
      <c r="A411" s="626">
        <v>42</v>
      </c>
      <c r="B411" s="626">
        <v>42</v>
      </c>
      <c r="C411" s="626">
        <v>0.56200000000000006</v>
      </c>
      <c r="D411" s="626">
        <v>40.875999999999998</v>
      </c>
      <c r="E411" s="626">
        <v>248.95</v>
      </c>
      <c r="F411" s="626"/>
      <c r="G411" s="626"/>
      <c r="H411" s="626">
        <v>748.11</v>
      </c>
      <c r="I411" s="626">
        <v>68.17</v>
      </c>
      <c r="J411" s="629"/>
      <c r="K411" s="628">
        <f>Table4[[#This Row],[Qty]]*Table4[[#This Row],[Gallon Capacity Per Linear Foot]]</f>
        <v>0</v>
      </c>
      <c r="L411" s="628">
        <f>Table4[[#This Row],[Gallons]]*7.48</f>
        <v>0</v>
      </c>
      <c r="M411" s="628">
        <f>Table4[[#This Row],[Qty]]*Table4[[#This Row],[Weight per Foot]]</f>
        <v>0</v>
      </c>
      <c r="N411" s="628">
        <f>Table4[[#This Row],[Pipe Wt. ]]+Table4[[#This Row],[Fluid Wt. ]]</f>
        <v>0</v>
      </c>
    </row>
    <row r="412" spans="1:14" x14ac:dyDescent="0.2">
      <c r="A412" s="626">
        <v>42</v>
      </c>
      <c r="B412" s="626">
        <v>42</v>
      </c>
      <c r="C412" s="626">
        <v>0.625</v>
      </c>
      <c r="D412" s="626">
        <v>40.75</v>
      </c>
      <c r="E412" s="626">
        <v>276.44</v>
      </c>
      <c r="F412" s="626"/>
      <c r="G412" s="626"/>
      <c r="H412" s="626">
        <v>828.21699999999998</v>
      </c>
      <c r="I412" s="626">
        <v>67.751000000000005</v>
      </c>
      <c r="J412" s="629"/>
      <c r="K412" s="628">
        <f>Table4[[#This Row],[Qty]]*Table4[[#This Row],[Gallon Capacity Per Linear Foot]]</f>
        <v>0</v>
      </c>
      <c r="L412" s="628">
        <f>Table4[[#This Row],[Gallons]]*7.48</f>
        <v>0</v>
      </c>
      <c r="M412" s="628">
        <f>Table4[[#This Row],[Qty]]*Table4[[#This Row],[Weight per Foot]]</f>
        <v>0</v>
      </c>
      <c r="N412" s="628">
        <f>Table4[[#This Row],[Pipe Wt. ]]+Table4[[#This Row],[Fluid Wt. ]]</f>
        <v>0</v>
      </c>
    </row>
    <row r="413" spans="1:14" x14ac:dyDescent="0.2">
      <c r="A413" s="626">
        <v>42</v>
      </c>
      <c r="B413" s="626">
        <v>42</v>
      </c>
      <c r="C413" s="626">
        <v>0.68799999999999994</v>
      </c>
      <c r="D413" s="626">
        <v>42.621000000000002</v>
      </c>
      <c r="E413" s="626">
        <v>303.83999999999997</v>
      </c>
      <c r="F413" s="626"/>
      <c r="G413" s="626"/>
      <c r="H413" s="626">
        <v>907.59100000000001</v>
      </c>
      <c r="I413" s="626">
        <v>67.331999999999994</v>
      </c>
      <c r="J413" s="629"/>
      <c r="K413" s="628">
        <f>Table4[[#This Row],[Qty]]*Table4[[#This Row],[Gallon Capacity Per Linear Foot]]</f>
        <v>0</v>
      </c>
      <c r="L413" s="628">
        <f>Table4[[#This Row],[Gallons]]*7.48</f>
        <v>0</v>
      </c>
      <c r="M413" s="628">
        <f>Table4[[#This Row],[Qty]]*Table4[[#This Row],[Weight per Foot]]</f>
        <v>0</v>
      </c>
      <c r="N413" s="628">
        <f>Table4[[#This Row],[Pipe Wt. ]]+Table4[[#This Row],[Fluid Wt. ]]</f>
        <v>0</v>
      </c>
    </row>
    <row r="414" spans="1:14" x14ac:dyDescent="0.2">
      <c r="A414" s="626">
        <v>42</v>
      </c>
      <c r="B414" s="626">
        <v>42</v>
      </c>
      <c r="C414" s="626">
        <v>0.75</v>
      </c>
      <c r="D414" s="626">
        <v>40.5</v>
      </c>
      <c r="E414" s="626">
        <v>330.72</v>
      </c>
      <c r="F414" s="626"/>
      <c r="G414" s="626"/>
      <c r="H414" s="626">
        <v>984.98299999999995</v>
      </c>
      <c r="I414" s="626">
        <v>66.921999999999997</v>
      </c>
      <c r="J414" s="629"/>
      <c r="K414" s="628">
        <f>Table4[[#This Row],[Qty]]*Table4[[#This Row],[Gallon Capacity Per Linear Foot]]</f>
        <v>0</v>
      </c>
      <c r="L414" s="628">
        <f>Table4[[#This Row],[Gallons]]*7.48</f>
        <v>0</v>
      </c>
      <c r="M414" s="628">
        <f>Table4[[#This Row],[Qty]]*Table4[[#This Row],[Weight per Foot]]</f>
        <v>0</v>
      </c>
      <c r="N414" s="628">
        <f>Table4[[#This Row],[Pipe Wt. ]]+Table4[[#This Row],[Fluid Wt. ]]</f>
        <v>0</v>
      </c>
    </row>
    <row r="415" spans="1:14" x14ac:dyDescent="0.2">
      <c r="A415" s="626">
        <v>42</v>
      </c>
      <c r="B415" s="626">
        <v>42</v>
      </c>
      <c r="C415" s="626">
        <v>0.875</v>
      </c>
      <c r="D415" s="626">
        <v>40.25</v>
      </c>
      <c r="E415" s="626">
        <v>384.67</v>
      </c>
      <c r="F415" s="626"/>
      <c r="G415" s="626"/>
      <c r="H415" s="626">
        <v>1138.8689999999999</v>
      </c>
      <c r="I415" s="626">
        <v>66.097999999999999</v>
      </c>
      <c r="J415" s="629"/>
      <c r="K415" s="628">
        <f>Table4[[#This Row],[Qty]]*Table4[[#This Row],[Gallon Capacity Per Linear Foot]]</f>
        <v>0</v>
      </c>
      <c r="L415" s="628">
        <f>Table4[[#This Row],[Gallons]]*7.48</f>
        <v>0</v>
      </c>
      <c r="M415" s="628">
        <f>Table4[[#This Row],[Qty]]*Table4[[#This Row],[Weight per Foot]]</f>
        <v>0</v>
      </c>
      <c r="N415" s="628">
        <f>Table4[[#This Row],[Pipe Wt. ]]+Table4[[#This Row],[Fluid Wt. ]]</f>
        <v>0</v>
      </c>
    </row>
    <row r="416" spans="1:14" x14ac:dyDescent="0.2">
      <c r="A416" s="626">
        <v>42</v>
      </c>
      <c r="B416" s="626">
        <v>42</v>
      </c>
      <c r="C416" s="626">
        <v>1</v>
      </c>
      <c r="D416" s="626">
        <v>40</v>
      </c>
      <c r="E416" s="626">
        <v>438.29</v>
      </c>
      <c r="F416" s="626"/>
      <c r="G416" s="626"/>
      <c r="H416" s="626">
        <v>1289.9179999999999</v>
      </c>
      <c r="I416" s="626">
        <v>65.28</v>
      </c>
      <c r="J416" s="629"/>
      <c r="K416" s="628">
        <f>Table4[[#This Row],[Qty]]*Table4[[#This Row],[Gallon Capacity Per Linear Foot]]</f>
        <v>0</v>
      </c>
      <c r="L416" s="628">
        <f>Table4[[#This Row],[Gallons]]*7.48</f>
        <v>0</v>
      </c>
      <c r="M416" s="628">
        <f>Table4[[#This Row],[Qty]]*Table4[[#This Row],[Weight per Foot]]</f>
        <v>0</v>
      </c>
      <c r="N416" s="628">
        <f>Table4[[#This Row],[Pipe Wt. ]]+Table4[[#This Row],[Fluid Wt. ]]</f>
        <v>0</v>
      </c>
    </row>
    <row r="417" spans="1:14" x14ac:dyDescent="0.2">
      <c r="A417" s="626">
        <v>48</v>
      </c>
      <c r="B417" s="626">
        <v>48</v>
      </c>
      <c r="C417" s="626">
        <v>0.25</v>
      </c>
      <c r="D417" s="626">
        <v>47.5</v>
      </c>
      <c r="E417" s="626">
        <v>127.61</v>
      </c>
      <c r="F417" s="626"/>
      <c r="G417" s="626"/>
      <c r="H417" s="626">
        <v>445.44</v>
      </c>
      <c r="I417" s="626">
        <v>92.055000000000007</v>
      </c>
      <c r="J417" s="629"/>
      <c r="K417" s="628">
        <f>Table4[[#This Row],[Qty]]*Table4[[#This Row],[Gallon Capacity Per Linear Foot]]</f>
        <v>0</v>
      </c>
      <c r="L417" s="628">
        <f>Table4[[#This Row],[Gallons]]*7.48</f>
        <v>0</v>
      </c>
      <c r="M417" s="628">
        <f>Table4[[#This Row],[Qty]]*Table4[[#This Row],[Weight per Foot]]</f>
        <v>0</v>
      </c>
      <c r="N417" s="628">
        <f>Table4[[#This Row],[Pipe Wt. ]]+Table4[[#This Row],[Fluid Wt. ]]</f>
        <v>0</v>
      </c>
    </row>
    <row r="418" spans="1:14" x14ac:dyDescent="0.2">
      <c r="A418" s="626">
        <v>48</v>
      </c>
      <c r="B418" s="626">
        <v>48</v>
      </c>
      <c r="C418" s="626">
        <v>0.28100000000000003</v>
      </c>
      <c r="D418" s="626">
        <v>47.438000000000002</v>
      </c>
      <c r="E418" s="626">
        <v>143.34</v>
      </c>
      <c r="F418" s="626"/>
      <c r="G418" s="626"/>
      <c r="H418" s="626">
        <v>499.74</v>
      </c>
      <c r="I418" s="626">
        <v>91.814999999999998</v>
      </c>
      <c r="J418" s="629"/>
      <c r="K418" s="628">
        <f>Table4[[#This Row],[Qty]]*Table4[[#This Row],[Gallon Capacity Per Linear Foot]]</f>
        <v>0</v>
      </c>
      <c r="L418" s="628">
        <f>Table4[[#This Row],[Gallons]]*7.48</f>
        <v>0</v>
      </c>
      <c r="M418" s="628">
        <f>Table4[[#This Row],[Qty]]*Table4[[#This Row],[Weight per Foot]]</f>
        <v>0</v>
      </c>
      <c r="N418" s="628">
        <f>Table4[[#This Row],[Pipe Wt. ]]+Table4[[#This Row],[Fluid Wt. ]]</f>
        <v>0</v>
      </c>
    </row>
    <row r="419" spans="1:14" x14ac:dyDescent="0.2">
      <c r="A419" s="626">
        <v>48</v>
      </c>
      <c r="B419" s="626">
        <v>48</v>
      </c>
      <c r="C419" s="626">
        <v>0.312</v>
      </c>
      <c r="D419" s="626">
        <v>47.375999999999998</v>
      </c>
      <c r="E419" s="626">
        <v>159.05000000000001</v>
      </c>
      <c r="F419" s="626"/>
      <c r="G419" s="626"/>
      <c r="H419" s="626">
        <v>555.80999999999995</v>
      </c>
      <c r="I419" s="626">
        <v>91.575000000000003</v>
      </c>
      <c r="J419" s="629"/>
      <c r="K419" s="628">
        <f>Table4[[#This Row],[Qty]]*Table4[[#This Row],[Gallon Capacity Per Linear Foot]]</f>
        <v>0</v>
      </c>
      <c r="L419" s="628">
        <f>Table4[[#This Row],[Gallons]]*7.48</f>
        <v>0</v>
      </c>
      <c r="M419" s="628">
        <f>Table4[[#This Row],[Qty]]*Table4[[#This Row],[Weight per Foot]]</f>
        <v>0</v>
      </c>
      <c r="N419" s="628">
        <f>Table4[[#This Row],[Pipe Wt. ]]+Table4[[#This Row],[Fluid Wt. ]]</f>
        <v>0</v>
      </c>
    </row>
    <row r="420" spans="1:14" x14ac:dyDescent="0.2">
      <c r="A420" s="626">
        <v>48</v>
      </c>
      <c r="B420" s="626">
        <v>48</v>
      </c>
      <c r="C420" s="626">
        <v>0.34399999999999997</v>
      </c>
      <c r="D420" s="626">
        <v>47.311999999999998</v>
      </c>
      <c r="E420" s="626">
        <v>175.25</v>
      </c>
      <c r="F420" s="626"/>
      <c r="G420" s="626"/>
      <c r="H420" s="626">
        <v>629.76</v>
      </c>
      <c r="I420" s="626">
        <v>91.328000000000003</v>
      </c>
      <c r="J420" s="629"/>
      <c r="K420" s="628">
        <f>Table4[[#This Row],[Qty]]*Table4[[#This Row],[Gallon Capacity Per Linear Foot]]</f>
        <v>0</v>
      </c>
      <c r="L420" s="628">
        <f>Table4[[#This Row],[Gallons]]*7.48</f>
        <v>0</v>
      </c>
      <c r="M420" s="628">
        <f>Table4[[#This Row],[Qty]]*Table4[[#This Row],[Weight per Foot]]</f>
        <v>0</v>
      </c>
      <c r="N420" s="628">
        <f>Table4[[#This Row],[Pipe Wt. ]]+Table4[[#This Row],[Fluid Wt. ]]</f>
        <v>0</v>
      </c>
    </row>
    <row r="421" spans="1:14" x14ac:dyDescent="0.2">
      <c r="A421" s="626">
        <v>48</v>
      </c>
      <c r="B421" s="626">
        <v>48</v>
      </c>
      <c r="C421" s="626">
        <v>0.375</v>
      </c>
      <c r="D421" s="626">
        <v>47.25</v>
      </c>
      <c r="E421" s="626">
        <v>190.92</v>
      </c>
      <c r="F421" s="626" t="s">
        <v>859</v>
      </c>
      <c r="G421" s="626"/>
      <c r="H421" s="626">
        <v>662.95</v>
      </c>
      <c r="I421" s="626">
        <v>91.087999999999994</v>
      </c>
      <c r="J421" s="629"/>
      <c r="K421" s="628">
        <f>Table4[[#This Row],[Qty]]*Table4[[#This Row],[Gallon Capacity Per Linear Foot]]</f>
        <v>0</v>
      </c>
      <c r="L421" s="628">
        <f>Table4[[#This Row],[Gallons]]*7.48</f>
        <v>0</v>
      </c>
      <c r="M421" s="628">
        <f>Table4[[#This Row],[Qty]]*Table4[[#This Row],[Weight per Foot]]</f>
        <v>0</v>
      </c>
      <c r="N421" s="628">
        <f>Table4[[#This Row],[Pipe Wt. ]]+Table4[[#This Row],[Fluid Wt. ]]</f>
        <v>0</v>
      </c>
    </row>
    <row r="422" spans="1:14" x14ac:dyDescent="0.2">
      <c r="A422" s="626">
        <v>48</v>
      </c>
      <c r="B422" s="626">
        <v>48</v>
      </c>
      <c r="C422" s="626">
        <v>0.40600000000000003</v>
      </c>
      <c r="D422" s="626">
        <v>47.188000000000002</v>
      </c>
      <c r="E422" s="626">
        <v>206.56</v>
      </c>
      <c r="F422" s="626"/>
      <c r="G422" s="626"/>
      <c r="H422" s="626">
        <v>716.37</v>
      </c>
      <c r="I422" s="626">
        <v>90.849000000000004</v>
      </c>
      <c r="J422" s="629"/>
      <c r="K422" s="628">
        <f>Table4[[#This Row],[Qty]]*Table4[[#This Row],[Gallon Capacity Per Linear Foot]]</f>
        <v>0</v>
      </c>
      <c r="L422" s="628">
        <f>Table4[[#This Row],[Gallons]]*7.48</f>
        <v>0</v>
      </c>
      <c r="M422" s="628">
        <f>Table4[[#This Row],[Qty]]*Table4[[#This Row],[Weight per Foot]]</f>
        <v>0</v>
      </c>
      <c r="N422" s="628">
        <f>Table4[[#This Row],[Pipe Wt. ]]+Table4[[#This Row],[Fluid Wt. ]]</f>
        <v>0</v>
      </c>
    </row>
    <row r="423" spans="1:14" x14ac:dyDescent="0.2">
      <c r="A423" s="626">
        <v>48</v>
      </c>
      <c r="B423" s="626">
        <v>48</v>
      </c>
      <c r="C423" s="626">
        <v>0.438</v>
      </c>
      <c r="D423" s="626">
        <v>47.188000000000002</v>
      </c>
      <c r="E423" s="626">
        <v>222.7</v>
      </c>
      <c r="F423" s="626"/>
      <c r="G423" s="626"/>
      <c r="H423" s="626">
        <v>762.71</v>
      </c>
      <c r="I423" s="626">
        <v>90.602999999999994</v>
      </c>
      <c r="J423" s="629"/>
      <c r="K423" s="628">
        <f>Table4[[#This Row],[Qty]]*Table4[[#This Row],[Gallon Capacity Per Linear Foot]]</f>
        <v>0</v>
      </c>
      <c r="L423" s="628">
        <f>Table4[[#This Row],[Gallons]]*7.48</f>
        <v>0</v>
      </c>
      <c r="M423" s="628">
        <f>Table4[[#This Row],[Qty]]*Table4[[#This Row],[Weight per Foot]]</f>
        <v>0</v>
      </c>
      <c r="N423" s="628">
        <f>Table4[[#This Row],[Pipe Wt. ]]+Table4[[#This Row],[Fluid Wt. ]]</f>
        <v>0</v>
      </c>
    </row>
    <row r="424" spans="1:14" x14ac:dyDescent="0.2">
      <c r="A424" s="626">
        <v>48</v>
      </c>
      <c r="B424" s="626">
        <v>48</v>
      </c>
      <c r="C424" s="626">
        <v>0.46899999999999997</v>
      </c>
      <c r="D424" s="626">
        <v>47.061999999999998</v>
      </c>
      <c r="E424" s="626">
        <v>238.3</v>
      </c>
      <c r="F424" s="626"/>
      <c r="G424" s="626"/>
      <c r="H424" s="626">
        <v>824.29</v>
      </c>
      <c r="I424" s="626">
        <v>90.364999999999995</v>
      </c>
      <c r="J424" s="629"/>
      <c r="K424" s="628">
        <f>Table4[[#This Row],[Qty]]*Table4[[#This Row],[Gallon Capacity Per Linear Foot]]</f>
        <v>0</v>
      </c>
      <c r="L424" s="628">
        <f>Table4[[#This Row],[Gallons]]*7.48</f>
        <v>0</v>
      </c>
      <c r="M424" s="628">
        <f>Table4[[#This Row],[Qty]]*Table4[[#This Row],[Weight per Foot]]</f>
        <v>0</v>
      </c>
      <c r="N424" s="628">
        <f>Table4[[#This Row],[Pipe Wt. ]]+Table4[[#This Row],[Fluid Wt. ]]</f>
        <v>0</v>
      </c>
    </row>
    <row r="425" spans="1:14" x14ac:dyDescent="0.2">
      <c r="A425" s="626">
        <v>48</v>
      </c>
      <c r="B425" s="626">
        <v>48</v>
      </c>
      <c r="C425" s="626">
        <v>0.5</v>
      </c>
      <c r="D425" s="626">
        <v>47</v>
      </c>
      <c r="E425" s="626">
        <v>253.89</v>
      </c>
      <c r="F425" s="626" t="s">
        <v>857</v>
      </c>
      <c r="G425" s="626"/>
      <c r="H425" s="626">
        <v>877.12</v>
      </c>
      <c r="I425" s="626">
        <v>90.126999999999995</v>
      </c>
      <c r="J425" s="629"/>
      <c r="K425" s="628">
        <f>Table4[[#This Row],[Qty]]*Table4[[#This Row],[Gallon Capacity Per Linear Foot]]</f>
        <v>0</v>
      </c>
      <c r="L425" s="628">
        <f>Table4[[#This Row],[Gallons]]*7.48</f>
        <v>0</v>
      </c>
      <c r="M425" s="628">
        <f>Table4[[#This Row],[Qty]]*Table4[[#This Row],[Weight per Foot]]</f>
        <v>0</v>
      </c>
      <c r="N425" s="628">
        <f>Table4[[#This Row],[Pipe Wt. ]]+Table4[[#This Row],[Fluid Wt. ]]</f>
        <v>0</v>
      </c>
    </row>
    <row r="426" spans="1:14" x14ac:dyDescent="0.2">
      <c r="A426" s="626">
        <v>48</v>
      </c>
      <c r="B426" s="626">
        <v>48</v>
      </c>
      <c r="C426" s="626">
        <v>0.56200000000000006</v>
      </c>
      <c r="D426" s="626">
        <v>46.875999999999998</v>
      </c>
      <c r="E426" s="626">
        <v>285</v>
      </c>
      <c r="F426" s="626"/>
      <c r="G426" s="626"/>
      <c r="H426" s="626">
        <v>982</v>
      </c>
      <c r="I426" s="626">
        <v>89.652000000000001</v>
      </c>
      <c r="J426" s="629"/>
      <c r="K426" s="628">
        <f>Table4[[#This Row],[Qty]]*Table4[[#This Row],[Gallon Capacity Per Linear Foot]]</f>
        <v>0</v>
      </c>
      <c r="L426" s="628">
        <f>Table4[[#This Row],[Gallons]]*7.48</f>
        <v>0</v>
      </c>
      <c r="M426" s="628">
        <f>Table4[[#This Row],[Qty]]*Table4[[#This Row],[Weight per Foot]]</f>
        <v>0</v>
      </c>
      <c r="N426" s="628">
        <f>Table4[[#This Row],[Pipe Wt. ]]+Table4[[#This Row],[Fluid Wt. ]]</f>
        <v>0</v>
      </c>
    </row>
    <row r="427" spans="1:14" x14ac:dyDescent="0.2">
      <c r="A427" s="626">
        <v>48</v>
      </c>
      <c r="B427" s="626">
        <v>48</v>
      </c>
      <c r="C427" s="626">
        <v>0.625</v>
      </c>
      <c r="D427" s="626">
        <v>46.75</v>
      </c>
      <c r="E427" s="626">
        <v>316.52</v>
      </c>
      <c r="F427" s="626"/>
      <c r="G427" s="626"/>
      <c r="H427" s="626">
        <v>1087.76</v>
      </c>
      <c r="I427" s="626">
        <v>89.171000000000006</v>
      </c>
      <c r="J427" s="629"/>
      <c r="K427" s="628">
        <f>Table4[[#This Row],[Qty]]*Table4[[#This Row],[Gallon Capacity Per Linear Foot]]</f>
        <v>0</v>
      </c>
      <c r="L427" s="628">
        <f>Table4[[#This Row],[Gallons]]*7.48</f>
        <v>0</v>
      </c>
      <c r="M427" s="628">
        <f>Table4[[#This Row],[Qty]]*Table4[[#This Row],[Weight per Foot]]</f>
        <v>0</v>
      </c>
      <c r="N427" s="628">
        <f>Table4[[#This Row],[Pipe Wt. ]]+Table4[[#This Row],[Fluid Wt. ]]</f>
        <v>0</v>
      </c>
    </row>
    <row r="428" spans="1:14" x14ac:dyDescent="0.2">
      <c r="A428" s="626">
        <v>48</v>
      </c>
      <c r="B428" s="626">
        <v>48</v>
      </c>
      <c r="C428" s="626">
        <v>0.68799999999999994</v>
      </c>
      <c r="D428" s="626">
        <v>46.621000000000002</v>
      </c>
      <c r="E428" s="626">
        <v>347.97</v>
      </c>
      <c r="F428" s="626"/>
      <c r="G428" s="626"/>
      <c r="H428" s="626">
        <v>1192.74</v>
      </c>
      <c r="I428" s="626">
        <v>88.691000000000003</v>
      </c>
      <c r="J428" s="629"/>
      <c r="K428" s="628">
        <f>Table4[[#This Row],[Qty]]*Table4[[#This Row],[Gallon Capacity Per Linear Foot]]</f>
        <v>0</v>
      </c>
      <c r="L428" s="628">
        <f>Table4[[#This Row],[Gallons]]*7.48</f>
        <v>0</v>
      </c>
      <c r="M428" s="628">
        <f>Table4[[#This Row],[Qty]]*Table4[[#This Row],[Weight per Foot]]</f>
        <v>0</v>
      </c>
      <c r="N428" s="628">
        <f>Table4[[#This Row],[Pipe Wt. ]]+Table4[[#This Row],[Fluid Wt. ]]</f>
        <v>0</v>
      </c>
    </row>
    <row r="429" spans="1:14" x14ac:dyDescent="0.2">
      <c r="A429" s="626">
        <v>48</v>
      </c>
      <c r="B429" s="626">
        <v>48</v>
      </c>
      <c r="C429" s="626">
        <v>0.75</v>
      </c>
      <c r="D429" s="626">
        <v>46.5</v>
      </c>
      <c r="E429" s="626">
        <v>378.83</v>
      </c>
      <c r="F429" s="626"/>
      <c r="G429" s="626"/>
      <c r="H429" s="626">
        <v>1295.1600000000001</v>
      </c>
      <c r="I429" s="626">
        <v>88.22</v>
      </c>
      <c r="J429" s="629"/>
      <c r="K429" s="628">
        <f>Table4[[#This Row],[Qty]]*Table4[[#This Row],[Gallon Capacity Per Linear Foot]]</f>
        <v>0</v>
      </c>
      <c r="L429" s="628">
        <f>Table4[[#This Row],[Gallons]]*7.48</f>
        <v>0</v>
      </c>
      <c r="M429" s="628">
        <f>Table4[[#This Row],[Qty]]*Table4[[#This Row],[Weight per Foot]]</f>
        <v>0</v>
      </c>
      <c r="N429" s="628">
        <f>Table4[[#This Row],[Pipe Wt. ]]+Table4[[#This Row],[Fluid Wt. ]]</f>
        <v>0</v>
      </c>
    </row>
    <row r="430" spans="1:14" x14ac:dyDescent="0.2">
      <c r="A430" s="626">
        <v>48</v>
      </c>
      <c r="B430" s="626">
        <v>48</v>
      </c>
      <c r="C430" s="626">
        <v>0.875</v>
      </c>
      <c r="D430" s="626">
        <v>46.25</v>
      </c>
      <c r="E430" s="626">
        <v>440.8</v>
      </c>
      <c r="F430" s="626"/>
      <c r="G430" s="626"/>
      <c r="H430" s="626">
        <v>1499.22</v>
      </c>
      <c r="I430" s="626">
        <v>87.274000000000001</v>
      </c>
      <c r="J430" s="629"/>
      <c r="K430" s="628">
        <f>Table4[[#This Row],[Qty]]*Table4[[#This Row],[Gallon Capacity Per Linear Foot]]</f>
        <v>0</v>
      </c>
      <c r="L430" s="628">
        <f>Table4[[#This Row],[Gallons]]*7.48</f>
        <v>0</v>
      </c>
      <c r="M430" s="628">
        <f>Table4[[#This Row],[Qty]]*Table4[[#This Row],[Weight per Foot]]</f>
        <v>0</v>
      </c>
      <c r="N430" s="628">
        <f>Table4[[#This Row],[Pipe Wt. ]]+Table4[[#This Row],[Fluid Wt. ]]</f>
        <v>0</v>
      </c>
    </row>
    <row r="431" spans="1:14" x14ac:dyDescent="0.2">
      <c r="A431" s="626">
        <v>48</v>
      </c>
      <c r="B431" s="626">
        <v>48</v>
      </c>
      <c r="C431" s="626">
        <v>1</v>
      </c>
      <c r="D431" s="626">
        <v>46</v>
      </c>
      <c r="E431" s="626">
        <v>502.43</v>
      </c>
      <c r="F431" s="626"/>
      <c r="G431" s="626"/>
      <c r="H431" s="626">
        <v>1699.94</v>
      </c>
      <c r="I431" s="626">
        <v>86.332999999999998</v>
      </c>
      <c r="J431" s="629"/>
      <c r="K431" s="628">
        <f>Table4[[#This Row],[Qty]]*Table4[[#This Row],[Gallon Capacity Per Linear Foot]]</f>
        <v>0</v>
      </c>
      <c r="L431" s="628">
        <f>Table4[[#This Row],[Gallons]]*7.48</f>
        <v>0</v>
      </c>
      <c r="M431" s="628">
        <f>Table4[[#This Row],[Qty]]*Table4[[#This Row],[Weight per Foot]]</f>
        <v>0</v>
      </c>
      <c r="N431" s="628">
        <f>Table4[[#This Row],[Pipe Wt. ]]+Table4[[#This Row],[Fluid Wt. ]]</f>
        <v>0</v>
      </c>
    </row>
    <row r="432" spans="1:14" x14ac:dyDescent="0.2">
      <c r="A432" s="626">
        <v>54</v>
      </c>
      <c r="B432" s="626">
        <v>54</v>
      </c>
      <c r="C432" s="626">
        <v>0.25</v>
      </c>
      <c r="D432" s="626">
        <v>53.5</v>
      </c>
      <c r="E432" s="626">
        <v>143.65</v>
      </c>
      <c r="F432" s="626"/>
      <c r="G432" s="626"/>
      <c r="H432" s="626">
        <v>564.79999999999995</v>
      </c>
      <c r="I432" s="626">
        <v>116.78</v>
      </c>
      <c r="J432" s="629"/>
      <c r="K432" s="628">
        <f>Table4[[#This Row],[Qty]]*Table4[[#This Row],[Gallon Capacity Per Linear Foot]]</f>
        <v>0</v>
      </c>
      <c r="L432" s="628">
        <f>Table4[[#This Row],[Gallons]]*7.48</f>
        <v>0</v>
      </c>
      <c r="M432" s="628">
        <f>Table4[[#This Row],[Qty]]*Table4[[#This Row],[Weight per Foot]]</f>
        <v>0</v>
      </c>
      <c r="N432" s="628">
        <f>Table4[[#This Row],[Pipe Wt. ]]+Table4[[#This Row],[Fluid Wt. ]]</f>
        <v>0</v>
      </c>
    </row>
    <row r="433" spans="1:14" x14ac:dyDescent="0.2">
      <c r="A433" s="626">
        <v>54</v>
      </c>
      <c r="B433" s="626">
        <v>54</v>
      </c>
      <c r="C433" s="626">
        <v>0.28100000000000003</v>
      </c>
      <c r="D433" s="626">
        <v>53.438000000000002</v>
      </c>
      <c r="E433" s="626">
        <v>161.37</v>
      </c>
      <c r="F433" s="626"/>
      <c r="G433" s="626"/>
      <c r="H433" s="626">
        <v>633.74</v>
      </c>
      <c r="I433" s="626">
        <v>116.51</v>
      </c>
      <c r="J433" s="629"/>
      <c r="K433" s="628">
        <f>Table4[[#This Row],[Qty]]*Table4[[#This Row],[Gallon Capacity Per Linear Foot]]</f>
        <v>0</v>
      </c>
      <c r="L433" s="628">
        <f>Table4[[#This Row],[Gallons]]*7.48</f>
        <v>0</v>
      </c>
      <c r="M433" s="628">
        <f>Table4[[#This Row],[Qty]]*Table4[[#This Row],[Weight per Foot]]</f>
        <v>0</v>
      </c>
      <c r="N433" s="628">
        <f>Table4[[#This Row],[Pipe Wt. ]]+Table4[[#This Row],[Fluid Wt. ]]</f>
        <v>0</v>
      </c>
    </row>
    <row r="434" spans="1:14" x14ac:dyDescent="0.2">
      <c r="A434" s="626">
        <v>54</v>
      </c>
      <c r="B434" s="626">
        <v>54</v>
      </c>
      <c r="C434" s="626">
        <v>0.312</v>
      </c>
      <c r="D434" s="626">
        <v>53.375999999999998</v>
      </c>
      <c r="E434" s="626">
        <v>179.06</v>
      </c>
      <c r="F434" s="626"/>
      <c r="G434" s="626"/>
      <c r="H434" s="626">
        <v>702.43</v>
      </c>
      <c r="I434" s="626">
        <v>116.24</v>
      </c>
      <c r="J434" s="629"/>
      <c r="K434" s="628">
        <f>Table4[[#This Row],[Qty]]*Table4[[#This Row],[Gallon Capacity Per Linear Foot]]</f>
        <v>0</v>
      </c>
      <c r="L434" s="628">
        <f>Table4[[#This Row],[Gallons]]*7.48</f>
        <v>0</v>
      </c>
      <c r="M434" s="628">
        <f>Table4[[#This Row],[Qty]]*Table4[[#This Row],[Weight per Foot]]</f>
        <v>0</v>
      </c>
      <c r="N434" s="628">
        <f>Table4[[#This Row],[Pipe Wt. ]]+Table4[[#This Row],[Fluid Wt. ]]</f>
        <v>0</v>
      </c>
    </row>
    <row r="435" spans="1:14" x14ac:dyDescent="0.2">
      <c r="A435" s="626">
        <v>54</v>
      </c>
      <c r="B435" s="626">
        <v>54</v>
      </c>
      <c r="C435" s="626">
        <v>0.34399999999999997</v>
      </c>
      <c r="D435" s="626">
        <v>53.311999999999998</v>
      </c>
      <c r="E435" s="626">
        <v>197.31</v>
      </c>
      <c r="F435" s="626"/>
      <c r="G435" s="626"/>
      <c r="H435" s="626">
        <v>773.1</v>
      </c>
      <c r="I435" s="626">
        <v>115.96</v>
      </c>
      <c r="J435" s="629"/>
      <c r="K435" s="628">
        <f>Table4[[#This Row],[Qty]]*Table4[[#This Row],[Gallon Capacity Per Linear Foot]]</f>
        <v>0</v>
      </c>
      <c r="L435" s="628">
        <f>Table4[[#This Row],[Gallons]]*7.48</f>
        <v>0</v>
      </c>
      <c r="M435" s="628">
        <f>Table4[[#This Row],[Qty]]*Table4[[#This Row],[Weight per Foot]]</f>
        <v>0</v>
      </c>
      <c r="N435" s="628">
        <f>Table4[[#This Row],[Pipe Wt. ]]+Table4[[#This Row],[Fluid Wt. ]]</f>
        <v>0</v>
      </c>
    </row>
    <row r="436" spans="1:14" x14ac:dyDescent="0.2">
      <c r="A436" s="626">
        <v>54</v>
      </c>
      <c r="B436" s="626">
        <v>54</v>
      </c>
      <c r="C436" s="626">
        <v>0.375</v>
      </c>
      <c r="D436" s="626">
        <v>53.25</v>
      </c>
      <c r="E436" s="626">
        <v>214.97</v>
      </c>
      <c r="F436" s="626" t="s">
        <v>859</v>
      </c>
      <c r="G436" s="626"/>
      <c r="H436" s="626">
        <v>841.33</v>
      </c>
      <c r="I436" s="626">
        <v>115.69</v>
      </c>
      <c r="J436" s="629"/>
      <c r="K436" s="628">
        <f>Table4[[#This Row],[Qty]]*Table4[[#This Row],[Gallon Capacity Per Linear Foot]]</f>
        <v>0</v>
      </c>
      <c r="L436" s="628">
        <f>Table4[[#This Row],[Gallons]]*7.48</f>
        <v>0</v>
      </c>
      <c r="M436" s="628">
        <f>Table4[[#This Row],[Qty]]*Table4[[#This Row],[Weight per Foot]]</f>
        <v>0</v>
      </c>
      <c r="N436" s="628">
        <f>Table4[[#This Row],[Pipe Wt. ]]+Table4[[#This Row],[Fluid Wt. ]]</f>
        <v>0</v>
      </c>
    </row>
    <row r="437" spans="1:14" x14ac:dyDescent="0.2">
      <c r="A437" s="626">
        <v>54</v>
      </c>
      <c r="B437" s="626">
        <v>54</v>
      </c>
      <c r="C437" s="626">
        <v>0.40600000000000003</v>
      </c>
      <c r="D437" s="626">
        <v>53.188000000000002</v>
      </c>
      <c r="E437" s="626">
        <v>232.61</v>
      </c>
      <c r="F437" s="626"/>
      <c r="G437" s="626"/>
      <c r="H437" s="626">
        <v>909.32</v>
      </c>
      <c r="I437" s="626">
        <v>115.42</v>
      </c>
      <c r="J437" s="629"/>
      <c r="K437" s="628">
        <f>Table4[[#This Row],[Qty]]*Table4[[#This Row],[Gallon Capacity Per Linear Foot]]</f>
        <v>0</v>
      </c>
      <c r="L437" s="628">
        <f>Table4[[#This Row],[Gallons]]*7.48</f>
        <v>0</v>
      </c>
      <c r="M437" s="628">
        <f>Table4[[#This Row],[Qty]]*Table4[[#This Row],[Weight per Foot]]</f>
        <v>0</v>
      </c>
      <c r="N437" s="628">
        <f>Table4[[#This Row],[Pipe Wt. ]]+Table4[[#This Row],[Fluid Wt. ]]</f>
        <v>0</v>
      </c>
    </row>
    <row r="438" spans="1:14" x14ac:dyDescent="0.2">
      <c r="A438" s="626">
        <v>54</v>
      </c>
      <c r="B438" s="626">
        <v>54</v>
      </c>
      <c r="C438" s="626">
        <v>0.438</v>
      </c>
      <c r="D438" s="626">
        <v>53.124000000000002</v>
      </c>
      <c r="E438" s="626">
        <v>250.79</v>
      </c>
      <c r="F438" s="626"/>
      <c r="G438" s="626"/>
      <c r="H438" s="626">
        <v>979.22</v>
      </c>
      <c r="I438" s="626">
        <v>115.14</v>
      </c>
      <c r="J438" s="629"/>
      <c r="K438" s="628">
        <f>Table4[[#This Row],[Qty]]*Table4[[#This Row],[Gallon Capacity Per Linear Foot]]</f>
        <v>0</v>
      </c>
      <c r="L438" s="628">
        <f>Table4[[#This Row],[Gallons]]*7.48</f>
        <v>0</v>
      </c>
      <c r="M438" s="628">
        <f>Table4[[#This Row],[Qty]]*Table4[[#This Row],[Weight per Foot]]</f>
        <v>0</v>
      </c>
      <c r="N438" s="628">
        <f>Table4[[#This Row],[Pipe Wt. ]]+Table4[[#This Row],[Fluid Wt. ]]</f>
        <v>0</v>
      </c>
    </row>
    <row r="439" spans="1:14" x14ac:dyDescent="0.2">
      <c r="A439" s="626">
        <v>54</v>
      </c>
      <c r="B439" s="626">
        <v>54</v>
      </c>
      <c r="C439" s="626">
        <v>0.46899999999999997</v>
      </c>
      <c r="D439" s="626">
        <v>53.061999999999998</v>
      </c>
      <c r="E439" s="626">
        <v>268.38</v>
      </c>
      <c r="F439" s="626"/>
      <c r="G439" s="626"/>
      <c r="H439" s="626">
        <v>1046.7</v>
      </c>
      <c r="I439" s="626">
        <v>114.88</v>
      </c>
      <c r="J439" s="629"/>
      <c r="K439" s="628">
        <f>Table4[[#This Row],[Qty]]*Table4[[#This Row],[Gallon Capacity Per Linear Foot]]</f>
        <v>0</v>
      </c>
      <c r="L439" s="628">
        <f>Table4[[#This Row],[Gallons]]*7.48</f>
        <v>0</v>
      </c>
      <c r="M439" s="628">
        <f>Table4[[#This Row],[Qty]]*Table4[[#This Row],[Weight per Foot]]</f>
        <v>0</v>
      </c>
      <c r="N439" s="628">
        <f>Table4[[#This Row],[Pipe Wt. ]]+Table4[[#This Row],[Fluid Wt. ]]</f>
        <v>0</v>
      </c>
    </row>
    <row r="440" spans="1:14" x14ac:dyDescent="0.2">
      <c r="A440" s="626">
        <v>54</v>
      </c>
      <c r="B440" s="626">
        <v>54</v>
      </c>
      <c r="C440" s="626">
        <v>0.5</v>
      </c>
      <c r="D440" s="626">
        <v>53</v>
      </c>
      <c r="E440" s="626">
        <v>285.95999999999998</v>
      </c>
      <c r="F440" s="626" t="s">
        <v>857</v>
      </c>
      <c r="G440" s="626"/>
      <c r="H440" s="626">
        <v>1113.98</v>
      </c>
      <c r="I440" s="626">
        <v>114.61</v>
      </c>
      <c r="J440" s="629"/>
      <c r="K440" s="628">
        <f>Table4[[#This Row],[Qty]]*Table4[[#This Row],[Gallon Capacity Per Linear Foot]]</f>
        <v>0</v>
      </c>
      <c r="L440" s="628">
        <f>Table4[[#This Row],[Gallons]]*7.48</f>
        <v>0</v>
      </c>
      <c r="M440" s="628">
        <f>Table4[[#This Row],[Qty]]*Table4[[#This Row],[Weight per Foot]]</f>
        <v>0</v>
      </c>
      <c r="N440" s="628">
        <f>Table4[[#This Row],[Pipe Wt. ]]+Table4[[#This Row],[Fluid Wt. ]]</f>
        <v>0</v>
      </c>
    </row>
    <row r="441" spans="1:14" x14ac:dyDescent="0.2">
      <c r="A441" s="626">
        <v>54</v>
      </c>
      <c r="B441" s="626">
        <v>54</v>
      </c>
      <c r="C441" s="626">
        <v>0.56200000000000006</v>
      </c>
      <c r="D441" s="626">
        <v>52.875999999999998</v>
      </c>
      <c r="E441" s="626">
        <v>321.04000000000002</v>
      </c>
      <c r="F441" s="626"/>
      <c r="G441" s="626"/>
      <c r="H441" s="626">
        <v>1247.8</v>
      </c>
      <c r="I441" s="626">
        <v>114.07</v>
      </c>
      <c r="J441" s="629"/>
      <c r="K441" s="628">
        <f>Table4[[#This Row],[Qty]]*Table4[[#This Row],[Gallon Capacity Per Linear Foot]]</f>
        <v>0</v>
      </c>
      <c r="L441" s="628">
        <f>Table4[[#This Row],[Gallons]]*7.48</f>
        <v>0</v>
      </c>
      <c r="M441" s="628">
        <f>Table4[[#This Row],[Qty]]*Table4[[#This Row],[Weight per Foot]]</f>
        <v>0</v>
      </c>
      <c r="N441" s="628">
        <f>Table4[[#This Row],[Pipe Wt. ]]+Table4[[#This Row],[Fluid Wt. ]]</f>
        <v>0</v>
      </c>
    </row>
    <row r="442" spans="1:14" x14ac:dyDescent="0.2">
      <c r="A442" s="626">
        <v>54</v>
      </c>
      <c r="B442" s="626">
        <v>54</v>
      </c>
      <c r="C442" s="626">
        <v>0.625</v>
      </c>
      <c r="D442" s="626">
        <v>52.75</v>
      </c>
      <c r="E442" s="626">
        <v>356.61</v>
      </c>
      <c r="F442" s="626"/>
      <c r="G442" s="626"/>
      <c r="H442" s="626">
        <v>1382.82</v>
      </c>
      <c r="I442" s="626">
        <v>113.53</v>
      </c>
      <c r="J442" s="629"/>
      <c r="K442" s="628">
        <f>Table4[[#This Row],[Qty]]*Table4[[#This Row],[Gallon Capacity Per Linear Foot]]</f>
        <v>0</v>
      </c>
      <c r="L442" s="628">
        <f>Table4[[#This Row],[Gallons]]*7.48</f>
        <v>0</v>
      </c>
      <c r="M442" s="628">
        <f>Table4[[#This Row],[Qty]]*Table4[[#This Row],[Weight per Foot]]</f>
        <v>0</v>
      </c>
      <c r="N442" s="628">
        <f>Table4[[#This Row],[Pipe Wt. ]]+Table4[[#This Row],[Fluid Wt. ]]</f>
        <v>0</v>
      </c>
    </row>
    <row r="443" spans="1:14" x14ac:dyDescent="0.2">
      <c r="A443" s="626">
        <v>54</v>
      </c>
      <c r="B443" s="626">
        <v>54</v>
      </c>
      <c r="C443" s="626">
        <v>0.68799999999999994</v>
      </c>
      <c r="D443" s="626">
        <v>52.624000000000002</v>
      </c>
      <c r="E443" s="626">
        <v>392.09</v>
      </c>
      <c r="F443" s="626"/>
      <c r="G443" s="626"/>
      <c r="H443" s="626">
        <v>1516.83</v>
      </c>
      <c r="I443" s="626">
        <v>112.99</v>
      </c>
      <c r="J443" s="629"/>
      <c r="K443" s="628">
        <f>Table4[[#This Row],[Qty]]*Table4[[#This Row],[Gallon Capacity Per Linear Foot]]</f>
        <v>0</v>
      </c>
      <c r="L443" s="628">
        <f>Table4[[#This Row],[Gallons]]*7.48</f>
        <v>0</v>
      </c>
      <c r="M443" s="628">
        <f>Table4[[#This Row],[Qty]]*Table4[[#This Row],[Weight per Foot]]</f>
        <v>0</v>
      </c>
      <c r="N443" s="628">
        <f>Table4[[#This Row],[Pipe Wt. ]]+Table4[[#This Row],[Fluid Wt. ]]</f>
        <v>0</v>
      </c>
    </row>
    <row r="444" spans="1:14" x14ac:dyDescent="0.2">
      <c r="A444" s="626">
        <v>54</v>
      </c>
      <c r="B444" s="626">
        <v>54</v>
      </c>
      <c r="C444" s="626">
        <v>0.75</v>
      </c>
      <c r="D444" s="626">
        <v>52.5</v>
      </c>
      <c r="E444" s="626">
        <v>426.93</v>
      </c>
      <c r="F444" s="626"/>
      <c r="G444" s="626"/>
      <c r="H444" s="626">
        <v>1647.81</v>
      </c>
      <c r="I444" s="626">
        <v>112.45</v>
      </c>
      <c r="J444" s="629"/>
      <c r="K444" s="628">
        <f>Table4[[#This Row],[Qty]]*Table4[[#This Row],[Gallon Capacity Per Linear Foot]]</f>
        <v>0</v>
      </c>
      <c r="L444" s="628">
        <f>Table4[[#This Row],[Gallons]]*7.48</f>
        <v>0</v>
      </c>
      <c r="M444" s="628">
        <f>Table4[[#This Row],[Qty]]*Table4[[#This Row],[Weight per Foot]]</f>
        <v>0</v>
      </c>
      <c r="N444" s="628">
        <f>Table4[[#This Row],[Pipe Wt. ]]+Table4[[#This Row],[Fluid Wt. ]]</f>
        <v>0</v>
      </c>
    </row>
    <row r="445" spans="1:14" x14ac:dyDescent="0.2">
      <c r="A445" s="626">
        <v>54</v>
      </c>
      <c r="B445" s="626">
        <v>54</v>
      </c>
      <c r="C445" s="626">
        <v>0.875</v>
      </c>
      <c r="D445" s="626">
        <v>52.25</v>
      </c>
      <c r="E445" s="626">
        <v>496.92</v>
      </c>
      <c r="F445" s="626"/>
      <c r="G445" s="626"/>
      <c r="H445" s="626">
        <v>1909.12</v>
      </c>
      <c r="I445" s="626">
        <v>111.39</v>
      </c>
      <c r="J445" s="629"/>
      <c r="K445" s="628">
        <f>Table4[[#This Row],[Qty]]*Table4[[#This Row],[Gallon Capacity Per Linear Foot]]</f>
        <v>0</v>
      </c>
      <c r="L445" s="628">
        <f>Table4[[#This Row],[Gallons]]*7.48</f>
        <v>0</v>
      </c>
      <c r="M445" s="628">
        <f>Table4[[#This Row],[Qty]]*Table4[[#This Row],[Weight per Foot]]</f>
        <v>0</v>
      </c>
      <c r="N445" s="628">
        <f>Table4[[#This Row],[Pipe Wt. ]]+Table4[[#This Row],[Fluid Wt. ]]</f>
        <v>0</v>
      </c>
    </row>
    <row r="446" spans="1:14" x14ac:dyDescent="0.2">
      <c r="A446" s="626">
        <v>54</v>
      </c>
      <c r="B446" s="626">
        <v>54</v>
      </c>
      <c r="C446" s="626">
        <v>1</v>
      </c>
      <c r="D446" s="626">
        <v>52</v>
      </c>
      <c r="E446" s="626">
        <v>566.57000000000005</v>
      </c>
      <c r="F446" s="626"/>
      <c r="G446" s="626"/>
      <c r="H446" s="626">
        <v>2166.66</v>
      </c>
      <c r="I446" s="626">
        <v>110.32</v>
      </c>
      <c r="J446" s="629"/>
      <c r="K446" s="628">
        <f>Table4[[#This Row],[Qty]]*Table4[[#This Row],[Gallon Capacity Per Linear Foot]]</f>
        <v>0</v>
      </c>
      <c r="L446" s="628">
        <f>Table4[[#This Row],[Gallons]]*7.48</f>
        <v>0</v>
      </c>
      <c r="M446" s="628">
        <f>Table4[[#This Row],[Qty]]*Table4[[#This Row],[Weight per Foot]]</f>
        <v>0</v>
      </c>
      <c r="N446" s="628">
        <f>Table4[[#This Row],[Pipe Wt. ]]+Table4[[#This Row],[Fluid Wt. ]]</f>
        <v>0</v>
      </c>
    </row>
    <row r="447" spans="1:14" x14ac:dyDescent="0.2">
      <c r="A447" s="626">
        <v>60</v>
      </c>
      <c r="B447" s="626">
        <v>60</v>
      </c>
      <c r="C447" s="626">
        <v>0.25</v>
      </c>
      <c r="D447" s="626">
        <v>59.5</v>
      </c>
      <c r="E447" s="626">
        <v>159.68</v>
      </c>
      <c r="F447" s="626"/>
      <c r="G447" s="626"/>
      <c r="H447" s="626">
        <v>698.2</v>
      </c>
      <c r="I447" s="626">
        <v>144.44</v>
      </c>
      <c r="J447" s="629"/>
      <c r="K447" s="628">
        <f>Table4[[#This Row],[Qty]]*Table4[[#This Row],[Gallon Capacity Per Linear Foot]]</f>
        <v>0</v>
      </c>
      <c r="L447" s="628">
        <f>Table4[[#This Row],[Gallons]]*7.48</f>
        <v>0</v>
      </c>
      <c r="M447" s="628">
        <f>Table4[[#This Row],[Qty]]*Table4[[#This Row],[Weight per Foot]]</f>
        <v>0</v>
      </c>
      <c r="N447" s="628">
        <f>Table4[[#This Row],[Pipe Wt. ]]+Table4[[#This Row],[Fluid Wt. ]]</f>
        <v>0</v>
      </c>
    </row>
    <row r="448" spans="1:14" x14ac:dyDescent="0.2">
      <c r="A448" s="626">
        <v>60</v>
      </c>
      <c r="B448" s="626">
        <v>60</v>
      </c>
      <c r="C448" s="626">
        <v>0.312</v>
      </c>
      <c r="D448" s="626">
        <v>59.375999999999998</v>
      </c>
      <c r="E448" s="626">
        <v>199.08</v>
      </c>
      <c r="F448" s="626"/>
      <c r="G448" s="626"/>
      <c r="H448" s="626">
        <v>868.68</v>
      </c>
      <c r="I448" s="626">
        <v>143.84</v>
      </c>
      <c r="J448" s="629"/>
      <c r="K448" s="628">
        <f>Table4[[#This Row],[Qty]]*Table4[[#This Row],[Gallon Capacity Per Linear Foot]]</f>
        <v>0</v>
      </c>
      <c r="L448" s="628">
        <f>Table4[[#This Row],[Gallons]]*7.48</f>
        <v>0</v>
      </c>
      <c r="M448" s="628">
        <f>Table4[[#This Row],[Qty]]*Table4[[#This Row],[Weight per Foot]]</f>
        <v>0</v>
      </c>
      <c r="N448" s="628">
        <f>Table4[[#This Row],[Pipe Wt. ]]+Table4[[#This Row],[Fluid Wt. ]]</f>
        <v>0</v>
      </c>
    </row>
    <row r="449" spans="1:14" x14ac:dyDescent="0.2">
      <c r="A449" s="626">
        <v>60</v>
      </c>
      <c r="B449" s="626">
        <v>60</v>
      </c>
      <c r="C449" s="626">
        <v>0.375</v>
      </c>
      <c r="D449" s="626">
        <v>59.25</v>
      </c>
      <c r="E449" s="626">
        <v>239.02</v>
      </c>
      <c r="F449" s="626" t="s">
        <v>859</v>
      </c>
      <c r="G449" s="626"/>
      <c r="H449" s="626">
        <v>1042.04</v>
      </c>
      <c r="I449" s="626">
        <v>143.22999999999999</v>
      </c>
      <c r="J449" s="629"/>
      <c r="K449" s="628">
        <f>Table4[[#This Row],[Qty]]*Table4[[#This Row],[Gallon Capacity Per Linear Foot]]</f>
        <v>0</v>
      </c>
      <c r="L449" s="628">
        <f>Table4[[#This Row],[Gallons]]*7.48</f>
        <v>0</v>
      </c>
      <c r="M449" s="628">
        <f>Table4[[#This Row],[Qty]]*Table4[[#This Row],[Weight per Foot]]</f>
        <v>0</v>
      </c>
      <c r="N449" s="628">
        <f>Table4[[#This Row],[Pipe Wt. ]]+Table4[[#This Row],[Fluid Wt. ]]</f>
        <v>0</v>
      </c>
    </row>
    <row r="450" spans="1:14" x14ac:dyDescent="0.2">
      <c r="A450" s="626">
        <v>60</v>
      </c>
      <c r="B450" s="626">
        <v>60</v>
      </c>
      <c r="C450" s="626">
        <v>0.438</v>
      </c>
      <c r="D450" s="626">
        <v>59.121000000000002</v>
      </c>
      <c r="E450" s="626">
        <v>278.20999999999998</v>
      </c>
      <c r="F450" s="626"/>
      <c r="G450" s="626"/>
      <c r="H450" s="626">
        <v>1210.51</v>
      </c>
      <c r="I450" s="626">
        <v>142.62</v>
      </c>
      <c r="J450" s="629"/>
      <c r="K450" s="628">
        <f>Table4[[#This Row],[Qty]]*Table4[[#This Row],[Gallon Capacity Per Linear Foot]]</f>
        <v>0</v>
      </c>
      <c r="L450" s="628">
        <f>Table4[[#This Row],[Gallons]]*7.48</f>
        <v>0</v>
      </c>
      <c r="M450" s="628">
        <f>Table4[[#This Row],[Qty]]*Table4[[#This Row],[Weight per Foot]]</f>
        <v>0</v>
      </c>
      <c r="N450" s="628">
        <f>Table4[[#This Row],[Pipe Wt. ]]+Table4[[#This Row],[Fluid Wt. ]]</f>
        <v>0</v>
      </c>
    </row>
    <row r="451" spans="1:14" x14ac:dyDescent="0.2">
      <c r="A451" s="626">
        <v>60</v>
      </c>
      <c r="B451" s="626">
        <v>60</v>
      </c>
      <c r="C451" s="626">
        <v>0.5</v>
      </c>
      <c r="D451" s="626">
        <v>59</v>
      </c>
      <c r="E451" s="626">
        <v>318.02999999999997</v>
      </c>
      <c r="F451" s="626" t="s">
        <v>857</v>
      </c>
      <c r="G451" s="626"/>
      <c r="H451" s="626">
        <v>1379.32</v>
      </c>
      <c r="I451" s="626">
        <v>142.02000000000001</v>
      </c>
      <c r="J451" s="629"/>
      <c r="K451" s="628">
        <f>Table4[[#This Row],[Qty]]*Table4[[#This Row],[Gallon Capacity Per Linear Foot]]</f>
        <v>0</v>
      </c>
      <c r="L451" s="628">
        <f>Table4[[#This Row],[Gallons]]*7.48</f>
        <v>0</v>
      </c>
      <c r="M451" s="628">
        <f>Table4[[#This Row],[Qty]]*Table4[[#This Row],[Weight per Foot]]</f>
        <v>0</v>
      </c>
      <c r="N451" s="628">
        <f>Table4[[#This Row],[Pipe Wt. ]]+Table4[[#This Row],[Fluid Wt. ]]</f>
        <v>0</v>
      </c>
    </row>
    <row r="452" spans="1:14" x14ac:dyDescent="0.2">
      <c r="A452" s="626">
        <v>60</v>
      </c>
      <c r="B452" s="626">
        <v>60</v>
      </c>
      <c r="C452" s="626">
        <v>0.56200000000000006</v>
      </c>
      <c r="D452" s="626">
        <v>58.875999999999998</v>
      </c>
      <c r="E452" s="626">
        <v>357.09</v>
      </c>
      <c r="F452" s="626"/>
      <c r="G452" s="626"/>
      <c r="H452" s="626">
        <v>1546.65</v>
      </c>
      <c r="I452" s="626">
        <v>141.43</v>
      </c>
      <c r="J452" s="629"/>
      <c r="K452" s="628">
        <f>Table4[[#This Row],[Qty]]*Table4[[#This Row],[Gallon Capacity Per Linear Foot]]</f>
        <v>0</v>
      </c>
      <c r="L452" s="628">
        <f>Table4[[#This Row],[Gallons]]*7.48</f>
        <v>0</v>
      </c>
      <c r="M452" s="628">
        <f>Table4[[#This Row],[Qty]]*Table4[[#This Row],[Weight per Foot]]</f>
        <v>0</v>
      </c>
      <c r="N452" s="628">
        <f>Table4[[#This Row],[Pipe Wt. ]]+Table4[[#This Row],[Fluid Wt. ]]</f>
        <v>0</v>
      </c>
    </row>
    <row r="453" spans="1:14" x14ac:dyDescent="0.2">
      <c r="A453" s="626">
        <v>60</v>
      </c>
      <c r="B453" s="626">
        <v>60</v>
      </c>
      <c r="C453" s="626">
        <v>0.625</v>
      </c>
      <c r="D453" s="626">
        <v>58.75</v>
      </c>
      <c r="E453" s="626">
        <v>396.7</v>
      </c>
      <c r="F453" s="626"/>
      <c r="G453" s="626"/>
      <c r="H453" s="626">
        <v>1713.1</v>
      </c>
      <c r="I453" s="626">
        <v>140.82</v>
      </c>
      <c r="J453" s="629"/>
      <c r="K453" s="628">
        <f>Table4[[#This Row],[Qty]]*Table4[[#This Row],[Gallon Capacity Per Linear Foot]]</f>
        <v>0</v>
      </c>
      <c r="L453" s="628">
        <f>Table4[[#This Row],[Gallons]]*7.48</f>
        <v>0</v>
      </c>
      <c r="M453" s="628">
        <f>Table4[[#This Row],[Qty]]*Table4[[#This Row],[Weight per Foot]]</f>
        <v>0</v>
      </c>
      <c r="N453" s="628">
        <f>Table4[[#This Row],[Pipe Wt. ]]+Table4[[#This Row],[Fluid Wt. ]]</f>
        <v>0</v>
      </c>
    </row>
    <row r="454" spans="1:14" x14ac:dyDescent="0.2">
      <c r="A454" s="626">
        <v>60</v>
      </c>
      <c r="B454" s="626">
        <v>60</v>
      </c>
      <c r="C454" s="626">
        <v>0.68799999999999994</v>
      </c>
      <c r="D454" s="626">
        <v>58.621000000000002</v>
      </c>
      <c r="E454" s="626">
        <v>436.22</v>
      </c>
      <c r="F454" s="626"/>
      <c r="G454" s="626"/>
      <c r="H454" s="626">
        <v>1879.84</v>
      </c>
      <c r="I454" s="626">
        <v>140.22</v>
      </c>
      <c r="J454" s="629"/>
      <c r="K454" s="628">
        <f>Table4[[#This Row],[Qty]]*Table4[[#This Row],[Gallon Capacity Per Linear Foot]]</f>
        <v>0</v>
      </c>
      <c r="L454" s="628">
        <f>Table4[[#This Row],[Gallons]]*7.48</f>
        <v>0</v>
      </c>
      <c r="M454" s="628">
        <f>Table4[[#This Row],[Qty]]*Table4[[#This Row],[Weight per Foot]]</f>
        <v>0</v>
      </c>
      <c r="N454" s="628">
        <f>Table4[[#This Row],[Pipe Wt. ]]+Table4[[#This Row],[Fluid Wt. ]]</f>
        <v>0</v>
      </c>
    </row>
    <row r="455" spans="1:14" x14ac:dyDescent="0.2">
      <c r="A455" s="626">
        <v>60</v>
      </c>
      <c r="B455" s="626">
        <v>60</v>
      </c>
      <c r="C455" s="626">
        <v>0.75</v>
      </c>
      <c r="D455" s="626">
        <v>58.5</v>
      </c>
      <c r="E455" s="626">
        <v>475.04</v>
      </c>
      <c r="F455" s="626"/>
      <c r="G455" s="626"/>
      <c r="H455" s="626">
        <v>2042.85</v>
      </c>
      <c r="I455" s="626">
        <v>139.63</v>
      </c>
      <c r="J455" s="629"/>
      <c r="K455" s="628">
        <f>Table4[[#This Row],[Qty]]*Table4[[#This Row],[Gallon Capacity Per Linear Foot]]</f>
        <v>0</v>
      </c>
      <c r="L455" s="628">
        <f>Table4[[#This Row],[Gallons]]*7.48</f>
        <v>0</v>
      </c>
      <c r="M455" s="628">
        <f>Table4[[#This Row],[Qty]]*Table4[[#This Row],[Weight per Foot]]</f>
        <v>0</v>
      </c>
      <c r="N455" s="628">
        <f>Table4[[#This Row],[Pipe Wt. ]]+Table4[[#This Row],[Fluid Wt. ]]</f>
        <v>0</v>
      </c>
    </row>
    <row r="456" spans="1:14" x14ac:dyDescent="0.2">
      <c r="A456" s="626">
        <v>60</v>
      </c>
      <c r="B456" s="626">
        <v>60</v>
      </c>
      <c r="C456" s="626">
        <v>0.875</v>
      </c>
      <c r="D456" s="626">
        <v>58.25</v>
      </c>
      <c r="E456" s="626">
        <v>553.04</v>
      </c>
      <c r="F456" s="626"/>
      <c r="G456" s="626"/>
      <c r="H456" s="626">
        <v>2366.8200000000002</v>
      </c>
      <c r="I456" s="626">
        <v>138.44</v>
      </c>
      <c r="J456" s="629"/>
      <c r="K456" s="628">
        <f>Table4[[#This Row],[Qty]]*Table4[[#This Row],[Gallon Capacity Per Linear Foot]]</f>
        <v>0</v>
      </c>
      <c r="L456" s="628">
        <f>Table4[[#This Row],[Gallons]]*7.48</f>
        <v>0</v>
      </c>
      <c r="M456" s="628">
        <f>Table4[[#This Row],[Qty]]*Table4[[#This Row],[Weight per Foot]]</f>
        <v>0</v>
      </c>
      <c r="N456" s="628">
        <f>Table4[[#This Row],[Pipe Wt. ]]+Table4[[#This Row],[Fluid Wt. ]]</f>
        <v>0</v>
      </c>
    </row>
    <row r="457" spans="1:14" x14ac:dyDescent="0.2">
      <c r="A457" s="626">
        <v>60</v>
      </c>
      <c r="B457" s="626">
        <v>60</v>
      </c>
      <c r="C457" s="626">
        <v>1</v>
      </c>
      <c r="D457" s="626">
        <v>58</v>
      </c>
      <c r="E457" s="626">
        <v>630.71</v>
      </c>
      <c r="F457" s="626"/>
      <c r="G457" s="626"/>
      <c r="H457" s="626">
        <v>2689.8</v>
      </c>
      <c r="I457" s="626">
        <v>137.25</v>
      </c>
      <c r="J457" s="629"/>
      <c r="K457" s="628">
        <f>Table4[[#This Row],[Qty]]*Table4[[#This Row],[Gallon Capacity Per Linear Foot]]</f>
        <v>0</v>
      </c>
      <c r="L457" s="628">
        <f>Table4[[#This Row],[Gallons]]*7.48</f>
        <v>0</v>
      </c>
      <c r="M457" s="628">
        <f>Table4[[#This Row],[Qty]]*Table4[[#This Row],[Weight per Foot]]</f>
        <v>0</v>
      </c>
      <c r="N457" s="628">
        <f>Table4[[#This Row],[Pipe Wt. ]]+Table4[[#This Row],[Fluid Wt. ]]</f>
        <v>0</v>
      </c>
    </row>
    <row r="458" spans="1:14" x14ac:dyDescent="0.2">
      <c r="A458" s="626">
        <v>66</v>
      </c>
      <c r="B458" s="626">
        <v>66</v>
      </c>
      <c r="C458" s="626">
        <v>0.25</v>
      </c>
      <c r="D458" s="626">
        <v>65.5</v>
      </c>
      <c r="E458" s="626">
        <v>175.72</v>
      </c>
      <c r="F458" s="626"/>
      <c r="G458" s="626"/>
      <c r="H458" s="626">
        <v>845.85</v>
      </c>
      <c r="I458" s="626">
        <v>175.04</v>
      </c>
      <c r="J458" s="629"/>
      <c r="K458" s="628">
        <f>Table4[[#This Row],[Qty]]*Table4[[#This Row],[Gallon Capacity Per Linear Foot]]</f>
        <v>0</v>
      </c>
      <c r="L458" s="628">
        <f>Table4[[#This Row],[Gallons]]*7.48</f>
        <v>0</v>
      </c>
      <c r="M458" s="628">
        <f>Table4[[#This Row],[Qty]]*Table4[[#This Row],[Weight per Foot]]</f>
        <v>0</v>
      </c>
      <c r="N458" s="628">
        <f>Table4[[#This Row],[Pipe Wt. ]]+Table4[[#This Row],[Fluid Wt. ]]</f>
        <v>0</v>
      </c>
    </row>
    <row r="459" spans="1:14" x14ac:dyDescent="0.2">
      <c r="A459" s="626">
        <v>66</v>
      </c>
      <c r="B459" s="626">
        <v>66</v>
      </c>
      <c r="C459" s="626">
        <v>0.312</v>
      </c>
      <c r="D459" s="626">
        <v>65.376000000000005</v>
      </c>
      <c r="E459" s="626">
        <v>219.09</v>
      </c>
      <c r="F459" s="626"/>
      <c r="G459" s="626"/>
      <c r="H459" s="626">
        <v>1052.6500000000001</v>
      </c>
      <c r="I459" s="626">
        <v>174.38</v>
      </c>
      <c r="J459" s="629"/>
      <c r="K459" s="628">
        <f>Table4[[#This Row],[Qty]]*Table4[[#This Row],[Gallon Capacity Per Linear Foot]]</f>
        <v>0</v>
      </c>
      <c r="L459" s="628">
        <f>Table4[[#This Row],[Gallons]]*7.48</f>
        <v>0</v>
      </c>
      <c r="M459" s="628">
        <f>Table4[[#This Row],[Qty]]*Table4[[#This Row],[Weight per Foot]]</f>
        <v>0</v>
      </c>
      <c r="N459" s="628">
        <f>Table4[[#This Row],[Pipe Wt. ]]+Table4[[#This Row],[Fluid Wt. ]]</f>
        <v>0</v>
      </c>
    </row>
    <row r="460" spans="1:14" x14ac:dyDescent="0.2">
      <c r="A460" s="626">
        <v>66</v>
      </c>
      <c r="B460" s="626">
        <v>66</v>
      </c>
      <c r="C460" s="626">
        <v>0.375</v>
      </c>
      <c r="D460" s="626">
        <v>65.25</v>
      </c>
      <c r="E460" s="626">
        <v>263.07</v>
      </c>
      <c r="F460" s="626" t="s">
        <v>859</v>
      </c>
      <c r="G460" s="626"/>
      <c r="H460" s="626">
        <v>1261.58</v>
      </c>
      <c r="I460" s="626">
        <v>173.71</v>
      </c>
      <c r="J460" s="629"/>
      <c r="K460" s="628">
        <f>Table4[[#This Row],[Qty]]*Table4[[#This Row],[Gallon Capacity Per Linear Foot]]</f>
        <v>0</v>
      </c>
      <c r="L460" s="628">
        <f>Table4[[#This Row],[Gallons]]*7.48</f>
        <v>0</v>
      </c>
      <c r="M460" s="628">
        <f>Table4[[#This Row],[Qty]]*Table4[[#This Row],[Weight per Foot]]</f>
        <v>0</v>
      </c>
      <c r="N460" s="628">
        <f>Table4[[#This Row],[Pipe Wt. ]]+Table4[[#This Row],[Fluid Wt. ]]</f>
        <v>0</v>
      </c>
    </row>
    <row r="461" spans="1:14" x14ac:dyDescent="0.2">
      <c r="A461" s="626">
        <v>66</v>
      </c>
      <c r="B461" s="626">
        <v>66</v>
      </c>
      <c r="C461" s="626">
        <v>0.438</v>
      </c>
      <c r="D461" s="626">
        <v>65.123999999999995</v>
      </c>
      <c r="E461" s="626">
        <v>306.98</v>
      </c>
      <c r="F461" s="626"/>
      <c r="G461" s="626"/>
      <c r="H461" s="626">
        <v>1469.26</v>
      </c>
      <c r="I461" s="626">
        <v>173.04</v>
      </c>
      <c r="J461" s="629"/>
      <c r="K461" s="628">
        <f>Table4[[#This Row],[Qty]]*Table4[[#This Row],[Gallon Capacity Per Linear Foot]]</f>
        <v>0</v>
      </c>
      <c r="L461" s="628">
        <f>Table4[[#This Row],[Gallons]]*7.48</f>
        <v>0</v>
      </c>
      <c r="M461" s="628">
        <f>Table4[[#This Row],[Qty]]*Table4[[#This Row],[Weight per Foot]]</f>
        <v>0</v>
      </c>
      <c r="N461" s="628">
        <f>Table4[[#This Row],[Pipe Wt. ]]+Table4[[#This Row],[Fluid Wt. ]]</f>
        <v>0</v>
      </c>
    </row>
    <row r="462" spans="1:14" x14ac:dyDescent="0.2">
      <c r="A462" s="626">
        <v>66</v>
      </c>
      <c r="B462" s="626">
        <v>66</v>
      </c>
      <c r="C462" s="626">
        <v>0.5</v>
      </c>
      <c r="D462" s="626">
        <v>65</v>
      </c>
      <c r="E462" s="626">
        <v>350.1</v>
      </c>
      <c r="F462" s="626" t="s">
        <v>857</v>
      </c>
      <c r="G462" s="626"/>
      <c r="H462" s="626">
        <v>1672.54</v>
      </c>
      <c r="I462" s="626">
        <v>172.38</v>
      </c>
      <c r="J462" s="629"/>
      <c r="K462" s="628">
        <f>Table4[[#This Row],[Qty]]*Table4[[#This Row],[Gallon Capacity Per Linear Foot]]</f>
        <v>0</v>
      </c>
      <c r="L462" s="628">
        <f>Table4[[#This Row],[Gallons]]*7.48</f>
        <v>0</v>
      </c>
      <c r="M462" s="628">
        <f>Table4[[#This Row],[Qty]]*Table4[[#This Row],[Weight per Foot]]</f>
        <v>0</v>
      </c>
      <c r="N462" s="628">
        <f>Table4[[#This Row],[Pipe Wt. ]]+Table4[[#This Row],[Fluid Wt. ]]</f>
        <v>0</v>
      </c>
    </row>
    <row r="463" spans="1:14" x14ac:dyDescent="0.2">
      <c r="A463" s="626">
        <v>66</v>
      </c>
      <c r="B463" s="626">
        <v>66</v>
      </c>
      <c r="C463" s="626">
        <v>0.56200000000000006</v>
      </c>
      <c r="D463" s="626">
        <v>64.876000000000005</v>
      </c>
      <c r="E463" s="626">
        <v>393.14</v>
      </c>
      <c r="F463" s="626"/>
      <c r="G463" s="626"/>
      <c r="H463" s="626">
        <v>1874.6</v>
      </c>
      <c r="I463" s="626">
        <v>171.72</v>
      </c>
      <c r="J463" s="629"/>
      <c r="K463" s="628">
        <f>Table4[[#This Row],[Qty]]*Table4[[#This Row],[Gallon Capacity Per Linear Foot]]</f>
        <v>0</v>
      </c>
      <c r="L463" s="628">
        <f>Table4[[#This Row],[Gallons]]*7.48</f>
        <v>0</v>
      </c>
      <c r="M463" s="628">
        <f>Table4[[#This Row],[Qty]]*Table4[[#This Row],[Weight per Foot]]</f>
        <v>0</v>
      </c>
      <c r="N463" s="628">
        <f>Table4[[#This Row],[Pipe Wt. ]]+Table4[[#This Row],[Fluid Wt. ]]</f>
        <v>0</v>
      </c>
    </row>
    <row r="464" spans="1:14" x14ac:dyDescent="0.2">
      <c r="A464" s="626">
        <v>66</v>
      </c>
      <c r="B464" s="626">
        <v>66</v>
      </c>
      <c r="C464" s="626">
        <v>0.625</v>
      </c>
      <c r="D464" s="626">
        <v>64.75</v>
      </c>
      <c r="E464" s="626">
        <v>436.79</v>
      </c>
      <c r="F464" s="626"/>
      <c r="G464" s="626"/>
      <c r="H464" s="626">
        <v>2078.81</v>
      </c>
      <c r="I464" s="626">
        <v>171.06</v>
      </c>
      <c r="J464" s="629"/>
      <c r="K464" s="628">
        <f>Table4[[#This Row],[Qty]]*Table4[[#This Row],[Gallon Capacity Per Linear Foot]]</f>
        <v>0</v>
      </c>
      <c r="L464" s="628">
        <f>Table4[[#This Row],[Gallons]]*7.48</f>
        <v>0</v>
      </c>
      <c r="M464" s="628">
        <f>Table4[[#This Row],[Qty]]*Table4[[#This Row],[Weight per Foot]]</f>
        <v>0</v>
      </c>
      <c r="N464" s="628">
        <f>Table4[[#This Row],[Pipe Wt. ]]+Table4[[#This Row],[Fluid Wt. ]]</f>
        <v>0</v>
      </c>
    </row>
    <row r="465" spans="1:14" x14ac:dyDescent="0.2">
      <c r="A465" s="626">
        <v>66</v>
      </c>
      <c r="B465" s="626">
        <v>66</v>
      </c>
      <c r="C465" s="626">
        <v>0.68799999999999994</v>
      </c>
      <c r="D465" s="626">
        <v>64.623999999999995</v>
      </c>
      <c r="E465" s="626">
        <v>480.35</v>
      </c>
      <c r="F465" s="626"/>
      <c r="G465" s="626"/>
      <c r="H465" s="626">
        <v>2281.7800000000002</v>
      </c>
      <c r="I465" s="626">
        <v>170.39</v>
      </c>
      <c r="J465" s="629"/>
      <c r="K465" s="628">
        <f>Table4[[#This Row],[Qty]]*Table4[[#This Row],[Gallon Capacity Per Linear Foot]]</f>
        <v>0</v>
      </c>
      <c r="L465" s="628">
        <f>Table4[[#This Row],[Gallons]]*7.48</f>
        <v>0</v>
      </c>
      <c r="M465" s="628">
        <f>Table4[[#This Row],[Qty]]*Table4[[#This Row],[Weight per Foot]]</f>
        <v>0</v>
      </c>
      <c r="N465" s="628">
        <f>Table4[[#This Row],[Pipe Wt. ]]+Table4[[#This Row],[Fluid Wt. ]]</f>
        <v>0</v>
      </c>
    </row>
    <row r="466" spans="1:14" x14ac:dyDescent="0.2">
      <c r="A466" s="626">
        <v>66</v>
      </c>
      <c r="B466" s="626">
        <v>66</v>
      </c>
      <c r="C466" s="626">
        <v>0.75</v>
      </c>
      <c r="D466" s="626">
        <v>64.5</v>
      </c>
      <c r="E466" s="626">
        <v>523.14</v>
      </c>
      <c r="F466" s="626"/>
      <c r="G466" s="626"/>
      <c r="H466" s="626">
        <v>2480.38</v>
      </c>
      <c r="I466" s="626">
        <v>169.74</v>
      </c>
      <c r="J466" s="629"/>
      <c r="K466" s="628">
        <f>Table4[[#This Row],[Qty]]*Table4[[#This Row],[Gallon Capacity Per Linear Foot]]</f>
        <v>0</v>
      </c>
      <c r="L466" s="628">
        <f>Table4[[#This Row],[Gallons]]*7.48</f>
        <v>0</v>
      </c>
      <c r="M466" s="628">
        <f>Table4[[#This Row],[Qty]]*Table4[[#This Row],[Weight per Foot]]</f>
        <v>0</v>
      </c>
      <c r="N466" s="628">
        <f>Table4[[#This Row],[Pipe Wt. ]]+Table4[[#This Row],[Fluid Wt. ]]</f>
        <v>0</v>
      </c>
    </row>
    <row r="467" spans="1:14" x14ac:dyDescent="0.2">
      <c r="A467" s="626">
        <v>66</v>
      </c>
      <c r="B467" s="626">
        <v>66</v>
      </c>
      <c r="C467" s="626">
        <v>0.875</v>
      </c>
      <c r="D467" s="626">
        <v>64.25</v>
      </c>
      <c r="E467" s="626">
        <v>609.16</v>
      </c>
      <c r="F467" s="626"/>
      <c r="G467" s="626"/>
      <c r="H467" s="626">
        <v>2877.33</v>
      </c>
      <c r="I467" s="626">
        <v>168.42</v>
      </c>
      <c r="J467" s="629"/>
      <c r="K467" s="628">
        <f>Table4[[#This Row],[Qty]]*Table4[[#This Row],[Gallon Capacity Per Linear Foot]]</f>
        <v>0</v>
      </c>
      <c r="L467" s="628">
        <f>Table4[[#This Row],[Gallons]]*7.48</f>
        <v>0</v>
      </c>
      <c r="M467" s="628">
        <f>Table4[[#This Row],[Qty]]*Table4[[#This Row],[Weight per Foot]]</f>
        <v>0</v>
      </c>
      <c r="N467" s="628">
        <f>Table4[[#This Row],[Pipe Wt. ]]+Table4[[#This Row],[Fluid Wt. ]]</f>
        <v>0</v>
      </c>
    </row>
    <row r="468" spans="1:14" x14ac:dyDescent="0.2">
      <c r="A468" s="626">
        <v>66</v>
      </c>
      <c r="B468" s="626">
        <v>66</v>
      </c>
      <c r="C468" s="626">
        <v>1</v>
      </c>
      <c r="D468" s="626">
        <v>64</v>
      </c>
      <c r="E468" s="626">
        <v>694.85</v>
      </c>
      <c r="F468" s="626"/>
      <c r="G468" s="626"/>
      <c r="H468" s="626">
        <v>3269.64</v>
      </c>
      <c r="I468" s="626">
        <v>167.12</v>
      </c>
      <c r="J468" s="629"/>
      <c r="K468" s="628">
        <f>Table4[[#This Row],[Qty]]*Table4[[#This Row],[Gallon Capacity Per Linear Foot]]</f>
        <v>0</v>
      </c>
      <c r="L468" s="628">
        <f>Table4[[#This Row],[Gallons]]*7.48</f>
        <v>0</v>
      </c>
      <c r="M468" s="628">
        <f>Table4[[#This Row],[Qty]]*Table4[[#This Row],[Weight per Foot]]</f>
        <v>0</v>
      </c>
      <c r="N468" s="628">
        <f>Table4[[#This Row],[Pipe Wt. ]]+Table4[[#This Row],[Fluid Wt. ]]</f>
        <v>0</v>
      </c>
    </row>
    <row r="469" spans="1:14" x14ac:dyDescent="0.2">
      <c r="A469" s="626">
        <v>72</v>
      </c>
      <c r="B469" s="626">
        <v>72</v>
      </c>
      <c r="C469" s="626">
        <v>0.25</v>
      </c>
      <c r="D469" s="626">
        <v>71.5</v>
      </c>
      <c r="E469" s="626">
        <v>191.75</v>
      </c>
      <c r="F469" s="626"/>
      <c r="G469" s="626"/>
      <c r="H469" s="626">
        <v>1007.63</v>
      </c>
      <c r="I469" s="626">
        <v>208.58</v>
      </c>
      <c r="J469" s="629"/>
      <c r="K469" s="628">
        <f>Table4[[#This Row],[Qty]]*Table4[[#This Row],[Gallon Capacity Per Linear Foot]]</f>
        <v>0</v>
      </c>
      <c r="L469" s="628">
        <f>Table4[[#This Row],[Gallons]]*7.48</f>
        <v>0</v>
      </c>
      <c r="M469" s="628">
        <f>Table4[[#This Row],[Qty]]*Table4[[#This Row],[Weight per Foot]]</f>
        <v>0</v>
      </c>
      <c r="N469" s="628">
        <f>Table4[[#This Row],[Pipe Wt. ]]+Table4[[#This Row],[Fluid Wt. ]]</f>
        <v>0</v>
      </c>
    </row>
    <row r="470" spans="1:14" x14ac:dyDescent="0.2">
      <c r="A470" s="626">
        <v>72</v>
      </c>
      <c r="B470" s="626">
        <v>72</v>
      </c>
      <c r="C470" s="626">
        <v>0.375</v>
      </c>
      <c r="D470" s="626">
        <v>71.25</v>
      </c>
      <c r="E470" s="626">
        <v>287.13</v>
      </c>
      <c r="F470" s="626" t="s">
        <v>859</v>
      </c>
      <c r="G470" s="626"/>
      <c r="H470" s="626">
        <v>1503.53</v>
      </c>
      <c r="I470" s="626">
        <v>207.12</v>
      </c>
      <c r="J470" s="629"/>
      <c r="K470" s="628">
        <f>Table4[[#This Row],[Qty]]*Table4[[#This Row],[Gallon Capacity Per Linear Foot]]</f>
        <v>0</v>
      </c>
      <c r="L470" s="628">
        <f>Table4[[#This Row],[Gallons]]*7.48</f>
        <v>0</v>
      </c>
      <c r="M470" s="628">
        <f>Table4[[#This Row],[Qty]]*Table4[[#This Row],[Weight per Foot]]</f>
        <v>0</v>
      </c>
      <c r="N470" s="628">
        <f>Table4[[#This Row],[Pipe Wt. ]]+Table4[[#This Row],[Fluid Wt. ]]</f>
        <v>0</v>
      </c>
    </row>
    <row r="471" spans="1:14" x14ac:dyDescent="0.2">
      <c r="A471" s="626">
        <v>72</v>
      </c>
      <c r="B471" s="626">
        <v>72</v>
      </c>
      <c r="C471" s="626">
        <v>0.5</v>
      </c>
      <c r="D471" s="626">
        <v>71</v>
      </c>
      <c r="E471" s="626">
        <v>382.17</v>
      </c>
      <c r="F471" s="626" t="s">
        <v>857</v>
      </c>
      <c r="G471" s="626"/>
      <c r="H471" s="626">
        <v>1994.25</v>
      </c>
      <c r="I471" s="626">
        <v>205.67</v>
      </c>
      <c r="J471" s="629"/>
      <c r="K471" s="628">
        <f>Table4[[#This Row],[Qty]]*Table4[[#This Row],[Gallon Capacity Per Linear Foot]]</f>
        <v>0</v>
      </c>
      <c r="L471" s="628">
        <f>Table4[[#This Row],[Gallons]]*7.48</f>
        <v>0</v>
      </c>
      <c r="M471" s="628">
        <f>Table4[[#This Row],[Qty]]*Table4[[#This Row],[Weight per Foot]]</f>
        <v>0</v>
      </c>
      <c r="N471" s="628">
        <f>Table4[[#This Row],[Pipe Wt. ]]+Table4[[#This Row],[Fluid Wt. ]]</f>
        <v>0</v>
      </c>
    </row>
    <row r="472" spans="1:14" x14ac:dyDescent="0.2">
      <c r="A472" s="626">
        <v>72</v>
      </c>
      <c r="B472" s="626">
        <v>72</v>
      </c>
      <c r="C472" s="626">
        <v>0.75</v>
      </c>
      <c r="D472" s="626">
        <v>70.5</v>
      </c>
      <c r="E472" s="626">
        <v>571.25</v>
      </c>
      <c r="F472" s="626"/>
      <c r="G472" s="626"/>
      <c r="H472" s="626">
        <v>2960.21</v>
      </c>
      <c r="I472" s="626">
        <v>202.79</v>
      </c>
      <c r="J472" s="629"/>
      <c r="K472" s="628">
        <f>Table4[[#This Row],[Qty]]*Table4[[#This Row],[Gallon Capacity Per Linear Foot]]</f>
        <v>0</v>
      </c>
      <c r="L472" s="628">
        <f>Table4[[#This Row],[Gallons]]*7.48</f>
        <v>0</v>
      </c>
      <c r="M472" s="628">
        <f>Table4[[#This Row],[Qty]]*Table4[[#This Row],[Weight per Foot]]</f>
        <v>0</v>
      </c>
      <c r="N472" s="628">
        <f>Table4[[#This Row],[Pipe Wt. ]]+Table4[[#This Row],[Fluid Wt. ]]</f>
        <v>0</v>
      </c>
    </row>
    <row r="473" spans="1:14" x14ac:dyDescent="0.2">
      <c r="A473" s="626">
        <v>72</v>
      </c>
      <c r="B473" s="626">
        <v>72</v>
      </c>
      <c r="C473" s="626">
        <v>1</v>
      </c>
      <c r="D473" s="626">
        <v>70</v>
      </c>
      <c r="E473" s="626">
        <v>758.99</v>
      </c>
      <c r="F473" s="626"/>
      <c r="G473" s="626"/>
      <c r="H473" s="626">
        <v>3906</v>
      </c>
      <c r="I473" s="626">
        <v>199.92</v>
      </c>
      <c r="J473" s="629"/>
      <c r="K473" s="628">
        <f>Table4[[#This Row],[Qty]]*Table4[[#This Row],[Gallon Capacity Per Linear Foot]]</f>
        <v>0</v>
      </c>
      <c r="L473" s="628">
        <f>Table4[[#This Row],[Gallons]]*7.48</f>
        <v>0</v>
      </c>
      <c r="M473" s="628">
        <f>Table4[[#This Row],[Qty]]*Table4[[#This Row],[Weight per Foot]]</f>
        <v>0</v>
      </c>
      <c r="N473" s="628">
        <f>Table4[[#This Row],[Pipe Wt. ]]+Table4[[#This Row],[Fluid Wt. ]]</f>
        <v>0</v>
      </c>
    </row>
    <row r="474" spans="1:14" x14ac:dyDescent="0.2">
      <c r="A474" s="626">
        <v>78</v>
      </c>
      <c r="B474" s="626">
        <v>78</v>
      </c>
      <c r="C474" s="626">
        <v>0.25</v>
      </c>
      <c r="D474" s="626">
        <v>77.5</v>
      </c>
      <c r="E474" s="626">
        <v>207.79</v>
      </c>
      <c r="F474" s="626"/>
      <c r="G474" s="626"/>
      <c r="H474" s="626">
        <v>1183.51</v>
      </c>
      <c r="I474" s="626">
        <v>245.05</v>
      </c>
      <c r="J474" s="629"/>
      <c r="K474" s="628">
        <f>Table4[[#This Row],[Qty]]*Table4[[#This Row],[Gallon Capacity Per Linear Foot]]</f>
        <v>0</v>
      </c>
      <c r="L474" s="628">
        <f>Table4[[#This Row],[Gallons]]*7.48</f>
        <v>0</v>
      </c>
      <c r="M474" s="628">
        <f>Table4[[#This Row],[Qty]]*Table4[[#This Row],[Weight per Foot]]</f>
        <v>0</v>
      </c>
      <c r="N474" s="628">
        <f>Table4[[#This Row],[Pipe Wt. ]]+Table4[[#This Row],[Fluid Wt. ]]</f>
        <v>0</v>
      </c>
    </row>
    <row r="475" spans="1:14" x14ac:dyDescent="0.2">
      <c r="A475" s="626">
        <v>78</v>
      </c>
      <c r="B475" s="626">
        <v>78</v>
      </c>
      <c r="C475" s="626">
        <v>0.375</v>
      </c>
      <c r="D475" s="626">
        <v>77.25</v>
      </c>
      <c r="E475" s="626">
        <v>311.18</v>
      </c>
      <c r="F475" s="626" t="s">
        <v>859</v>
      </c>
      <c r="G475" s="626"/>
      <c r="H475" s="626">
        <v>1766.68</v>
      </c>
      <c r="I475" s="626">
        <v>243.48</v>
      </c>
      <c r="J475" s="629"/>
      <c r="K475" s="628">
        <f>Table4[[#This Row],[Qty]]*Table4[[#This Row],[Gallon Capacity Per Linear Foot]]</f>
        <v>0</v>
      </c>
      <c r="L475" s="628">
        <f>Table4[[#This Row],[Gallons]]*7.48</f>
        <v>0</v>
      </c>
      <c r="M475" s="628">
        <f>Table4[[#This Row],[Qty]]*Table4[[#This Row],[Weight per Foot]]</f>
        <v>0</v>
      </c>
      <c r="N475" s="628">
        <f>Table4[[#This Row],[Pipe Wt. ]]+Table4[[#This Row],[Fluid Wt. ]]</f>
        <v>0</v>
      </c>
    </row>
    <row r="476" spans="1:14" x14ac:dyDescent="0.2">
      <c r="A476" s="626">
        <v>78</v>
      </c>
      <c r="B476" s="626">
        <v>78</v>
      </c>
      <c r="C476" s="626">
        <v>0.5</v>
      </c>
      <c r="D476" s="626">
        <v>77</v>
      </c>
      <c r="E476" s="626">
        <v>414.24</v>
      </c>
      <c r="F476" s="626" t="s">
        <v>857</v>
      </c>
      <c r="G476" s="626"/>
      <c r="H476" s="626">
        <v>2344.23</v>
      </c>
      <c r="I476" s="626">
        <v>241.9</v>
      </c>
      <c r="J476" s="629"/>
      <c r="K476" s="628">
        <f>Table4[[#This Row],[Qty]]*Table4[[#This Row],[Gallon Capacity Per Linear Foot]]</f>
        <v>0</v>
      </c>
      <c r="L476" s="628">
        <f>Table4[[#This Row],[Gallons]]*7.48</f>
        <v>0</v>
      </c>
      <c r="M476" s="628">
        <f>Table4[[#This Row],[Qty]]*Table4[[#This Row],[Weight per Foot]]</f>
        <v>0</v>
      </c>
      <c r="N476" s="628">
        <f>Table4[[#This Row],[Pipe Wt. ]]+Table4[[#This Row],[Fluid Wt. ]]</f>
        <v>0</v>
      </c>
    </row>
    <row r="477" spans="1:14" x14ac:dyDescent="0.2">
      <c r="A477" s="626">
        <v>78</v>
      </c>
      <c r="B477" s="626">
        <v>78</v>
      </c>
      <c r="C477" s="626">
        <v>0.75</v>
      </c>
      <c r="D477" s="626">
        <v>76.5</v>
      </c>
      <c r="E477" s="626">
        <v>619.35</v>
      </c>
      <c r="F477" s="626"/>
      <c r="G477" s="626"/>
      <c r="H477" s="626">
        <v>3482.56</v>
      </c>
      <c r="I477" s="626">
        <v>238.77</v>
      </c>
      <c r="J477" s="629"/>
      <c r="K477" s="628">
        <f>Table4[[#This Row],[Qty]]*Table4[[#This Row],[Gallon Capacity Per Linear Foot]]</f>
        <v>0</v>
      </c>
      <c r="L477" s="628">
        <f>Table4[[#This Row],[Gallons]]*7.48</f>
        <v>0</v>
      </c>
      <c r="M477" s="628">
        <f>Table4[[#This Row],[Qty]]*Table4[[#This Row],[Weight per Foot]]</f>
        <v>0</v>
      </c>
      <c r="N477" s="628">
        <f>Table4[[#This Row],[Pipe Wt. ]]+Table4[[#This Row],[Fluid Wt. ]]</f>
        <v>0</v>
      </c>
    </row>
    <row r="478" spans="1:14" x14ac:dyDescent="0.2">
      <c r="A478" s="626">
        <v>78</v>
      </c>
      <c r="B478" s="626">
        <v>78</v>
      </c>
      <c r="C478" s="626">
        <v>1</v>
      </c>
      <c r="D478" s="626">
        <v>76</v>
      </c>
      <c r="E478" s="626">
        <v>823.13</v>
      </c>
      <c r="F478" s="626"/>
      <c r="G478" s="626"/>
      <c r="H478" s="626">
        <v>4598.8999999999996</v>
      </c>
      <c r="I478" s="626">
        <v>235.66</v>
      </c>
      <c r="J478" s="629"/>
      <c r="K478" s="628">
        <f>Table4[[#This Row],[Qty]]*Table4[[#This Row],[Gallon Capacity Per Linear Foot]]</f>
        <v>0</v>
      </c>
      <c r="L478" s="628">
        <f>Table4[[#This Row],[Gallons]]*7.48</f>
        <v>0</v>
      </c>
      <c r="M478" s="628">
        <f>Table4[[#This Row],[Qty]]*Table4[[#This Row],[Weight per Foot]]</f>
        <v>0</v>
      </c>
      <c r="N478" s="628">
        <f>Table4[[#This Row],[Pipe Wt. ]]+Table4[[#This Row],[Fluid Wt. ]]</f>
        <v>0</v>
      </c>
    </row>
    <row r="479" spans="1:14" x14ac:dyDescent="0.2">
      <c r="A479" s="626">
        <v>84</v>
      </c>
      <c r="B479" s="626">
        <v>84</v>
      </c>
      <c r="C479" s="626">
        <v>0.25</v>
      </c>
      <c r="D479" s="626">
        <v>83.5</v>
      </c>
      <c r="E479" s="626">
        <v>223.82</v>
      </c>
      <c r="F479" s="626"/>
      <c r="G479" s="626"/>
      <c r="H479" s="626">
        <v>1373.52</v>
      </c>
      <c r="I479" s="626">
        <v>284.47000000000003</v>
      </c>
      <c r="J479" s="629"/>
      <c r="K479" s="628">
        <f>Table4[[#This Row],[Qty]]*Table4[[#This Row],[Gallon Capacity Per Linear Foot]]</f>
        <v>0</v>
      </c>
      <c r="L479" s="628">
        <f>Table4[[#This Row],[Gallons]]*7.48</f>
        <v>0</v>
      </c>
      <c r="M479" s="628">
        <f>Table4[[#This Row],[Qty]]*Table4[[#This Row],[Weight per Foot]]</f>
        <v>0</v>
      </c>
      <c r="N479" s="628">
        <f>Table4[[#This Row],[Pipe Wt. ]]+Table4[[#This Row],[Fluid Wt. ]]</f>
        <v>0</v>
      </c>
    </row>
    <row r="480" spans="1:14" x14ac:dyDescent="0.2">
      <c r="A480" s="626">
        <v>84</v>
      </c>
      <c r="B480" s="626">
        <v>84</v>
      </c>
      <c r="C480" s="626">
        <v>0.375</v>
      </c>
      <c r="D480" s="626">
        <v>83.25</v>
      </c>
      <c r="E480" s="626">
        <v>335.23</v>
      </c>
      <c r="F480" s="626" t="s">
        <v>859</v>
      </c>
      <c r="G480" s="626"/>
      <c r="H480" s="626">
        <v>2051.04</v>
      </c>
      <c r="I480" s="626">
        <v>282.77</v>
      </c>
      <c r="J480" s="629"/>
      <c r="K480" s="628">
        <f>Table4[[#This Row],[Qty]]*Table4[[#This Row],[Gallon Capacity Per Linear Foot]]</f>
        <v>0</v>
      </c>
      <c r="L480" s="628">
        <f>Table4[[#This Row],[Gallons]]*7.48</f>
        <v>0</v>
      </c>
      <c r="M480" s="628">
        <f>Table4[[#This Row],[Qty]]*Table4[[#This Row],[Weight per Foot]]</f>
        <v>0</v>
      </c>
      <c r="N480" s="628">
        <f>Table4[[#This Row],[Pipe Wt. ]]+Table4[[#This Row],[Fluid Wt. ]]</f>
        <v>0</v>
      </c>
    </row>
    <row r="481" spans="1:14" x14ac:dyDescent="0.2">
      <c r="A481" s="626">
        <v>84</v>
      </c>
      <c r="B481" s="626">
        <v>84</v>
      </c>
      <c r="C481" s="626">
        <v>0.5</v>
      </c>
      <c r="D481" s="626">
        <v>83</v>
      </c>
      <c r="E481" s="626">
        <v>446.31</v>
      </c>
      <c r="F481" s="626" t="s">
        <v>857</v>
      </c>
      <c r="G481" s="626"/>
      <c r="H481" s="626">
        <v>2722.5</v>
      </c>
      <c r="I481" s="626">
        <v>281.07</v>
      </c>
      <c r="J481" s="629"/>
      <c r="K481" s="628">
        <f>Table4[[#This Row],[Qty]]*Table4[[#This Row],[Gallon Capacity Per Linear Foot]]</f>
        <v>0</v>
      </c>
      <c r="L481" s="628">
        <f>Table4[[#This Row],[Gallons]]*7.48</f>
        <v>0</v>
      </c>
      <c r="M481" s="628">
        <f>Table4[[#This Row],[Qty]]*Table4[[#This Row],[Weight per Foot]]</f>
        <v>0</v>
      </c>
      <c r="N481" s="628">
        <f>Table4[[#This Row],[Pipe Wt. ]]+Table4[[#This Row],[Fluid Wt. ]]</f>
        <v>0</v>
      </c>
    </row>
    <row r="482" spans="1:14" x14ac:dyDescent="0.2">
      <c r="A482" s="626">
        <v>84</v>
      </c>
      <c r="B482" s="626">
        <v>84</v>
      </c>
      <c r="C482" s="626">
        <v>0.75</v>
      </c>
      <c r="D482" s="626">
        <v>82.5</v>
      </c>
      <c r="E482" s="626">
        <v>667.46</v>
      </c>
      <c r="F482" s="626"/>
      <c r="G482" s="626"/>
      <c r="H482" s="626">
        <v>4047.31</v>
      </c>
      <c r="I482" s="626">
        <v>277.69</v>
      </c>
      <c r="J482" s="629"/>
      <c r="K482" s="628">
        <f>Table4[[#This Row],[Qty]]*Table4[[#This Row],[Gallon Capacity Per Linear Foot]]</f>
        <v>0</v>
      </c>
      <c r="L482" s="628">
        <f>Table4[[#This Row],[Gallons]]*7.48</f>
        <v>0</v>
      </c>
      <c r="M482" s="628">
        <f>Table4[[#This Row],[Qty]]*Table4[[#This Row],[Weight per Foot]]</f>
        <v>0</v>
      </c>
      <c r="N482" s="628">
        <f>Table4[[#This Row],[Pipe Wt. ]]+Table4[[#This Row],[Fluid Wt. ]]</f>
        <v>0</v>
      </c>
    </row>
    <row r="483" spans="1:14" x14ac:dyDescent="0.2">
      <c r="A483" s="626">
        <v>84</v>
      </c>
      <c r="B483" s="626">
        <v>84</v>
      </c>
      <c r="C483" s="626">
        <v>1</v>
      </c>
      <c r="D483" s="626">
        <v>82</v>
      </c>
      <c r="E483" s="626">
        <v>887.27</v>
      </c>
      <c r="F483" s="626"/>
      <c r="G483" s="626"/>
      <c r="H483" s="626">
        <v>5348.36</v>
      </c>
      <c r="I483" s="626">
        <v>274.33999999999997</v>
      </c>
      <c r="J483" s="629"/>
      <c r="K483" s="628">
        <f>Table4[[#This Row],[Qty]]*Table4[[#This Row],[Gallon Capacity Per Linear Foot]]</f>
        <v>0</v>
      </c>
      <c r="L483" s="628">
        <f>Table4[[#This Row],[Gallons]]*7.48</f>
        <v>0</v>
      </c>
      <c r="M483" s="628">
        <f>Table4[[#This Row],[Qty]]*Table4[[#This Row],[Weight per Foot]]</f>
        <v>0</v>
      </c>
      <c r="N483" s="628">
        <f>Table4[[#This Row],[Pipe Wt. ]]+Table4[[#This Row],[Fluid Wt. ]]</f>
        <v>0</v>
      </c>
    </row>
    <row r="484" spans="1:14" x14ac:dyDescent="0.2">
      <c r="A484" s="626">
        <v>90</v>
      </c>
      <c r="B484" s="626">
        <v>90</v>
      </c>
      <c r="C484" s="626">
        <v>0.25</v>
      </c>
      <c r="D484" s="626">
        <v>89.5</v>
      </c>
      <c r="E484" s="626">
        <v>239.86</v>
      </c>
      <c r="F484" s="626"/>
      <c r="G484" s="626"/>
      <c r="H484" s="626">
        <v>1577.58</v>
      </c>
      <c r="I484" s="626">
        <v>326.82</v>
      </c>
      <c r="J484" s="629"/>
      <c r="K484" s="628">
        <f>Table4[[#This Row],[Qty]]*Table4[[#This Row],[Gallon Capacity Per Linear Foot]]</f>
        <v>0</v>
      </c>
      <c r="L484" s="628">
        <f>Table4[[#This Row],[Gallons]]*7.48</f>
        <v>0</v>
      </c>
      <c r="M484" s="628">
        <f>Table4[[#This Row],[Qty]]*Table4[[#This Row],[Weight per Foot]]</f>
        <v>0</v>
      </c>
      <c r="N484" s="628">
        <f>Table4[[#This Row],[Pipe Wt. ]]+Table4[[#This Row],[Fluid Wt. ]]</f>
        <v>0</v>
      </c>
    </row>
    <row r="485" spans="1:14" x14ac:dyDescent="0.2">
      <c r="A485" s="626">
        <v>90</v>
      </c>
      <c r="B485" s="626">
        <v>90</v>
      </c>
      <c r="C485" s="626">
        <v>0.375</v>
      </c>
      <c r="D485" s="626">
        <v>89.25</v>
      </c>
      <c r="E485" s="626">
        <v>359.28</v>
      </c>
      <c r="F485" s="626" t="s">
        <v>859</v>
      </c>
      <c r="G485" s="626"/>
      <c r="H485" s="626">
        <v>2356.62</v>
      </c>
      <c r="I485" s="626">
        <v>324.99</v>
      </c>
      <c r="J485" s="629"/>
      <c r="K485" s="628">
        <f>Table4[[#This Row],[Qty]]*Table4[[#This Row],[Gallon Capacity Per Linear Foot]]</f>
        <v>0</v>
      </c>
      <c r="L485" s="628">
        <f>Table4[[#This Row],[Gallons]]*7.48</f>
        <v>0</v>
      </c>
      <c r="M485" s="628">
        <f>Table4[[#This Row],[Qty]]*Table4[[#This Row],[Weight per Foot]]</f>
        <v>0</v>
      </c>
      <c r="N485" s="628">
        <f>Table4[[#This Row],[Pipe Wt. ]]+Table4[[#This Row],[Fluid Wt. ]]</f>
        <v>0</v>
      </c>
    </row>
    <row r="486" spans="1:14" x14ac:dyDescent="0.2">
      <c r="A486" s="626">
        <v>90</v>
      </c>
      <c r="B486" s="626">
        <v>90</v>
      </c>
      <c r="C486" s="626">
        <v>0.5</v>
      </c>
      <c r="D486" s="626">
        <v>89</v>
      </c>
      <c r="E486" s="626">
        <v>478.38</v>
      </c>
      <c r="F486" s="626" t="s">
        <v>857</v>
      </c>
      <c r="G486" s="626"/>
      <c r="H486" s="626">
        <v>3030.84</v>
      </c>
      <c r="I486" s="626">
        <v>323.18</v>
      </c>
      <c r="J486" s="629"/>
      <c r="K486" s="628">
        <f>Table4[[#This Row],[Qty]]*Table4[[#This Row],[Gallon Capacity Per Linear Foot]]</f>
        <v>0</v>
      </c>
      <c r="L486" s="628">
        <f>Table4[[#This Row],[Gallons]]*7.48</f>
        <v>0</v>
      </c>
      <c r="M486" s="628">
        <f>Table4[[#This Row],[Qty]]*Table4[[#This Row],[Weight per Foot]]</f>
        <v>0</v>
      </c>
      <c r="N486" s="628">
        <f>Table4[[#This Row],[Pipe Wt. ]]+Table4[[#This Row],[Fluid Wt. ]]</f>
        <v>0</v>
      </c>
    </row>
    <row r="487" spans="1:14" x14ac:dyDescent="0.2">
      <c r="A487" s="626">
        <v>90</v>
      </c>
      <c r="B487" s="626">
        <v>90</v>
      </c>
      <c r="C487" s="626">
        <v>0.75</v>
      </c>
      <c r="D487" s="626">
        <v>88.5</v>
      </c>
      <c r="E487" s="626">
        <v>715.56</v>
      </c>
      <c r="F487" s="626"/>
      <c r="G487" s="626"/>
      <c r="H487" s="626">
        <v>4654.4799999999996</v>
      </c>
      <c r="I487" s="626">
        <v>319.56</v>
      </c>
      <c r="J487" s="629"/>
      <c r="K487" s="628">
        <f>Table4[[#This Row],[Qty]]*Table4[[#This Row],[Gallon Capacity Per Linear Foot]]</f>
        <v>0</v>
      </c>
      <c r="L487" s="628">
        <f>Table4[[#This Row],[Gallons]]*7.48</f>
        <v>0</v>
      </c>
      <c r="M487" s="628">
        <f>Table4[[#This Row],[Qty]]*Table4[[#This Row],[Weight per Foot]]</f>
        <v>0</v>
      </c>
      <c r="N487" s="628">
        <f>Table4[[#This Row],[Pipe Wt. ]]+Table4[[#This Row],[Fluid Wt. ]]</f>
        <v>0</v>
      </c>
    </row>
    <row r="488" spans="1:14" x14ac:dyDescent="0.2">
      <c r="A488" s="626">
        <v>90</v>
      </c>
      <c r="B488" s="626">
        <v>90</v>
      </c>
      <c r="C488" s="626">
        <v>1</v>
      </c>
      <c r="D488" s="626">
        <v>88</v>
      </c>
      <c r="E488" s="626">
        <v>951.41</v>
      </c>
      <c r="F488" s="626"/>
      <c r="G488" s="626"/>
      <c r="H488" s="626">
        <v>6154.29</v>
      </c>
      <c r="I488" s="626">
        <v>315.95</v>
      </c>
      <c r="J488" s="629"/>
      <c r="K488" s="628">
        <f>Table4[[#This Row],[Qty]]*Table4[[#This Row],[Gallon Capacity Per Linear Foot]]</f>
        <v>0</v>
      </c>
      <c r="L488" s="628">
        <f>Table4[[#This Row],[Gallons]]*7.48</f>
        <v>0</v>
      </c>
      <c r="M488" s="628">
        <f>Table4[[#This Row],[Qty]]*Table4[[#This Row],[Weight per Foot]]</f>
        <v>0</v>
      </c>
      <c r="N488" s="628">
        <f>Table4[[#This Row],[Pipe Wt. ]]+Table4[[#This Row],[Fluid Wt. ]]</f>
        <v>0</v>
      </c>
    </row>
    <row r="489" spans="1:14" x14ac:dyDescent="0.2">
      <c r="A489" s="626">
        <v>96</v>
      </c>
      <c r="B489" s="626">
        <v>96</v>
      </c>
      <c r="C489" s="626">
        <v>0.25</v>
      </c>
      <c r="D489" s="626">
        <v>95.5</v>
      </c>
      <c r="E489" s="626">
        <v>255.89</v>
      </c>
      <c r="F489" s="626"/>
      <c r="G489" s="626"/>
      <c r="H489" s="626">
        <v>1903.02</v>
      </c>
      <c r="I489" s="626">
        <v>372.11</v>
      </c>
      <c r="J489" s="629"/>
      <c r="K489" s="628">
        <f>Table4[[#This Row],[Qty]]*Table4[[#This Row],[Gallon Capacity Per Linear Foot]]</f>
        <v>0</v>
      </c>
      <c r="L489" s="628">
        <f>Table4[[#This Row],[Gallons]]*7.48</f>
        <v>0</v>
      </c>
      <c r="M489" s="628">
        <f>Table4[[#This Row],[Qty]]*Table4[[#This Row],[Weight per Foot]]</f>
        <v>0</v>
      </c>
      <c r="N489" s="628">
        <f>Table4[[#This Row],[Pipe Wt. ]]+Table4[[#This Row],[Fluid Wt. ]]</f>
        <v>0</v>
      </c>
    </row>
    <row r="490" spans="1:14" x14ac:dyDescent="0.2">
      <c r="A490" s="626">
        <v>96</v>
      </c>
      <c r="B490" s="626">
        <v>96</v>
      </c>
      <c r="C490" s="626">
        <v>0.375</v>
      </c>
      <c r="D490" s="626">
        <v>95.25</v>
      </c>
      <c r="E490" s="626">
        <v>383.34</v>
      </c>
      <c r="F490" s="626" t="s">
        <v>859</v>
      </c>
      <c r="G490" s="626"/>
      <c r="H490" s="626">
        <v>2683.41</v>
      </c>
      <c r="I490" s="626">
        <v>370.16</v>
      </c>
      <c r="J490" s="629"/>
      <c r="K490" s="628">
        <f>Table4[[#This Row],[Qty]]*Table4[[#This Row],[Gallon Capacity Per Linear Foot]]</f>
        <v>0</v>
      </c>
      <c r="L490" s="628">
        <f>Table4[[#This Row],[Gallons]]*7.48</f>
        <v>0</v>
      </c>
      <c r="M490" s="628">
        <f>Table4[[#This Row],[Qty]]*Table4[[#This Row],[Weight per Foot]]</f>
        <v>0</v>
      </c>
      <c r="N490" s="628">
        <f>Table4[[#This Row],[Pipe Wt. ]]+Table4[[#This Row],[Fluid Wt. ]]</f>
        <v>0</v>
      </c>
    </row>
    <row r="491" spans="1:14" x14ac:dyDescent="0.2">
      <c r="A491" s="626">
        <v>96</v>
      </c>
      <c r="B491" s="626">
        <v>96</v>
      </c>
      <c r="C491" s="626">
        <v>0.5</v>
      </c>
      <c r="D491" s="626">
        <v>95</v>
      </c>
      <c r="E491" s="626">
        <v>510.45</v>
      </c>
      <c r="F491" s="626" t="s">
        <v>857</v>
      </c>
      <c r="G491" s="626"/>
      <c r="H491" s="626">
        <v>3563.87</v>
      </c>
      <c r="I491" s="626">
        <v>368.22</v>
      </c>
      <c r="J491" s="629"/>
      <c r="K491" s="628">
        <f>Table4[[#This Row],[Qty]]*Table4[[#This Row],[Gallon Capacity Per Linear Foot]]</f>
        <v>0</v>
      </c>
      <c r="L491" s="628">
        <f>Table4[[#This Row],[Gallons]]*7.48</f>
        <v>0</v>
      </c>
      <c r="M491" s="628">
        <f>Table4[[#This Row],[Qty]]*Table4[[#This Row],[Weight per Foot]]</f>
        <v>0</v>
      </c>
      <c r="N491" s="628">
        <f>Table4[[#This Row],[Pipe Wt. ]]+Table4[[#This Row],[Fluid Wt. ]]</f>
        <v>0</v>
      </c>
    </row>
    <row r="492" spans="1:14" x14ac:dyDescent="0.2">
      <c r="A492" s="626">
        <v>96</v>
      </c>
      <c r="B492" s="626">
        <v>96</v>
      </c>
      <c r="C492" s="626">
        <v>0.75</v>
      </c>
      <c r="D492" s="626">
        <v>94.5</v>
      </c>
      <c r="E492" s="626">
        <v>763.67</v>
      </c>
      <c r="F492" s="626"/>
      <c r="G492" s="626"/>
      <c r="H492" s="626">
        <v>5304.08</v>
      </c>
      <c r="I492" s="626">
        <v>364.35</v>
      </c>
      <c r="J492" s="629"/>
      <c r="K492" s="628">
        <f>Table4[[#This Row],[Qty]]*Table4[[#This Row],[Gallon Capacity Per Linear Foot]]</f>
        <v>0</v>
      </c>
      <c r="L492" s="628">
        <f>Table4[[#This Row],[Gallons]]*7.48</f>
        <v>0</v>
      </c>
      <c r="M492" s="628">
        <f>Table4[[#This Row],[Qty]]*Table4[[#This Row],[Weight per Foot]]</f>
        <v>0</v>
      </c>
      <c r="N492" s="628">
        <f>Table4[[#This Row],[Pipe Wt. ]]+Table4[[#This Row],[Fluid Wt. ]]</f>
        <v>0</v>
      </c>
    </row>
    <row r="493" spans="1:14" x14ac:dyDescent="0.2">
      <c r="A493" s="626">
        <v>96</v>
      </c>
      <c r="B493" s="626">
        <v>96</v>
      </c>
      <c r="C493" s="626">
        <v>1</v>
      </c>
      <c r="D493" s="626">
        <v>94</v>
      </c>
      <c r="E493" s="626">
        <v>1015.55</v>
      </c>
      <c r="F493" s="626"/>
      <c r="G493" s="626"/>
      <c r="H493" s="626">
        <v>7016.97</v>
      </c>
      <c r="I493" s="626">
        <v>360.51</v>
      </c>
      <c r="J493" s="629"/>
      <c r="K493" s="628">
        <f>Table4[[#This Row],[Qty]]*Table4[[#This Row],[Gallon Capacity Per Linear Foot]]</f>
        <v>0</v>
      </c>
      <c r="L493" s="628">
        <f>Table4[[#This Row],[Gallons]]*7.48</f>
        <v>0</v>
      </c>
      <c r="M493" s="628">
        <f>Table4[[#This Row],[Qty]]*Table4[[#This Row],[Weight per Foot]]</f>
        <v>0</v>
      </c>
      <c r="N493" s="628">
        <f>Table4[[#This Row],[Pipe Wt. ]]+Table4[[#This Row],[Fluid Wt. ]]</f>
        <v>0</v>
      </c>
    </row>
    <row r="494" spans="1:14" x14ac:dyDescent="0.2">
      <c r="A494" s="626">
        <v>102</v>
      </c>
      <c r="B494" s="626">
        <v>102</v>
      </c>
      <c r="C494" s="626">
        <v>0.25</v>
      </c>
      <c r="D494" s="626">
        <v>101.5</v>
      </c>
      <c r="E494" s="626">
        <v>271.93</v>
      </c>
      <c r="F494" s="626"/>
      <c r="G494" s="626"/>
      <c r="H494" s="626">
        <v>2028.4</v>
      </c>
      <c r="I494" s="626">
        <v>420.33</v>
      </c>
      <c r="J494" s="629"/>
      <c r="K494" s="628">
        <f>Table4[[#This Row],[Qty]]*Table4[[#This Row],[Gallon Capacity Per Linear Foot]]</f>
        <v>0</v>
      </c>
      <c r="L494" s="628">
        <f>Table4[[#This Row],[Gallons]]*7.48</f>
        <v>0</v>
      </c>
      <c r="M494" s="628">
        <f>Table4[[#This Row],[Qty]]*Table4[[#This Row],[Weight per Foot]]</f>
        <v>0</v>
      </c>
      <c r="N494" s="628">
        <f>Table4[[#This Row],[Pipe Wt. ]]+Table4[[#This Row],[Fluid Wt. ]]</f>
        <v>0</v>
      </c>
    </row>
    <row r="495" spans="1:14" x14ac:dyDescent="0.2">
      <c r="A495" s="626">
        <v>102</v>
      </c>
      <c r="B495" s="626">
        <v>102</v>
      </c>
      <c r="C495" s="626">
        <v>0.375</v>
      </c>
      <c r="D495" s="626">
        <v>101.25</v>
      </c>
      <c r="E495" s="626">
        <v>407.39</v>
      </c>
      <c r="F495" s="626" t="s">
        <v>859</v>
      </c>
      <c r="G495" s="626"/>
      <c r="H495" s="626">
        <v>3031.4</v>
      </c>
      <c r="I495" s="626">
        <v>418.26</v>
      </c>
      <c r="J495" s="629"/>
      <c r="K495" s="628">
        <f>Table4[[#This Row],[Qty]]*Table4[[#This Row],[Gallon Capacity Per Linear Foot]]</f>
        <v>0</v>
      </c>
      <c r="L495" s="628">
        <f>Table4[[#This Row],[Gallons]]*7.48</f>
        <v>0</v>
      </c>
      <c r="M495" s="628">
        <f>Table4[[#This Row],[Qty]]*Table4[[#This Row],[Weight per Foot]]</f>
        <v>0</v>
      </c>
      <c r="N495" s="628">
        <f>Table4[[#This Row],[Pipe Wt. ]]+Table4[[#This Row],[Fluid Wt. ]]</f>
        <v>0</v>
      </c>
    </row>
    <row r="496" spans="1:14" x14ac:dyDescent="0.2">
      <c r="A496" s="626">
        <v>102</v>
      </c>
      <c r="B496" s="626">
        <v>102</v>
      </c>
      <c r="C496" s="626">
        <v>0.5</v>
      </c>
      <c r="D496" s="626">
        <v>101</v>
      </c>
      <c r="E496" s="626">
        <v>542.52</v>
      </c>
      <c r="F496" s="626" t="s">
        <v>857</v>
      </c>
      <c r="G496" s="626"/>
      <c r="H496" s="626">
        <v>4026.89</v>
      </c>
      <c r="I496" s="626">
        <v>416.2</v>
      </c>
      <c r="J496" s="629"/>
      <c r="K496" s="628">
        <f>Table4[[#This Row],[Qty]]*Table4[[#This Row],[Gallon Capacity Per Linear Foot]]</f>
        <v>0</v>
      </c>
      <c r="L496" s="628">
        <f>Table4[[#This Row],[Gallons]]*7.48</f>
        <v>0</v>
      </c>
      <c r="M496" s="628">
        <f>Table4[[#This Row],[Qty]]*Table4[[#This Row],[Weight per Foot]]</f>
        <v>0</v>
      </c>
      <c r="N496" s="628">
        <f>Table4[[#This Row],[Pipe Wt. ]]+Table4[[#This Row],[Fluid Wt. ]]</f>
        <v>0</v>
      </c>
    </row>
    <row r="497" spans="1:14" x14ac:dyDescent="0.2">
      <c r="A497" s="626">
        <v>102</v>
      </c>
      <c r="B497" s="626">
        <v>102</v>
      </c>
      <c r="C497" s="626">
        <v>0.75</v>
      </c>
      <c r="D497" s="626">
        <v>100.5</v>
      </c>
      <c r="E497" s="626">
        <v>811.77</v>
      </c>
      <c r="F497" s="626"/>
      <c r="G497" s="626"/>
      <c r="H497" s="626">
        <v>5996.09</v>
      </c>
      <c r="I497" s="626">
        <v>112.09</v>
      </c>
      <c r="J497" s="629"/>
      <c r="K497" s="628">
        <f>Table4[[#This Row],[Qty]]*Table4[[#This Row],[Gallon Capacity Per Linear Foot]]</f>
        <v>0</v>
      </c>
      <c r="L497" s="628">
        <f>Table4[[#This Row],[Gallons]]*7.48</f>
        <v>0</v>
      </c>
      <c r="M497" s="628">
        <f>Table4[[#This Row],[Qty]]*Table4[[#This Row],[Weight per Foot]]</f>
        <v>0</v>
      </c>
      <c r="N497" s="628">
        <f>Table4[[#This Row],[Pipe Wt. ]]+Table4[[#This Row],[Fluid Wt. ]]</f>
        <v>0</v>
      </c>
    </row>
    <row r="498" spans="1:14" x14ac:dyDescent="0.2">
      <c r="A498" s="626">
        <v>102</v>
      </c>
      <c r="B498" s="626">
        <v>102</v>
      </c>
      <c r="C498" s="626">
        <v>1</v>
      </c>
      <c r="D498" s="626">
        <v>100</v>
      </c>
      <c r="E498" s="626">
        <v>1079.69</v>
      </c>
      <c r="F498" s="626"/>
      <c r="G498" s="626"/>
      <c r="H498" s="626">
        <v>7936.03</v>
      </c>
      <c r="I498" s="626">
        <v>408</v>
      </c>
      <c r="J498" s="629"/>
      <c r="K498" s="628">
        <f>Table4[[#This Row],[Qty]]*Table4[[#This Row],[Gallon Capacity Per Linear Foot]]</f>
        <v>0</v>
      </c>
      <c r="L498" s="628">
        <f>Table4[[#This Row],[Gallons]]*7.48</f>
        <v>0</v>
      </c>
      <c r="M498" s="628">
        <f>Table4[[#This Row],[Qty]]*Table4[[#This Row],[Weight per Foot]]</f>
        <v>0</v>
      </c>
      <c r="N498" s="628">
        <f>Table4[[#This Row],[Pipe Wt. ]]+Table4[[#This Row],[Fluid Wt. ]]</f>
        <v>0</v>
      </c>
    </row>
    <row r="499" spans="1:14" x14ac:dyDescent="0.2">
      <c r="A499" s="626">
        <v>108</v>
      </c>
      <c r="B499" s="626">
        <v>108</v>
      </c>
      <c r="C499" s="626">
        <v>0.25</v>
      </c>
      <c r="D499" s="626">
        <v>107.5</v>
      </c>
      <c r="E499" s="626">
        <v>287.95999999999998</v>
      </c>
      <c r="F499" s="626"/>
      <c r="G499" s="626"/>
      <c r="H499" s="626">
        <v>2274.9899999999998</v>
      </c>
      <c r="I499" s="626">
        <v>471.49</v>
      </c>
      <c r="J499" s="629"/>
      <c r="K499" s="628">
        <f>Table4[[#This Row],[Qty]]*Table4[[#This Row],[Gallon Capacity Per Linear Foot]]</f>
        <v>0</v>
      </c>
      <c r="L499" s="628">
        <f>Table4[[#This Row],[Gallons]]*7.48</f>
        <v>0</v>
      </c>
      <c r="M499" s="628">
        <f>Table4[[#This Row],[Qty]]*Table4[[#This Row],[Weight per Foot]]</f>
        <v>0</v>
      </c>
      <c r="N499" s="628">
        <f>Table4[[#This Row],[Pipe Wt. ]]+Table4[[#This Row],[Fluid Wt. ]]</f>
        <v>0</v>
      </c>
    </row>
    <row r="500" spans="1:14" x14ac:dyDescent="0.2">
      <c r="A500" s="626">
        <v>108</v>
      </c>
      <c r="B500" s="626">
        <v>108</v>
      </c>
      <c r="C500" s="626">
        <v>0.375</v>
      </c>
      <c r="D500" s="626">
        <v>107.25</v>
      </c>
      <c r="E500" s="626">
        <v>431.44</v>
      </c>
      <c r="F500" s="626" t="s">
        <v>859</v>
      </c>
      <c r="G500" s="626"/>
      <c r="H500" s="626">
        <v>3400.61</v>
      </c>
      <c r="I500" s="626">
        <v>469.3</v>
      </c>
      <c r="J500" s="629"/>
      <c r="K500" s="628">
        <f>Table4[[#This Row],[Qty]]*Table4[[#This Row],[Gallon Capacity Per Linear Foot]]</f>
        <v>0</v>
      </c>
      <c r="L500" s="628">
        <f>Table4[[#This Row],[Gallons]]*7.48</f>
        <v>0</v>
      </c>
      <c r="M500" s="628">
        <f>Table4[[#This Row],[Qty]]*Table4[[#This Row],[Weight per Foot]]</f>
        <v>0</v>
      </c>
      <c r="N500" s="628">
        <f>Table4[[#This Row],[Pipe Wt. ]]+Table4[[#This Row],[Fluid Wt. ]]</f>
        <v>0</v>
      </c>
    </row>
    <row r="501" spans="1:14" x14ac:dyDescent="0.2">
      <c r="A501" s="626">
        <v>108</v>
      </c>
      <c r="B501" s="626">
        <v>108</v>
      </c>
      <c r="C501" s="626">
        <v>0.5</v>
      </c>
      <c r="D501" s="626">
        <v>107</v>
      </c>
      <c r="E501" s="626">
        <v>574.59</v>
      </c>
      <c r="F501" s="626" t="s">
        <v>857</v>
      </c>
      <c r="G501" s="626"/>
      <c r="H501" s="626">
        <v>4518.38</v>
      </c>
      <c r="I501" s="626">
        <v>467.12</v>
      </c>
      <c r="J501" s="629"/>
      <c r="K501" s="628">
        <f>Table4[[#This Row],[Qty]]*Table4[[#This Row],[Gallon Capacity Per Linear Foot]]</f>
        <v>0</v>
      </c>
      <c r="L501" s="628">
        <f>Table4[[#This Row],[Gallons]]*7.48</f>
        <v>0</v>
      </c>
      <c r="M501" s="628">
        <f>Table4[[#This Row],[Qty]]*Table4[[#This Row],[Weight per Foot]]</f>
        <v>0</v>
      </c>
      <c r="N501" s="628">
        <f>Table4[[#This Row],[Pipe Wt. ]]+Table4[[#This Row],[Fluid Wt. ]]</f>
        <v>0</v>
      </c>
    </row>
    <row r="502" spans="1:14" x14ac:dyDescent="0.2">
      <c r="A502" s="626">
        <v>108</v>
      </c>
      <c r="B502" s="626">
        <v>108</v>
      </c>
      <c r="C502" s="626">
        <v>0.75</v>
      </c>
      <c r="D502" s="626">
        <v>106.5</v>
      </c>
      <c r="E502" s="626">
        <v>859.21</v>
      </c>
      <c r="F502" s="626"/>
      <c r="G502" s="626"/>
      <c r="H502" s="626">
        <v>6730.53</v>
      </c>
      <c r="I502" s="626">
        <v>462.76</v>
      </c>
      <c r="J502" s="629"/>
      <c r="K502" s="628">
        <f>Table4[[#This Row],[Qty]]*Table4[[#This Row],[Gallon Capacity Per Linear Foot]]</f>
        <v>0</v>
      </c>
      <c r="L502" s="628">
        <f>Table4[[#This Row],[Gallons]]*7.48</f>
        <v>0</v>
      </c>
      <c r="M502" s="628">
        <f>Table4[[#This Row],[Qty]]*Table4[[#This Row],[Weight per Foot]]</f>
        <v>0</v>
      </c>
      <c r="N502" s="628">
        <f>Table4[[#This Row],[Pipe Wt. ]]+Table4[[#This Row],[Fluid Wt. ]]</f>
        <v>0</v>
      </c>
    </row>
    <row r="503" spans="1:14" x14ac:dyDescent="0.2">
      <c r="A503" s="626">
        <v>108</v>
      </c>
      <c r="B503" s="626">
        <v>108</v>
      </c>
      <c r="C503" s="626">
        <v>1</v>
      </c>
      <c r="D503" s="626">
        <v>106</v>
      </c>
      <c r="E503" s="626">
        <v>1143.83</v>
      </c>
      <c r="F503" s="626"/>
      <c r="G503" s="626"/>
      <c r="H503" s="626">
        <v>8911.85</v>
      </c>
      <c r="I503" s="626">
        <v>458.43</v>
      </c>
      <c r="J503" s="629"/>
      <c r="K503" s="628">
        <f>Table4[[#This Row],[Qty]]*Table4[[#This Row],[Gallon Capacity Per Linear Foot]]</f>
        <v>0</v>
      </c>
      <c r="L503" s="628">
        <f>Table4[[#This Row],[Gallons]]*7.48</f>
        <v>0</v>
      </c>
      <c r="M503" s="628">
        <f>Table4[[#This Row],[Qty]]*Table4[[#This Row],[Weight per Foot]]</f>
        <v>0</v>
      </c>
      <c r="N503" s="628">
        <f>Table4[[#This Row],[Pipe Wt. ]]+Table4[[#This Row],[Fluid Wt. ]]</f>
        <v>0</v>
      </c>
    </row>
    <row r="504" spans="1:14" x14ac:dyDescent="0.2">
      <c r="A504" s="626">
        <v>120</v>
      </c>
      <c r="B504" s="626">
        <v>120</v>
      </c>
      <c r="C504" s="626">
        <v>0.25</v>
      </c>
      <c r="D504" s="626">
        <v>119.5</v>
      </c>
      <c r="E504" s="626">
        <v>320.02999999999997</v>
      </c>
      <c r="F504" s="626"/>
      <c r="G504" s="626"/>
      <c r="H504" s="626">
        <v>2810.48</v>
      </c>
      <c r="I504" s="626">
        <v>582.63</v>
      </c>
      <c r="J504" s="629"/>
      <c r="K504" s="628">
        <f>Table4[[#This Row],[Qty]]*Table4[[#This Row],[Gallon Capacity Per Linear Foot]]</f>
        <v>0</v>
      </c>
      <c r="L504" s="628">
        <f>Table4[[#This Row],[Gallons]]*7.48</f>
        <v>0</v>
      </c>
      <c r="M504" s="628">
        <f>Table4[[#This Row],[Qty]]*Table4[[#This Row],[Weight per Foot]]</f>
        <v>0</v>
      </c>
      <c r="N504" s="628">
        <f>Table4[[#This Row],[Pipe Wt. ]]+Table4[[#This Row],[Fluid Wt. ]]</f>
        <v>0</v>
      </c>
    </row>
    <row r="505" spans="1:14" x14ac:dyDescent="0.2">
      <c r="A505" s="626">
        <v>120</v>
      </c>
      <c r="B505" s="626">
        <v>120</v>
      </c>
      <c r="C505" s="626">
        <v>0.375</v>
      </c>
      <c r="D505" s="626">
        <v>119.25</v>
      </c>
      <c r="E505" s="626">
        <v>479.55</v>
      </c>
      <c r="F505" s="626" t="s">
        <v>859</v>
      </c>
      <c r="G505" s="626"/>
      <c r="H505" s="626">
        <v>4202.66</v>
      </c>
      <c r="I505" s="626">
        <v>580.20000000000005</v>
      </c>
      <c r="J505" s="629"/>
      <c r="K505" s="628">
        <f>Table4[[#This Row],[Qty]]*Table4[[#This Row],[Gallon Capacity Per Linear Foot]]</f>
        <v>0</v>
      </c>
      <c r="L505" s="628">
        <f>Table4[[#This Row],[Gallons]]*7.48</f>
        <v>0</v>
      </c>
      <c r="M505" s="628">
        <f>Table4[[#This Row],[Qty]]*Table4[[#This Row],[Weight per Foot]]</f>
        <v>0</v>
      </c>
      <c r="N505" s="628">
        <f>Table4[[#This Row],[Pipe Wt. ]]+Table4[[#This Row],[Fluid Wt. ]]</f>
        <v>0</v>
      </c>
    </row>
    <row r="506" spans="1:14" x14ac:dyDescent="0.2">
      <c r="A506" s="626">
        <v>120</v>
      </c>
      <c r="B506" s="626">
        <v>120</v>
      </c>
      <c r="C506" s="626">
        <v>0.5</v>
      </c>
      <c r="D506" s="626">
        <v>119</v>
      </c>
      <c r="E506" s="626">
        <v>638.73</v>
      </c>
      <c r="F506" s="626" t="s">
        <v>857</v>
      </c>
      <c r="G506" s="626"/>
      <c r="H506" s="626">
        <v>5586.01</v>
      </c>
      <c r="I506" s="626">
        <v>577.77</v>
      </c>
      <c r="J506" s="629"/>
      <c r="K506" s="628">
        <f>Table4[[#This Row],[Qty]]*Table4[[#This Row],[Gallon Capacity Per Linear Foot]]</f>
        <v>0</v>
      </c>
      <c r="L506" s="628">
        <f>Table4[[#This Row],[Gallons]]*7.48</f>
        <v>0</v>
      </c>
      <c r="M506" s="628">
        <f>Table4[[#This Row],[Qty]]*Table4[[#This Row],[Weight per Foot]]</f>
        <v>0</v>
      </c>
      <c r="N506" s="628">
        <f>Table4[[#This Row],[Pipe Wt. ]]+Table4[[#This Row],[Fluid Wt. ]]</f>
        <v>0</v>
      </c>
    </row>
    <row r="507" spans="1:14" x14ac:dyDescent="0.2">
      <c r="A507" s="626">
        <v>120</v>
      </c>
      <c r="B507" s="626">
        <v>120</v>
      </c>
      <c r="C507" s="626">
        <v>0.75</v>
      </c>
      <c r="D507" s="626">
        <v>118.5</v>
      </c>
      <c r="E507" s="626">
        <v>956.09</v>
      </c>
      <c r="F507" s="626"/>
      <c r="G507" s="626"/>
      <c r="H507" s="626">
        <v>8326.77</v>
      </c>
      <c r="I507" s="626">
        <v>572.91999999999996</v>
      </c>
      <c r="J507" s="629"/>
      <c r="K507" s="628">
        <f>Table4[[#This Row],[Qty]]*Table4[[#This Row],[Gallon Capacity Per Linear Foot]]</f>
        <v>0</v>
      </c>
      <c r="L507" s="628">
        <f>Table4[[#This Row],[Gallons]]*7.48</f>
        <v>0</v>
      </c>
      <c r="M507" s="628">
        <f>Table4[[#This Row],[Qty]]*Table4[[#This Row],[Weight per Foot]]</f>
        <v>0</v>
      </c>
      <c r="N507" s="628">
        <f>Table4[[#This Row],[Pipe Wt. ]]+Table4[[#This Row],[Fluid Wt. ]]</f>
        <v>0</v>
      </c>
    </row>
    <row r="508" spans="1:14" x14ac:dyDescent="0.2">
      <c r="A508" s="626">
        <v>120</v>
      </c>
      <c r="B508" s="626">
        <v>120</v>
      </c>
      <c r="C508" s="626">
        <v>1</v>
      </c>
      <c r="D508" s="626">
        <v>118.5</v>
      </c>
      <c r="E508" s="626">
        <v>1272.1099999999999</v>
      </c>
      <c r="F508" s="626"/>
      <c r="G508" s="626"/>
      <c r="H508" s="626">
        <v>11032.98</v>
      </c>
      <c r="I508" s="626">
        <v>568.1</v>
      </c>
      <c r="J508" s="629"/>
      <c r="K508" s="628">
        <f>Table4[[#This Row],[Qty]]*Table4[[#This Row],[Gallon Capacity Per Linear Foot]]</f>
        <v>0</v>
      </c>
      <c r="L508" s="628">
        <f>Table4[[#This Row],[Gallons]]*7.48</f>
        <v>0</v>
      </c>
      <c r="M508" s="628">
        <f>Table4[[#This Row],[Qty]]*Table4[[#This Row],[Weight per Foot]]</f>
        <v>0</v>
      </c>
      <c r="N508" s="628">
        <f>Table4[[#This Row],[Pipe Wt. ]]+Table4[[#This Row],[Fluid Wt. ]]</f>
        <v>0</v>
      </c>
    </row>
    <row r="509" spans="1:14" x14ac:dyDescent="0.2">
      <c r="A509" s="626">
        <v>144</v>
      </c>
      <c r="B509" s="626">
        <v>144</v>
      </c>
      <c r="C509" s="626">
        <v>0.375</v>
      </c>
      <c r="D509" s="626">
        <v>143.25</v>
      </c>
      <c r="E509" s="626">
        <v>575.76</v>
      </c>
      <c r="F509" s="626" t="s">
        <v>859</v>
      </c>
      <c r="G509" s="626"/>
      <c r="H509" s="626">
        <v>6061.3</v>
      </c>
      <c r="I509" s="626">
        <v>837.24</v>
      </c>
      <c r="J509" s="629"/>
      <c r="K509" s="628">
        <f>Table4[[#This Row],[Qty]]*Table4[[#This Row],[Gallon Capacity Per Linear Foot]]</f>
        <v>0</v>
      </c>
      <c r="L509" s="628">
        <f>Table4[[#This Row],[Gallons]]*7.48</f>
        <v>0</v>
      </c>
      <c r="M509" s="628">
        <f>Table4[[#This Row],[Qty]]*Table4[[#This Row],[Weight per Foot]]</f>
        <v>0</v>
      </c>
      <c r="N509" s="628">
        <f>Table4[[#This Row],[Pipe Wt. ]]+Table4[[#This Row],[Fluid Wt. ]]</f>
        <v>0</v>
      </c>
    </row>
    <row r="510" spans="1:14" x14ac:dyDescent="0.2">
      <c r="A510" s="626">
        <v>144</v>
      </c>
      <c r="B510" s="626">
        <v>144</v>
      </c>
      <c r="C510" s="626">
        <v>0.5</v>
      </c>
      <c r="D510" s="626">
        <v>143</v>
      </c>
      <c r="E510" s="626">
        <v>767.01</v>
      </c>
      <c r="F510" s="626" t="s">
        <v>857</v>
      </c>
      <c r="G510" s="626"/>
      <c r="H510" s="626">
        <v>8060.32</v>
      </c>
      <c r="I510" s="626">
        <v>834.32</v>
      </c>
      <c r="J510" s="629"/>
      <c r="K510" s="628">
        <f>Table4[[#This Row],[Qty]]*Table4[[#This Row],[Gallon Capacity Per Linear Foot]]</f>
        <v>0</v>
      </c>
      <c r="L510" s="628">
        <f>Table4[[#This Row],[Gallons]]*7.48</f>
        <v>0</v>
      </c>
      <c r="M510" s="628">
        <f>Table4[[#This Row],[Qty]]*Table4[[#This Row],[Weight per Foot]]</f>
        <v>0</v>
      </c>
      <c r="N510" s="628">
        <f>Table4[[#This Row],[Pipe Wt. ]]+Table4[[#This Row],[Fluid Wt. ]]</f>
        <v>0</v>
      </c>
    </row>
    <row r="511" spans="1:14" x14ac:dyDescent="0.2">
      <c r="A511" s="626">
        <v>144</v>
      </c>
      <c r="B511" s="626">
        <v>144</v>
      </c>
      <c r="C511" s="626">
        <v>0.75</v>
      </c>
      <c r="D511" s="626">
        <v>142.5</v>
      </c>
      <c r="E511" s="626">
        <v>1148.51</v>
      </c>
      <c r="F511" s="626"/>
      <c r="G511" s="626"/>
      <c r="H511" s="626">
        <v>12028.03</v>
      </c>
      <c r="I511" s="626">
        <v>828.49</v>
      </c>
      <c r="J511" s="629"/>
      <c r="K511" s="628">
        <f>Table4[[#This Row],[Qty]]*Table4[[#This Row],[Gallon Capacity Per Linear Foot]]</f>
        <v>0</v>
      </c>
      <c r="L511" s="628">
        <f>Table4[[#This Row],[Gallons]]*7.48</f>
        <v>0</v>
      </c>
      <c r="M511" s="628">
        <f>Table4[[#This Row],[Qty]]*Table4[[#This Row],[Weight per Foot]]</f>
        <v>0</v>
      </c>
      <c r="N511" s="628">
        <f>Table4[[#This Row],[Pipe Wt. ]]+Table4[[#This Row],[Fluid Wt. ]]</f>
        <v>0</v>
      </c>
    </row>
    <row r="512" spans="1:14" x14ac:dyDescent="0.2">
      <c r="A512" s="626">
        <v>144</v>
      </c>
      <c r="B512" s="626">
        <v>144</v>
      </c>
      <c r="C512" s="626">
        <v>1</v>
      </c>
      <c r="D512" s="626">
        <v>142</v>
      </c>
      <c r="E512" s="626">
        <v>1528.67</v>
      </c>
      <c r="F512" s="626"/>
      <c r="G512" s="626"/>
      <c r="H512" s="626">
        <v>15953.87</v>
      </c>
      <c r="I512" s="626">
        <v>822.69</v>
      </c>
      <c r="J512" s="629"/>
      <c r="K512" s="628">
        <f>Table4[[#This Row],[Qty]]*Table4[[#This Row],[Gallon Capacity Per Linear Foot]]</f>
        <v>0</v>
      </c>
      <c r="L512" s="628">
        <f>Table4[[#This Row],[Gallons]]*7.48</f>
        <v>0</v>
      </c>
      <c r="M512" s="628">
        <f>Table4[[#This Row],[Qty]]*Table4[[#This Row],[Weight per Foot]]</f>
        <v>0</v>
      </c>
      <c r="N512" s="628">
        <f>Table4[[#This Row],[Pipe Wt. ]]+Table4[[#This Row],[Fluid Wt. ]]</f>
        <v>0</v>
      </c>
    </row>
    <row r="513" spans="1:14" x14ac:dyDescent="0.2">
      <c r="A513" s="626"/>
      <c r="B513" s="626"/>
      <c r="C513" s="626"/>
      <c r="D513" s="626"/>
      <c r="E513" s="626"/>
      <c r="F513" s="626"/>
      <c r="G513" s="626"/>
      <c r="H513" s="626"/>
      <c r="I513" s="631"/>
      <c r="J513" s="632"/>
      <c r="K513" s="633">
        <f t="shared" ref="K513:N513" si="0">SUBTOTAL(109,K2:K512)</f>
        <v>4.0579999999999998</v>
      </c>
      <c r="L513" s="628">
        <f t="shared" si="0"/>
        <v>30.353840000000002</v>
      </c>
      <c r="M513" s="628">
        <f t="shared" si="0"/>
        <v>203.6</v>
      </c>
      <c r="N513" s="628">
        <f t="shared" si="0"/>
        <v>233.95384000000001</v>
      </c>
    </row>
  </sheetData>
  <sheetProtection formatCells="0" formatColumns="0" formatRows="0" sort="0" autoFilter="0" pivotTables="0"/>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N49"/>
  <sheetViews>
    <sheetView showGridLines="0" workbookViewId="0">
      <selection activeCell="S24" sqref="S24"/>
    </sheetView>
  </sheetViews>
  <sheetFormatPr defaultColWidth="8.85546875" defaultRowHeight="12.75" x14ac:dyDescent="0.2"/>
  <cols>
    <col min="1" max="1" width="8.85546875" style="593"/>
    <col min="2" max="2" width="8.42578125" style="593" customWidth="1"/>
    <col min="3" max="3" width="5.28515625" style="593" customWidth="1"/>
    <col min="4" max="4" width="8.42578125" style="593" customWidth="1"/>
    <col min="5" max="5" width="8.140625" style="593" customWidth="1"/>
    <col min="6" max="6" width="7.85546875" style="593" customWidth="1"/>
    <col min="7" max="7" width="7.28515625" style="593" customWidth="1"/>
    <col min="8" max="8" width="8.42578125" style="593" customWidth="1"/>
    <col min="9" max="9" width="1.85546875" style="593" customWidth="1"/>
    <col min="10" max="10" width="10.85546875" style="593" bestFit="1" customWidth="1"/>
    <col min="11" max="11" width="11" style="593" customWidth="1"/>
    <col min="12" max="12" width="11.140625" style="593" customWidth="1"/>
    <col min="13" max="13" width="8.85546875" style="593"/>
    <col min="14" max="14" width="9" style="593" bestFit="1" customWidth="1"/>
    <col min="15" max="16384" width="8.85546875" style="593"/>
  </cols>
  <sheetData>
    <row r="1" spans="1:14" x14ac:dyDescent="0.2">
      <c r="A1" s="326" t="s">
        <v>887</v>
      </c>
    </row>
    <row r="3" spans="1:14" ht="15" customHeight="1" x14ac:dyDescent="0.2">
      <c r="A3" s="928" t="s">
        <v>964</v>
      </c>
      <c r="B3" s="928"/>
      <c r="C3" s="928"/>
      <c r="D3" s="928"/>
      <c r="E3" s="928"/>
      <c r="F3" s="928"/>
      <c r="G3" s="928"/>
      <c r="H3" s="928"/>
      <c r="I3" s="928"/>
      <c r="J3" s="928"/>
      <c r="K3" s="928"/>
      <c r="L3" s="928"/>
    </row>
    <row r="4" spans="1:14" x14ac:dyDescent="0.2">
      <c r="A4" s="928"/>
      <c r="B4" s="928"/>
      <c r="C4" s="928"/>
      <c r="D4" s="928"/>
      <c r="E4" s="928"/>
      <c r="F4" s="928"/>
      <c r="G4" s="928"/>
      <c r="H4" s="928"/>
      <c r="I4" s="928"/>
      <c r="J4" s="928"/>
      <c r="K4" s="928"/>
      <c r="L4" s="928"/>
    </row>
    <row r="5" spans="1:14" x14ac:dyDescent="0.2">
      <c r="A5" s="928"/>
      <c r="B5" s="928"/>
      <c r="C5" s="928"/>
      <c r="D5" s="928"/>
      <c r="E5" s="928"/>
      <c r="F5" s="928"/>
      <c r="G5" s="928"/>
      <c r="H5" s="928"/>
      <c r="I5" s="928"/>
      <c r="J5" s="928"/>
      <c r="K5" s="928"/>
      <c r="L5" s="928"/>
    </row>
    <row r="6" spans="1:14" x14ac:dyDescent="0.2">
      <c r="A6" s="928"/>
      <c r="B6" s="928"/>
      <c r="C6" s="928"/>
      <c r="D6" s="928"/>
      <c r="E6" s="928"/>
      <c r="F6" s="928"/>
      <c r="G6" s="928"/>
      <c r="H6" s="928"/>
      <c r="I6" s="928"/>
      <c r="J6" s="928"/>
      <c r="K6" s="928"/>
      <c r="L6" s="928"/>
    </row>
    <row r="8" spans="1:14" x14ac:dyDescent="0.2">
      <c r="A8" s="594" t="s">
        <v>913</v>
      </c>
      <c r="D8" s="931" t="s">
        <v>915</v>
      </c>
      <c r="E8" s="929" t="s">
        <v>919</v>
      </c>
      <c r="F8" s="929" t="s">
        <v>920</v>
      </c>
      <c r="G8" s="933" t="s">
        <v>914</v>
      </c>
      <c r="H8" s="933"/>
      <c r="J8" s="929" t="s">
        <v>917</v>
      </c>
      <c r="K8" s="929" t="s">
        <v>918</v>
      </c>
      <c r="L8" s="930" t="s">
        <v>916</v>
      </c>
    </row>
    <row r="9" spans="1:14" x14ac:dyDescent="0.2">
      <c r="B9" s="635"/>
      <c r="C9" s="635"/>
      <c r="D9" s="932"/>
      <c r="E9" s="929"/>
      <c r="F9" s="929"/>
      <c r="G9" s="635" t="s">
        <v>912</v>
      </c>
      <c r="H9" s="635" t="s">
        <v>921</v>
      </c>
      <c r="J9" s="929"/>
      <c r="K9" s="929"/>
      <c r="L9" s="930"/>
      <c r="N9" s="635" t="s">
        <v>969</v>
      </c>
    </row>
    <row r="10" spans="1:14" x14ac:dyDescent="0.2">
      <c r="A10" s="593" t="s">
        <v>888</v>
      </c>
      <c r="D10" s="651"/>
      <c r="E10" s="636">
        <v>25</v>
      </c>
      <c r="F10" s="636">
        <v>25</v>
      </c>
      <c r="G10" s="637">
        <v>12.6</v>
      </c>
      <c r="H10" s="638">
        <v>4660</v>
      </c>
      <c r="J10" s="639">
        <f>(E10*D10)/12000</f>
        <v>0</v>
      </c>
      <c r="K10" s="640">
        <f>F10*D10</f>
        <v>0</v>
      </c>
      <c r="L10" s="641">
        <f>G10*D10</f>
        <v>0</v>
      </c>
      <c r="N10" s="656">
        <f>J10*400</f>
        <v>0</v>
      </c>
    </row>
    <row r="11" spans="1:14" x14ac:dyDescent="0.2">
      <c r="A11" s="593" t="s">
        <v>889</v>
      </c>
      <c r="D11" s="652"/>
      <c r="E11" s="636">
        <v>40</v>
      </c>
      <c r="F11" s="636">
        <v>40</v>
      </c>
      <c r="G11" s="637">
        <v>32.4</v>
      </c>
      <c r="H11" s="638">
        <v>7460</v>
      </c>
      <c r="J11" s="642">
        <f t="shared" ref="J11:J33" si="0">(E11*D11)/12000</f>
        <v>0</v>
      </c>
      <c r="K11" s="643">
        <f t="shared" ref="K11:K33" si="1">F11*D11</f>
        <v>0</v>
      </c>
      <c r="L11" s="644">
        <f t="shared" ref="L11:L33" si="2">G11*D11</f>
        <v>0</v>
      </c>
      <c r="N11" s="656">
        <f t="shared" ref="N11:N33" si="3">J11*400</f>
        <v>0</v>
      </c>
    </row>
    <row r="12" spans="1:14" x14ac:dyDescent="0.2">
      <c r="A12" s="593" t="s">
        <v>890</v>
      </c>
      <c r="D12" s="652"/>
      <c r="E12" s="636">
        <v>45</v>
      </c>
      <c r="F12" s="636">
        <v>30</v>
      </c>
      <c r="G12" s="637">
        <v>33.6</v>
      </c>
      <c r="H12" s="638">
        <v>7440</v>
      </c>
      <c r="J12" s="642">
        <f t="shared" si="0"/>
        <v>0</v>
      </c>
      <c r="K12" s="643">
        <f t="shared" si="1"/>
        <v>0</v>
      </c>
      <c r="L12" s="644">
        <f t="shared" si="2"/>
        <v>0</v>
      </c>
      <c r="N12" s="656">
        <f t="shared" si="3"/>
        <v>0</v>
      </c>
    </row>
    <row r="13" spans="1:14" x14ac:dyDescent="0.2">
      <c r="A13" s="593" t="s">
        <v>891</v>
      </c>
      <c r="D13" s="652"/>
      <c r="E13" s="636">
        <v>40</v>
      </c>
      <c r="F13" s="636">
        <v>40</v>
      </c>
      <c r="G13" s="637">
        <v>33.6</v>
      </c>
      <c r="H13" s="638">
        <v>7690</v>
      </c>
      <c r="J13" s="642">
        <f t="shared" si="0"/>
        <v>0</v>
      </c>
      <c r="K13" s="643">
        <f t="shared" si="1"/>
        <v>0</v>
      </c>
      <c r="L13" s="644">
        <f t="shared" si="2"/>
        <v>0</v>
      </c>
      <c r="N13" s="656">
        <f t="shared" si="3"/>
        <v>0</v>
      </c>
    </row>
    <row r="14" spans="1:14" x14ac:dyDescent="0.2">
      <c r="A14" s="593" t="s">
        <v>892</v>
      </c>
      <c r="D14" s="652"/>
      <c r="E14" s="636">
        <v>60</v>
      </c>
      <c r="F14" s="636">
        <v>30</v>
      </c>
      <c r="G14" s="637">
        <v>39.299999999999997</v>
      </c>
      <c r="H14" s="638">
        <v>6020</v>
      </c>
      <c r="J14" s="642">
        <f t="shared" si="0"/>
        <v>0</v>
      </c>
      <c r="K14" s="643">
        <f t="shared" si="1"/>
        <v>0</v>
      </c>
      <c r="L14" s="644">
        <f t="shared" si="2"/>
        <v>0</v>
      </c>
      <c r="N14" s="656">
        <f t="shared" si="3"/>
        <v>0</v>
      </c>
    </row>
    <row r="15" spans="1:14" x14ac:dyDescent="0.2">
      <c r="A15" s="593" t="s">
        <v>893</v>
      </c>
      <c r="D15" s="652"/>
      <c r="E15" s="636">
        <v>40</v>
      </c>
      <c r="F15" s="636">
        <v>40</v>
      </c>
      <c r="G15" s="637">
        <v>25.9</v>
      </c>
      <c r="H15" s="638">
        <v>5940</v>
      </c>
      <c r="J15" s="642">
        <f t="shared" si="0"/>
        <v>0</v>
      </c>
      <c r="K15" s="643">
        <f t="shared" si="1"/>
        <v>0</v>
      </c>
      <c r="L15" s="644">
        <f t="shared" si="2"/>
        <v>0</v>
      </c>
      <c r="N15" s="656">
        <f t="shared" si="3"/>
        <v>0</v>
      </c>
    </row>
    <row r="16" spans="1:14" x14ac:dyDescent="0.2">
      <c r="A16" s="593" t="s">
        <v>894</v>
      </c>
      <c r="D16" s="652"/>
      <c r="E16" s="636">
        <v>35</v>
      </c>
      <c r="F16" s="636">
        <v>35</v>
      </c>
      <c r="G16" s="637">
        <v>28.1</v>
      </c>
      <c r="H16" s="638">
        <v>7330</v>
      </c>
      <c r="J16" s="642">
        <f t="shared" si="0"/>
        <v>0</v>
      </c>
      <c r="K16" s="643">
        <f t="shared" si="1"/>
        <v>0</v>
      </c>
      <c r="L16" s="644">
        <f t="shared" si="2"/>
        <v>0</v>
      </c>
      <c r="N16" s="656">
        <f t="shared" si="3"/>
        <v>0</v>
      </c>
    </row>
    <row r="17" spans="1:14" x14ac:dyDescent="0.2">
      <c r="A17" s="593" t="s">
        <v>895</v>
      </c>
      <c r="D17" s="652"/>
      <c r="E17" s="636">
        <v>45</v>
      </c>
      <c r="F17" s="636">
        <v>40</v>
      </c>
      <c r="G17" s="637">
        <v>51</v>
      </c>
      <c r="H17" s="638">
        <v>10400</v>
      </c>
      <c r="J17" s="642">
        <f t="shared" si="0"/>
        <v>0</v>
      </c>
      <c r="K17" s="643">
        <f t="shared" si="1"/>
        <v>0</v>
      </c>
      <c r="L17" s="644">
        <f t="shared" si="2"/>
        <v>0</v>
      </c>
      <c r="N17" s="656">
        <f t="shared" si="3"/>
        <v>0</v>
      </c>
    </row>
    <row r="18" spans="1:14" x14ac:dyDescent="0.2">
      <c r="A18" s="593" t="s">
        <v>896</v>
      </c>
      <c r="D18" s="652"/>
      <c r="E18" s="636">
        <v>70</v>
      </c>
      <c r="F18" s="636">
        <v>30</v>
      </c>
      <c r="G18" s="637">
        <v>35.5</v>
      </c>
      <c r="H18" s="638">
        <v>4660</v>
      </c>
      <c r="J18" s="642">
        <f t="shared" si="0"/>
        <v>0</v>
      </c>
      <c r="K18" s="643">
        <f t="shared" si="1"/>
        <v>0</v>
      </c>
      <c r="L18" s="644">
        <f t="shared" si="2"/>
        <v>0</v>
      </c>
      <c r="N18" s="656">
        <f t="shared" si="3"/>
        <v>0</v>
      </c>
    </row>
    <row r="19" spans="1:14" x14ac:dyDescent="0.2">
      <c r="A19" s="593" t="s">
        <v>897</v>
      </c>
      <c r="D19" s="652"/>
      <c r="E19" s="636">
        <v>145</v>
      </c>
      <c r="F19" s="636">
        <v>20</v>
      </c>
      <c r="G19" s="637">
        <v>72.3</v>
      </c>
      <c r="H19" s="638">
        <v>4570</v>
      </c>
      <c r="J19" s="642">
        <f t="shared" si="0"/>
        <v>0</v>
      </c>
      <c r="K19" s="643">
        <f t="shared" si="1"/>
        <v>0</v>
      </c>
      <c r="L19" s="644">
        <f t="shared" si="2"/>
        <v>0</v>
      </c>
      <c r="N19" s="656">
        <f t="shared" si="3"/>
        <v>0</v>
      </c>
    </row>
    <row r="20" spans="1:14" x14ac:dyDescent="0.2">
      <c r="A20" s="593" t="s">
        <v>898</v>
      </c>
      <c r="D20" s="652"/>
      <c r="E20" s="636">
        <v>35</v>
      </c>
      <c r="F20" s="636">
        <v>30</v>
      </c>
      <c r="G20" s="637">
        <v>22.7</v>
      </c>
      <c r="H20" s="638">
        <v>5980</v>
      </c>
      <c r="J20" s="642">
        <f t="shared" si="0"/>
        <v>0</v>
      </c>
      <c r="K20" s="643">
        <f t="shared" si="1"/>
        <v>0</v>
      </c>
      <c r="L20" s="644">
        <f t="shared" si="2"/>
        <v>0</v>
      </c>
      <c r="N20" s="656">
        <f t="shared" si="3"/>
        <v>0</v>
      </c>
    </row>
    <row r="21" spans="1:14" x14ac:dyDescent="0.2">
      <c r="A21" s="593" t="s">
        <v>899</v>
      </c>
      <c r="D21" s="652"/>
      <c r="E21" s="636">
        <v>60</v>
      </c>
      <c r="F21" s="636">
        <v>45</v>
      </c>
      <c r="G21" s="637">
        <v>62.9</v>
      </c>
      <c r="H21" s="638">
        <v>9650</v>
      </c>
      <c r="J21" s="642">
        <f t="shared" si="0"/>
        <v>0</v>
      </c>
      <c r="K21" s="643">
        <f t="shared" si="1"/>
        <v>0</v>
      </c>
      <c r="L21" s="644">
        <f t="shared" si="2"/>
        <v>0</v>
      </c>
      <c r="N21" s="656">
        <f t="shared" si="3"/>
        <v>0</v>
      </c>
    </row>
    <row r="22" spans="1:14" x14ac:dyDescent="0.2">
      <c r="A22" s="593" t="s">
        <v>900</v>
      </c>
      <c r="D22" s="652"/>
      <c r="E22" s="636">
        <v>45</v>
      </c>
      <c r="F22" s="636">
        <v>35</v>
      </c>
      <c r="G22" s="637">
        <v>37.5</v>
      </c>
      <c r="H22" s="638">
        <v>7670</v>
      </c>
      <c r="J22" s="642">
        <f t="shared" si="0"/>
        <v>0</v>
      </c>
      <c r="K22" s="643">
        <f t="shared" si="1"/>
        <v>0</v>
      </c>
      <c r="L22" s="644">
        <f t="shared" si="2"/>
        <v>0</v>
      </c>
      <c r="N22" s="656">
        <f t="shared" si="3"/>
        <v>0</v>
      </c>
    </row>
    <row r="23" spans="1:14" x14ac:dyDescent="0.2">
      <c r="A23" s="593" t="s">
        <v>901</v>
      </c>
      <c r="D23" s="652"/>
      <c r="E23" s="636">
        <v>40</v>
      </c>
      <c r="F23" s="636">
        <v>35</v>
      </c>
      <c r="G23" s="637">
        <v>14.5</v>
      </c>
      <c r="H23" s="638">
        <v>3350</v>
      </c>
      <c r="J23" s="642">
        <f t="shared" si="0"/>
        <v>0</v>
      </c>
      <c r="K23" s="643">
        <f t="shared" si="1"/>
        <v>0</v>
      </c>
      <c r="L23" s="644">
        <f t="shared" si="2"/>
        <v>0</v>
      </c>
      <c r="N23" s="656">
        <f t="shared" si="3"/>
        <v>0</v>
      </c>
    </row>
    <row r="24" spans="1:14" x14ac:dyDescent="0.2">
      <c r="A24" s="593" t="s">
        <v>902</v>
      </c>
      <c r="D24" s="652"/>
      <c r="E24" s="636">
        <v>35</v>
      </c>
      <c r="F24" s="636">
        <v>35</v>
      </c>
      <c r="G24" s="637">
        <v>24.9</v>
      </c>
      <c r="H24" s="638">
        <v>6540</v>
      </c>
      <c r="J24" s="642">
        <f t="shared" si="0"/>
        <v>0</v>
      </c>
      <c r="K24" s="643">
        <f t="shared" si="1"/>
        <v>0</v>
      </c>
      <c r="L24" s="644">
        <f t="shared" si="2"/>
        <v>0</v>
      </c>
      <c r="N24" s="656">
        <f t="shared" si="3"/>
        <v>0</v>
      </c>
    </row>
    <row r="25" spans="1:14" x14ac:dyDescent="0.2">
      <c r="A25" s="593" t="s">
        <v>903</v>
      </c>
      <c r="D25" s="652"/>
      <c r="E25" s="636">
        <v>30</v>
      </c>
      <c r="F25" s="636">
        <v>30</v>
      </c>
      <c r="G25" s="637">
        <v>17.3</v>
      </c>
      <c r="H25" s="638">
        <v>5310</v>
      </c>
      <c r="J25" s="642">
        <f t="shared" si="0"/>
        <v>0</v>
      </c>
      <c r="K25" s="643">
        <f t="shared" si="1"/>
        <v>0</v>
      </c>
      <c r="L25" s="644">
        <f t="shared" si="2"/>
        <v>0</v>
      </c>
      <c r="N25" s="656">
        <f t="shared" si="3"/>
        <v>0</v>
      </c>
    </row>
    <row r="26" spans="1:14" x14ac:dyDescent="0.2">
      <c r="A26" s="593" t="s">
        <v>904</v>
      </c>
      <c r="D26" s="652"/>
      <c r="E26" s="636">
        <v>35</v>
      </c>
      <c r="F26" s="636">
        <v>40</v>
      </c>
      <c r="G26" s="637">
        <v>27.7</v>
      </c>
      <c r="H26" s="638">
        <v>7270</v>
      </c>
      <c r="J26" s="642">
        <f t="shared" si="0"/>
        <v>0</v>
      </c>
      <c r="K26" s="643">
        <f t="shared" si="1"/>
        <v>0</v>
      </c>
      <c r="L26" s="644">
        <f t="shared" si="2"/>
        <v>0</v>
      </c>
      <c r="N26" s="656">
        <f t="shared" si="3"/>
        <v>0</v>
      </c>
    </row>
    <row r="27" spans="1:14" x14ac:dyDescent="0.2">
      <c r="A27" s="593" t="s">
        <v>905</v>
      </c>
      <c r="D27" s="652"/>
      <c r="E27" s="636">
        <v>45</v>
      </c>
      <c r="F27" s="636">
        <v>35</v>
      </c>
      <c r="G27" s="637">
        <v>31.9</v>
      </c>
      <c r="H27" s="638">
        <v>6570</v>
      </c>
      <c r="J27" s="642">
        <f t="shared" si="0"/>
        <v>0</v>
      </c>
      <c r="K27" s="643">
        <f t="shared" si="1"/>
        <v>0</v>
      </c>
      <c r="L27" s="644">
        <f t="shared" si="2"/>
        <v>0</v>
      </c>
      <c r="N27" s="656">
        <f t="shared" si="3"/>
        <v>0</v>
      </c>
    </row>
    <row r="28" spans="1:14" x14ac:dyDescent="0.2">
      <c r="A28" s="593" t="s">
        <v>906</v>
      </c>
      <c r="D28" s="652">
        <v>16000</v>
      </c>
      <c r="E28" s="636">
        <v>35</v>
      </c>
      <c r="F28" s="636">
        <v>35</v>
      </c>
      <c r="G28" s="637">
        <v>25.4</v>
      </c>
      <c r="H28" s="638">
        <v>6640</v>
      </c>
      <c r="J28" s="642">
        <f t="shared" si="0"/>
        <v>46.666666666666664</v>
      </c>
      <c r="K28" s="643">
        <f t="shared" si="1"/>
        <v>560000</v>
      </c>
      <c r="L28" s="644">
        <f t="shared" si="2"/>
        <v>406400</v>
      </c>
      <c r="N28" s="656">
        <f t="shared" si="3"/>
        <v>18666.666666666664</v>
      </c>
    </row>
    <row r="29" spans="1:14" x14ac:dyDescent="0.2">
      <c r="A29" s="593" t="s">
        <v>907</v>
      </c>
      <c r="D29" s="652"/>
      <c r="E29" s="636">
        <v>40</v>
      </c>
      <c r="F29" s="636">
        <v>30</v>
      </c>
      <c r="G29" s="637">
        <v>34.4</v>
      </c>
      <c r="H29" s="638">
        <v>7860</v>
      </c>
      <c r="J29" s="642">
        <f t="shared" si="0"/>
        <v>0</v>
      </c>
      <c r="K29" s="643">
        <f t="shared" si="1"/>
        <v>0</v>
      </c>
      <c r="L29" s="644">
        <f t="shared" si="2"/>
        <v>0</v>
      </c>
      <c r="N29" s="656">
        <f t="shared" si="3"/>
        <v>0</v>
      </c>
    </row>
    <row r="30" spans="1:14" x14ac:dyDescent="0.2">
      <c r="A30" s="593" t="s">
        <v>908</v>
      </c>
      <c r="D30" s="652"/>
      <c r="E30" s="636">
        <v>20</v>
      </c>
      <c r="F30" s="636">
        <v>30</v>
      </c>
      <c r="G30" s="637">
        <v>7.75</v>
      </c>
      <c r="H30" s="638">
        <v>3580</v>
      </c>
      <c r="J30" s="642">
        <f t="shared" si="0"/>
        <v>0</v>
      </c>
      <c r="K30" s="643">
        <f t="shared" si="1"/>
        <v>0</v>
      </c>
      <c r="L30" s="644">
        <f t="shared" si="2"/>
        <v>0</v>
      </c>
      <c r="N30" s="656">
        <f t="shared" si="3"/>
        <v>0</v>
      </c>
    </row>
    <row r="31" spans="1:14" x14ac:dyDescent="0.2">
      <c r="A31" s="593" t="s">
        <v>909</v>
      </c>
      <c r="D31" s="652"/>
      <c r="E31" s="636">
        <v>45</v>
      </c>
      <c r="F31" s="636">
        <v>30</v>
      </c>
      <c r="G31" s="637">
        <v>25.9</v>
      </c>
      <c r="H31" s="638">
        <v>5270</v>
      </c>
      <c r="J31" s="642">
        <f t="shared" si="0"/>
        <v>0</v>
      </c>
      <c r="K31" s="643">
        <f t="shared" si="1"/>
        <v>0</v>
      </c>
      <c r="L31" s="644">
        <f t="shared" si="2"/>
        <v>0</v>
      </c>
      <c r="N31" s="656">
        <f t="shared" si="3"/>
        <v>0</v>
      </c>
    </row>
    <row r="32" spans="1:14" x14ac:dyDescent="0.2">
      <c r="A32" s="593" t="s">
        <v>910</v>
      </c>
      <c r="D32" s="652"/>
      <c r="E32" s="636">
        <v>30</v>
      </c>
      <c r="F32" s="636">
        <v>30</v>
      </c>
      <c r="G32" s="637">
        <v>13.5</v>
      </c>
      <c r="H32" s="638">
        <v>4120</v>
      </c>
      <c r="J32" s="642">
        <f t="shared" si="0"/>
        <v>0</v>
      </c>
      <c r="K32" s="643">
        <f t="shared" si="1"/>
        <v>0</v>
      </c>
      <c r="L32" s="644">
        <f t="shared" si="2"/>
        <v>0</v>
      </c>
      <c r="N32" s="656">
        <f t="shared" si="3"/>
        <v>0</v>
      </c>
    </row>
    <row r="33" spans="1:14" x14ac:dyDescent="0.2">
      <c r="A33" s="593" t="s">
        <v>911</v>
      </c>
      <c r="D33" s="653"/>
      <c r="E33" s="636">
        <v>40</v>
      </c>
      <c r="F33" s="636">
        <v>40</v>
      </c>
      <c r="G33" s="637">
        <v>25.4</v>
      </c>
      <c r="H33" s="638">
        <v>5850</v>
      </c>
      <c r="J33" s="645">
        <f t="shared" si="0"/>
        <v>0</v>
      </c>
      <c r="K33" s="646">
        <f t="shared" si="1"/>
        <v>0</v>
      </c>
      <c r="L33" s="647">
        <f t="shared" si="2"/>
        <v>0</v>
      </c>
      <c r="N33" s="656">
        <f t="shared" si="3"/>
        <v>0</v>
      </c>
    </row>
    <row r="34" spans="1:14" x14ac:dyDescent="0.2">
      <c r="A34" s="326" t="s">
        <v>958</v>
      </c>
      <c r="D34" s="649">
        <f>SUM(D10:D33)</f>
        <v>16000</v>
      </c>
      <c r="G34" s="654">
        <f>L34/D34</f>
        <v>25.4</v>
      </c>
      <c r="J34" s="648">
        <f t="shared" ref="J34:L34" si="4">SUM(J10:J33)</f>
        <v>46.666666666666664</v>
      </c>
      <c r="K34" s="649">
        <f t="shared" si="4"/>
        <v>560000</v>
      </c>
      <c r="L34" s="615">
        <f t="shared" si="4"/>
        <v>406400</v>
      </c>
      <c r="N34" s="657">
        <f>SUM(N10:N33)</f>
        <v>18666.666666666664</v>
      </c>
    </row>
    <row r="36" spans="1:14" x14ac:dyDescent="0.2">
      <c r="A36" s="928" t="s">
        <v>922</v>
      </c>
      <c r="B36" s="928"/>
      <c r="C36" s="928"/>
      <c r="D36" s="928"/>
      <c r="E36" s="928"/>
      <c r="F36" s="928"/>
      <c r="G36" s="928"/>
      <c r="H36" s="928"/>
      <c r="I36" s="928"/>
      <c r="J36" s="928"/>
      <c r="K36" s="928"/>
      <c r="L36" s="928"/>
    </row>
    <row r="37" spans="1:14" x14ac:dyDescent="0.2">
      <c r="A37" s="928"/>
      <c r="B37" s="928"/>
      <c r="C37" s="928"/>
      <c r="D37" s="928"/>
      <c r="E37" s="928"/>
      <c r="F37" s="928"/>
      <c r="G37" s="928"/>
      <c r="H37" s="928"/>
      <c r="I37" s="928"/>
      <c r="J37" s="928"/>
      <c r="K37" s="928"/>
      <c r="L37" s="928"/>
    </row>
    <row r="38" spans="1:14" x14ac:dyDescent="0.2">
      <c r="A38" s="928"/>
      <c r="B38" s="928"/>
      <c r="C38" s="928"/>
      <c r="D38" s="928"/>
      <c r="E38" s="928"/>
      <c r="F38" s="928"/>
      <c r="G38" s="928"/>
      <c r="H38" s="928"/>
      <c r="I38" s="928"/>
      <c r="J38" s="928"/>
      <c r="K38" s="928"/>
      <c r="L38" s="928"/>
    </row>
    <row r="39" spans="1:14" x14ac:dyDescent="0.2">
      <c r="A39" s="650"/>
      <c r="B39" s="650"/>
      <c r="C39" s="650"/>
      <c r="D39" s="650"/>
      <c r="E39" s="650"/>
      <c r="F39" s="650"/>
      <c r="G39" s="650"/>
      <c r="H39" s="650"/>
      <c r="I39" s="650"/>
      <c r="J39" s="650"/>
      <c r="K39" s="650"/>
      <c r="L39" s="650"/>
    </row>
    <row r="40" spans="1:14" x14ac:dyDescent="0.2">
      <c r="A40" s="326" t="s">
        <v>923</v>
      </c>
    </row>
    <row r="41" spans="1:14" x14ac:dyDescent="0.2">
      <c r="A41" s="593" t="s">
        <v>924</v>
      </c>
    </row>
    <row r="42" spans="1:14" x14ac:dyDescent="0.2">
      <c r="A42" s="593" t="s">
        <v>925</v>
      </c>
    </row>
    <row r="43" spans="1:14" x14ac:dyDescent="0.2">
      <c r="A43" s="593" t="s">
        <v>926</v>
      </c>
    </row>
    <row r="44" spans="1:14" x14ac:dyDescent="0.2">
      <c r="A44" s="928" t="s">
        <v>927</v>
      </c>
      <c r="B44" s="928"/>
      <c r="C44" s="928"/>
      <c r="D44" s="928"/>
      <c r="E44" s="928"/>
      <c r="F44" s="928"/>
      <c r="G44" s="928"/>
      <c r="H44" s="928"/>
      <c r="I44" s="928"/>
      <c r="J44" s="928"/>
      <c r="K44" s="928"/>
      <c r="L44" s="928"/>
    </row>
    <row r="45" spans="1:14" x14ac:dyDescent="0.2">
      <c r="A45" s="928"/>
      <c r="B45" s="928"/>
      <c r="C45" s="928"/>
      <c r="D45" s="928"/>
      <c r="E45" s="928"/>
      <c r="F45" s="928"/>
      <c r="G45" s="928"/>
      <c r="H45" s="928"/>
      <c r="I45" s="928"/>
      <c r="J45" s="928"/>
      <c r="K45" s="928"/>
      <c r="L45" s="928"/>
    </row>
    <row r="46" spans="1:14" x14ac:dyDescent="0.2">
      <c r="A46" s="928" t="s">
        <v>928</v>
      </c>
      <c r="B46" s="928"/>
      <c r="C46" s="928"/>
      <c r="D46" s="928"/>
      <c r="E46" s="928"/>
      <c r="F46" s="928"/>
      <c r="G46" s="928"/>
      <c r="H46" s="928"/>
      <c r="I46" s="928"/>
      <c r="J46" s="928"/>
      <c r="K46" s="928"/>
      <c r="L46" s="928"/>
    </row>
    <row r="47" spans="1:14" x14ac:dyDescent="0.2">
      <c r="A47" s="928"/>
      <c r="B47" s="928"/>
      <c r="C47" s="928"/>
      <c r="D47" s="928"/>
      <c r="E47" s="928"/>
      <c r="F47" s="928"/>
      <c r="G47" s="928"/>
      <c r="H47" s="928"/>
      <c r="I47" s="928"/>
      <c r="J47" s="928"/>
      <c r="K47" s="928"/>
      <c r="L47" s="928"/>
    </row>
    <row r="48" spans="1:14" x14ac:dyDescent="0.2">
      <c r="A48" s="593" t="s">
        <v>929</v>
      </c>
    </row>
    <row r="49" spans="1:1" x14ac:dyDescent="0.2">
      <c r="A49" s="593" t="s">
        <v>930</v>
      </c>
    </row>
  </sheetData>
  <mergeCells count="11">
    <mergeCell ref="A46:L47"/>
    <mergeCell ref="D8:D9"/>
    <mergeCell ref="G8:H8"/>
    <mergeCell ref="E8:E9"/>
    <mergeCell ref="F8:F9"/>
    <mergeCell ref="J8:J9"/>
    <mergeCell ref="A3:L6"/>
    <mergeCell ref="K8:K9"/>
    <mergeCell ref="L8:L9"/>
    <mergeCell ref="A36:L38"/>
    <mergeCell ref="A44:L45"/>
  </mergeCells>
  <pageMargins left="0.5" right="0.5" top="0.75" bottom="0.75" header="0.3" footer="0.3"/>
  <pageSetup scale="97"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M58"/>
  <sheetViews>
    <sheetView showGridLines="0" topLeftCell="A13" workbookViewId="0">
      <selection activeCell="P32" sqref="P31:P32"/>
    </sheetView>
  </sheetViews>
  <sheetFormatPr defaultColWidth="8.85546875" defaultRowHeight="12.75" x14ac:dyDescent="0.2"/>
  <cols>
    <col min="1" max="4" width="8.85546875" style="593"/>
    <col min="5" max="5" width="1.85546875" style="593" customWidth="1"/>
    <col min="6" max="7" width="7.42578125" style="593" customWidth="1"/>
    <col min="8" max="8" width="8.85546875" style="593"/>
    <col min="9" max="9" width="1.7109375" style="593" customWidth="1"/>
    <col min="10" max="10" width="6.85546875" style="593" customWidth="1"/>
    <col min="11" max="13" width="9.85546875" style="593" bestFit="1" customWidth="1"/>
    <col min="14" max="16384" width="8.85546875" style="593"/>
  </cols>
  <sheetData>
    <row r="1" spans="1:13" ht="13.5" thickBot="1" x14ac:dyDescent="0.25">
      <c r="A1" s="326" t="s">
        <v>931</v>
      </c>
      <c r="L1" s="593" t="s">
        <v>956</v>
      </c>
      <c r="M1" s="616">
        <v>65</v>
      </c>
    </row>
    <row r="3" spans="1:13" x14ac:dyDescent="0.2">
      <c r="A3" s="326" t="s">
        <v>932</v>
      </c>
    </row>
    <row r="4" spans="1:13" x14ac:dyDescent="0.2">
      <c r="A4" s="326"/>
      <c r="F4" s="934" t="s">
        <v>959</v>
      </c>
      <c r="G4" s="934"/>
      <c r="H4" s="934"/>
      <c r="J4" s="934" t="s">
        <v>958</v>
      </c>
      <c r="K4" s="934"/>
      <c r="L4" s="934"/>
      <c r="M4" s="934"/>
    </row>
    <row r="5" spans="1:13" x14ac:dyDescent="0.2">
      <c r="D5" s="595" t="s">
        <v>957</v>
      </c>
      <c r="F5" s="595" t="s">
        <v>522</v>
      </c>
      <c r="G5" s="595" t="s">
        <v>2</v>
      </c>
      <c r="H5" s="595" t="s">
        <v>3</v>
      </c>
      <c r="J5" s="595" t="s">
        <v>522</v>
      </c>
      <c r="K5" s="595" t="s">
        <v>960</v>
      </c>
      <c r="L5" s="595" t="s">
        <v>3</v>
      </c>
      <c r="M5" s="595" t="s">
        <v>73</v>
      </c>
    </row>
    <row r="6" spans="1:13" x14ac:dyDescent="0.2">
      <c r="A6" s="593" t="s">
        <v>933</v>
      </c>
      <c r="D6" s="617"/>
      <c r="F6" s="596">
        <v>15</v>
      </c>
      <c r="G6" s="608">
        <f t="shared" ref="G6:G29" si="0">F6*$M$1</f>
        <v>975</v>
      </c>
      <c r="H6" s="609">
        <v>2120</v>
      </c>
      <c r="I6" s="595"/>
      <c r="J6" s="601">
        <f>F6*D6</f>
        <v>0</v>
      </c>
      <c r="K6" s="599">
        <f t="shared" ref="K6:K29" si="1">J6*$M$1</f>
        <v>0</v>
      </c>
      <c r="L6" s="599">
        <f>H6*D6</f>
        <v>0</v>
      </c>
      <c r="M6" s="600">
        <f>L6+K6</f>
        <v>0</v>
      </c>
    </row>
    <row r="7" spans="1:13" x14ac:dyDescent="0.2">
      <c r="A7" s="593" t="s">
        <v>934</v>
      </c>
      <c r="D7" s="618"/>
      <c r="F7" s="597">
        <v>9</v>
      </c>
      <c r="G7" s="610">
        <f t="shared" si="0"/>
        <v>585</v>
      </c>
      <c r="H7" s="611">
        <v>1150</v>
      </c>
      <c r="I7" s="595"/>
      <c r="J7" s="602">
        <f t="shared" ref="J7:J29" si="2">F7*D7</f>
        <v>0</v>
      </c>
      <c r="K7" s="604">
        <f t="shared" si="1"/>
        <v>0</v>
      </c>
      <c r="L7" s="604">
        <f t="shared" ref="L7:L29" si="3">H7*D7</f>
        <v>0</v>
      </c>
      <c r="M7" s="605">
        <f t="shared" ref="M7:M29" si="4">L7+K7</f>
        <v>0</v>
      </c>
    </row>
    <row r="8" spans="1:13" x14ac:dyDescent="0.2">
      <c r="A8" s="593" t="s">
        <v>935</v>
      </c>
      <c r="D8" s="618"/>
      <c r="F8" s="597">
        <v>11</v>
      </c>
      <c r="G8" s="610">
        <f t="shared" si="0"/>
        <v>715</v>
      </c>
      <c r="H8" s="611">
        <v>1990</v>
      </c>
      <c r="I8" s="595"/>
      <c r="J8" s="602">
        <f t="shared" si="2"/>
        <v>0</v>
      </c>
      <c r="K8" s="604">
        <f t="shared" si="1"/>
        <v>0</v>
      </c>
      <c r="L8" s="604">
        <f t="shared" si="3"/>
        <v>0</v>
      </c>
      <c r="M8" s="605">
        <f t="shared" si="4"/>
        <v>0</v>
      </c>
    </row>
    <row r="9" spans="1:13" x14ac:dyDescent="0.2">
      <c r="A9" s="593" t="s">
        <v>936</v>
      </c>
      <c r="D9" s="618"/>
      <c r="F9" s="597">
        <v>12</v>
      </c>
      <c r="G9" s="610">
        <f t="shared" si="0"/>
        <v>780</v>
      </c>
      <c r="H9" s="611">
        <v>2070</v>
      </c>
      <c r="I9" s="595"/>
      <c r="J9" s="602">
        <f t="shared" si="2"/>
        <v>0</v>
      </c>
      <c r="K9" s="604">
        <f t="shared" si="1"/>
        <v>0</v>
      </c>
      <c r="L9" s="604">
        <f t="shared" si="3"/>
        <v>0</v>
      </c>
      <c r="M9" s="605">
        <f t="shared" si="4"/>
        <v>0</v>
      </c>
    </row>
    <row r="10" spans="1:13" x14ac:dyDescent="0.2">
      <c r="A10" s="593" t="s">
        <v>937</v>
      </c>
      <c r="D10" s="618"/>
      <c r="F10" s="597">
        <v>10</v>
      </c>
      <c r="G10" s="610">
        <f t="shared" si="0"/>
        <v>650</v>
      </c>
      <c r="H10" s="611">
        <v>1790</v>
      </c>
      <c r="I10" s="595"/>
      <c r="J10" s="602">
        <f t="shared" si="2"/>
        <v>0</v>
      </c>
      <c r="K10" s="604">
        <f t="shared" si="1"/>
        <v>0</v>
      </c>
      <c r="L10" s="604">
        <f t="shared" si="3"/>
        <v>0</v>
      </c>
      <c r="M10" s="605">
        <f t="shared" si="4"/>
        <v>0</v>
      </c>
    </row>
    <row r="11" spans="1:13" x14ac:dyDescent="0.2">
      <c r="A11" s="593" t="s">
        <v>938</v>
      </c>
      <c r="D11" s="618"/>
      <c r="F11" s="597">
        <v>9</v>
      </c>
      <c r="G11" s="610">
        <f t="shared" si="0"/>
        <v>585</v>
      </c>
      <c r="H11" s="611">
        <v>1510</v>
      </c>
      <c r="I11" s="595"/>
      <c r="J11" s="602">
        <f t="shared" si="2"/>
        <v>0</v>
      </c>
      <c r="K11" s="604">
        <f t="shared" si="1"/>
        <v>0</v>
      </c>
      <c r="L11" s="604">
        <f t="shared" si="3"/>
        <v>0</v>
      </c>
      <c r="M11" s="605">
        <f t="shared" si="4"/>
        <v>0</v>
      </c>
    </row>
    <row r="12" spans="1:13" x14ac:dyDescent="0.2">
      <c r="A12" s="593" t="s">
        <v>939</v>
      </c>
      <c r="D12" s="618"/>
      <c r="F12" s="597">
        <v>7</v>
      </c>
      <c r="G12" s="610">
        <f t="shared" si="0"/>
        <v>455</v>
      </c>
      <c r="H12" s="611">
        <v>931</v>
      </c>
      <c r="I12" s="595"/>
      <c r="J12" s="602">
        <f t="shared" si="2"/>
        <v>0</v>
      </c>
      <c r="K12" s="604">
        <f t="shared" si="1"/>
        <v>0</v>
      </c>
      <c r="L12" s="604">
        <f t="shared" si="3"/>
        <v>0</v>
      </c>
      <c r="M12" s="605">
        <f t="shared" si="4"/>
        <v>0</v>
      </c>
    </row>
    <row r="13" spans="1:13" x14ac:dyDescent="0.2">
      <c r="A13" s="593" t="s">
        <v>940</v>
      </c>
      <c r="D13" s="618"/>
      <c r="F13" s="597">
        <v>11</v>
      </c>
      <c r="G13" s="610">
        <f t="shared" si="0"/>
        <v>715</v>
      </c>
      <c r="H13" s="611">
        <v>1510</v>
      </c>
      <c r="I13" s="595"/>
      <c r="J13" s="602">
        <f t="shared" si="2"/>
        <v>0</v>
      </c>
      <c r="K13" s="604">
        <f t="shared" si="1"/>
        <v>0</v>
      </c>
      <c r="L13" s="604">
        <f t="shared" si="3"/>
        <v>0</v>
      </c>
      <c r="M13" s="605">
        <f t="shared" si="4"/>
        <v>0</v>
      </c>
    </row>
    <row r="14" spans="1:13" x14ac:dyDescent="0.2">
      <c r="A14" s="593" t="s">
        <v>961</v>
      </c>
      <c r="D14" s="618"/>
      <c r="F14" s="597">
        <v>12</v>
      </c>
      <c r="G14" s="610">
        <f t="shared" si="0"/>
        <v>780</v>
      </c>
      <c r="H14" s="611">
        <v>1690</v>
      </c>
      <c r="I14" s="595"/>
      <c r="J14" s="602">
        <f t="shared" si="2"/>
        <v>0</v>
      </c>
      <c r="K14" s="604">
        <f t="shared" si="1"/>
        <v>0</v>
      </c>
      <c r="L14" s="604">
        <f t="shared" si="3"/>
        <v>0</v>
      </c>
      <c r="M14" s="605">
        <f t="shared" si="4"/>
        <v>0</v>
      </c>
    </row>
    <row r="15" spans="1:13" x14ac:dyDescent="0.2">
      <c r="A15" s="593" t="s">
        <v>942</v>
      </c>
      <c r="D15" s="618"/>
      <c r="F15" s="597">
        <v>8</v>
      </c>
      <c r="G15" s="610">
        <f t="shared" si="0"/>
        <v>520</v>
      </c>
      <c r="H15" s="611">
        <v>2170</v>
      </c>
      <c r="I15" s="595"/>
      <c r="J15" s="602">
        <f t="shared" si="2"/>
        <v>0</v>
      </c>
      <c r="K15" s="604">
        <f t="shared" si="1"/>
        <v>0</v>
      </c>
      <c r="L15" s="604">
        <f t="shared" si="3"/>
        <v>0</v>
      </c>
      <c r="M15" s="605">
        <f t="shared" si="4"/>
        <v>0</v>
      </c>
    </row>
    <row r="16" spans="1:13" x14ac:dyDescent="0.2">
      <c r="A16" s="593" t="s">
        <v>943</v>
      </c>
      <c r="D16" s="618"/>
      <c r="F16" s="597">
        <v>12</v>
      </c>
      <c r="G16" s="610">
        <f t="shared" si="0"/>
        <v>780</v>
      </c>
      <c r="H16" s="611">
        <v>2510</v>
      </c>
      <c r="I16" s="595"/>
      <c r="J16" s="602">
        <f t="shared" si="2"/>
        <v>0</v>
      </c>
      <c r="K16" s="604">
        <f t="shared" si="1"/>
        <v>0</v>
      </c>
      <c r="L16" s="604">
        <f t="shared" si="3"/>
        <v>0</v>
      </c>
      <c r="M16" s="605">
        <f t="shared" si="4"/>
        <v>0</v>
      </c>
    </row>
    <row r="17" spans="1:13" x14ac:dyDescent="0.2">
      <c r="A17" s="593" t="s">
        <v>944</v>
      </c>
      <c r="D17" s="618"/>
      <c r="F17" s="597">
        <v>25</v>
      </c>
      <c r="G17" s="610">
        <f t="shared" si="0"/>
        <v>1625</v>
      </c>
      <c r="H17" s="611">
        <v>5410</v>
      </c>
      <c r="I17" s="595"/>
      <c r="J17" s="602">
        <f t="shared" si="2"/>
        <v>0</v>
      </c>
      <c r="K17" s="604">
        <f t="shared" si="1"/>
        <v>0</v>
      </c>
      <c r="L17" s="604">
        <f t="shared" si="3"/>
        <v>0</v>
      </c>
      <c r="M17" s="605">
        <f t="shared" si="4"/>
        <v>0</v>
      </c>
    </row>
    <row r="18" spans="1:13" x14ac:dyDescent="0.2">
      <c r="A18" s="593" t="s">
        <v>945</v>
      </c>
      <c r="D18" s="618"/>
      <c r="F18" s="597">
        <v>18</v>
      </c>
      <c r="G18" s="610">
        <f t="shared" si="0"/>
        <v>1170</v>
      </c>
      <c r="H18" s="611">
        <v>2760</v>
      </c>
      <c r="I18" s="595"/>
      <c r="J18" s="602">
        <f t="shared" si="2"/>
        <v>0</v>
      </c>
      <c r="K18" s="604">
        <f t="shared" si="1"/>
        <v>0</v>
      </c>
      <c r="L18" s="604">
        <f t="shared" si="3"/>
        <v>0</v>
      </c>
      <c r="M18" s="605">
        <f t="shared" si="4"/>
        <v>0</v>
      </c>
    </row>
    <row r="19" spans="1:13" x14ac:dyDescent="0.2">
      <c r="A19" s="593" t="s">
        <v>946</v>
      </c>
      <c r="D19" s="618"/>
      <c r="F19" s="597">
        <v>8</v>
      </c>
      <c r="G19" s="610">
        <f t="shared" si="0"/>
        <v>520</v>
      </c>
      <c r="H19" s="611">
        <v>851</v>
      </c>
      <c r="I19" s="595"/>
      <c r="J19" s="602">
        <f t="shared" si="2"/>
        <v>0</v>
      </c>
      <c r="K19" s="604">
        <f t="shared" si="1"/>
        <v>0</v>
      </c>
      <c r="L19" s="604">
        <f t="shared" si="3"/>
        <v>0</v>
      </c>
      <c r="M19" s="605">
        <f t="shared" si="4"/>
        <v>0</v>
      </c>
    </row>
    <row r="20" spans="1:13" x14ac:dyDescent="0.2">
      <c r="A20" s="593" t="s">
        <v>947</v>
      </c>
      <c r="D20" s="618"/>
      <c r="F20" s="597">
        <v>6</v>
      </c>
      <c r="G20" s="610">
        <f t="shared" si="0"/>
        <v>390</v>
      </c>
      <c r="H20" s="611">
        <v>732</v>
      </c>
      <c r="I20" s="595"/>
      <c r="J20" s="602">
        <f t="shared" si="2"/>
        <v>0</v>
      </c>
      <c r="K20" s="604">
        <f t="shared" si="1"/>
        <v>0</v>
      </c>
      <c r="L20" s="604">
        <f t="shared" si="3"/>
        <v>0</v>
      </c>
      <c r="M20" s="605">
        <f t="shared" si="4"/>
        <v>0</v>
      </c>
    </row>
    <row r="21" spans="1:13" x14ac:dyDescent="0.2">
      <c r="A21" s="593" t="s">
        <v>948</v>
      </c>
      <c r="D21" s="618"/>
      <c r="F21" s="597">
        <v>18</v>
      </c>
      <c r="G21" s="610">
        <f t="shared" si="0"/>
        <v>1170</v>
      </c>
      <c r="H21" s="611">
        <v>1930</v>
      </c>
      <c r="I21" s="595"/>
      <c r="J21" s="602">
        <f t="shared" si="2"/>
        <v>0</v>
      </c>
      <c r="K21" s="604">
        <f t="shared" si="1"/>
        <v>0</v>
      </c>
      <c r="L21" s="604">
        <f t="shared" si="3"/>
        <v>0</v>
      </c>
      <c r="M21" s="605">
        <f t="shared" si="4"/>
        <v>0</v>
      </c>
    </row>
    <row r="22" spans="1:13" x14ac:dyDescent="0.2">
      <c r="A22" s="593" t="s">
        <v>949</v>
      </c>
      <c r="D22" s="618"/>
      <c r="F22" s="597">
        <v>18</v>
      </c>
      <c r="G22" s="610">
        <f t="shared" si="0"/>
        <v>1170</v>
      </c>
      <c r="H22" s="611">
        <v>1930</v>
      </c>
      <c r="I22" s="595"/>
      <c r="J22" s="602">
        <f t="shared" si="2"/>
        <v>0</v>
      </c>
      <c r="K22" s="604">
        <f t="shared" si="1"/>
        <v>0</v>
      </c>
      <c r="L22" s="604">
        <f t="shared" si="3"/>
        <v>0</v>
      </c>
      <c r="M22" s="605">
        <f t="shared" si="4"/>
        <v>0</v>
      </c>
    </row>
    <row r="23" spans="1:13" x14ac:dyDescent="0.2">
      <c r="A23" s="593" t="s">
        <v>950</v>
      </c>
      <c r="D23" s="618"/>
      <c r="F23" s="597">
        <v>4</v>
      </c>
      <c r="G23" s="610">
        <f t="shared" si="0"/>
        <v>260</v>
      </c>
      <c r="H23" s="611">
        <v>602</v>
      </c>
      <c r="I23" s="595"/>
      <c r="J23" s="602">
        <f t="shared" si="2"/>
        <v>0</v>
      </c>
      <c r="K23" s="604">
        <f t="shared" si="1"/>
        <v>0</v>
      </c>
      <c r="L23" s="604">
        <f t="shared" si="3"/>
        <v>0</v>
      </c>
      <c r="M23" s="605">
        <f t="shared" si="4"/>
        <v>0</v>
      </c>
    </row>
    <row r="24" spans="1:13" x14ac:dyDescent="0.2">
      <c r="A24" s="593" t="s">
        <v>951</v>
      </c>
      <c r="D24" s="618"/>
      <c r="F24" s="597">
        <v>5</v>
      </c>
      <c r="G24" s="610">
        <f t="shared" si="0"/>
        <v>325</v>
      </c>
      <c r="H24" s="611">
        <v>651</v>
      </c>
      <c r="I24" s="595"/>
      <c r="J24" s="602">
        <f t="shared" si="2"/>
        <v>0</v>
      </c>
      <c r="K24" s="604">
        <f t="shared" si="1"/>
        <v>0</v>
      </c>
      <c r="L24" s="604">
        <f t="shared" si="3"/>
        <v>0</v>
      </c>
      <c r="M24" s="605">
        <f t="shared" si="4"/>
        <v>0</v>
      </c>
    </row>
    <row r="25" spans="1:13" x14ac:dyDescent="0.2">
      <c r="A25" s="593" t="s">
        <v>952</v>
      </c>
      <c r="D25" s="618"/>
      <c r="F25" s="597">
        <v>2</v>
      </c>
      <c r="G25" s="610">
        <f t="shared" si="0"/>
        <v>130</v>
      </c>
      <c r="H25" s="611">
        <v>330</v>
      </c>
      <c r="I25" s="595"/>
      <c r="J25" s="602">
        <f t="shared" si="2"/>
        <v>0</v>
      </c>
      <c r="K25" s="604">
        <f t="shared" si="1"/>
        <v>0</v>
      </c>
      <c r="L25" s="604">
        <f t="shared" si="3"/>
        <v>0</v>
      </c>
      <c r="M25" s="605">
        <f t="shared" si="4"/>
        <v>0</v>
      </c>
    </row>
    <row r="26" spans="1:13" x14ac:dyDescent="0.2">
      <c r="A26" s="593" t="s">
        <v>953</v>
      </c>
      <c r="D26" s="618"/>
      <c r="F26" s="597">
        <v>6</v>
      </c>
      <c r="G26" s="610">
        <f t="shared" si="0"/>
        <v>390</v>
      </c>
      <c r="H26" s="611">
        <v>3210</v>
      </c>
      <c r="I26" s="595"/>
      <c r="J26" s="602">
        <f t="shared" si="2"/>
        <v>0</v>
      </c>
      <c r="K26" s="604">
        <f t="shared" si="1"/>
        <v>0</v>
      </c>
      <c r="L26" s="604">
        <f t="shared" si="3"/>
        <v>0</v>
      </c>
      <c r="M26" s="605">
        <f t="shared" si="4"/>
        <v>0</v>
      </c>
    </row>
    <row r="27" spans="1:13" x14ac:dyDescent="0.2">
      <c r="A27" s="593" t="s">
        <v>954</v>
      </c>
      <c r="D27" s="618"/>
      <c r="F27" s="597">
        <v>16</v>
      </c>
      <c r="G27" s="610">
        <f t="shared" si="0"/>
        <v>1040</v>
      </c>
      <c r="H27" s="611">
        <v>3800</v>
      </c>
      <c r="I27" s="595"/>
      <c r="J27" s="602">
        <f t="shared" si="2"/>
        <v>0</v>
      </c>
      <c r="K27" s="604">
        <f t="shared" si="1"/>
        <v>0</v>
      </c>
      <c r="L27" s="604">
        <f t="shared" si="3"/>
        <v>0</v>
      </c>
      <c r="M27" s="605">
        <f t="shared" si="4"/>
        <v>0</v>
      </c>
    </row>
    <row r="28" spans="1:13" x14ac:dyDescent="0.2">
      <c r="A28" s="593" t="s">
        <v>962</v>
      </c>
      <c r="D28" s="618"/>
      <c r="F28" s="597">
        <v>17</v>
      </c>
      <c r="G28" s="610">
        <f t="shared" si="0"/>
        <v>1105</v>
      </c>
      <c r="H28" s="611">
        <v>5500</v>
      </c>
      <c r="I28" s="595"/>
      <c r="J28" s="602">
        <f t="shared" si="2"/>
        <v>0</v>
      </c>
      <c r="K28" s="604">
        <f t="shared" si="1"/>
        <v>0</v>
      </c>
      <c r="L28" s="604">
        <f t="shared" si="3"/>
        <v>0</v>
      </c>
      <c r="M28" s="605">
        <f t="shared" si="4"/>
        <v>0</v>
      </c>
    </row>
    <row r="29" spans="1:13" x14ac:dyDescent="0.2">
      <c r="A29" s="593" t="s">
        <v>963</v>
      </c>
      <c r="D29" s="619"/>
      <c r="F29" s="598">
        <v>18</v>
      </c>
      <c r="G29" s="612">
        <f t="shared" si="0"/>
        <v>1170</v>
      </c>
      <c r="H29" s="613">
        <v>6000</v>
      </c>
      <c r="I29" s="595"/>
      <c r="J29" s="603">
        <f t="shared" si="2"/>
        <v>0</v>
      </c>
      <c r="K29" s="606">
        <f t="shared" si="1"/>
        <v>0</v>
      </c>
      <c r="L29" s="606">
        <f t="shared" si="3"/>
        <v>0</v>
      </c>
      <c r="M29" s="607">
        <f t="shared" si="4"/>
        <v>0</v>
      </c>
    </row>
    <row r="30" spans="1:13" x14ac:dyDescent="0.2">
      <c r="A30" s="594" t="s">
        <v>958</v>
      </c>
      <c r="F30" s="595"/>
      <c r="G30" s="595"/>
      <c r="H30" s="595"/>
      <c r="I30" s="595"/>
      <c r="J30" s="614">
        <f t="shared" ref="J30:M30" si="5">SUM(J6:J29)</f>
        <v>0</v>
      </c>
      <c r="K30" s="615">
        <f t="shared" si="5"/>
        <v>0</v>
      </c>
      <c r="L30" s="615">
        <f t="shared" si="5"/>
        <v>0</v>
      </c>
      <c r="M30" s="615">
        <f t="shared" si="5"/>
        <v>0</v>
      </c>
    </row>
    <row r="32" spans="1:13" x14ac:dyDescent="0.2">
      <c r="A32" s="326" t="s">
        <v>955</v>
      </c>
    </row>
    <row r="33" spans="1:13" x14ac:dyDescent="0.2">
      <c r="D33" s="595" t="s">
        <v>957</v>
      </c>
      <c r="F33" s="595" t="s">
        <v>522</v>
      </c>
      <c r="G33" s="595" t="s">
        <v>2</v>
      </c>
      <c r="H33" s="595" t="s">
        <v>3</v>
      </c>
      <c r="J33" s="595" t="s">
        <v>522</v>
      </c>
      <c r="K33" s="595" t="s">
        <v>960</v>
      </c>
      <c r="L33" s="595" t="s">
        <v>3</v>
      </c>
      <c r="M33" s="595" t="s">
        <v>73</v>
      </c>
    </row>
    <row r="34" spans="1:13" x14ac:dyDescent="0.2">
      <c r="A34" s="593" t="s">
        <v>933</v>
      </c>
      <c r="D34" s="617"/>
      <c r="F34" s="596">
        <v>12</v>
      </c>
      <c r="G34" s="608">
        <f t="shared" ref="G34:G57" si="6">F34*$M$1</f>
        <v>780</v>
      </c>
      <c r="H34" s="609">
        <v>1710</v>
      </c>
      <c r="I34" s="595"/>
      <c r="J34" s="601">
        <f>F34*D34</f>
        <v>0</v>
      </c>
      <c r="K34" s="599">
        <f t="shared" ref="K34:K57" si="7">J34*$M$1</f>
        <v>0</v>
      </c>
      <c r="L34" s="599">
        <f>H34*D34</f>
        <v>0</v>
      </c>
      <c r="M34" s="600">
        <f>L34+K34</f>
        <v>0</v>
      </c>
    </row>
    <row r="35" spans="1:13" x14ac:dyDescent="0.2">
      <c r="A35" s="593" t="s">
        <v>934</v>
      </c>
      <c r="D35" s="618"/>
      <c r="F35" s="597">
        <v>7</v>
      </c>
      <c r="G35" s="610">
        <f t="shared" si="6"/>
        <v>455</v>
      </c>
      <c r="H35" s="611">
        <v>828</v>
      </c>
      <c r="I35" s="595"/>
      <c r="J35" s="602">
        <f t="shared" ref="J35:J57" si="8">F35*D35</f>
        <v>0</v>
      </c>
      <c r="K35" s="604">
        <f t="shared" si="7"/>
        <v>0</v>
      </c>
      <c r="L35" s="604">
        <f t="shared" ref="L35:L57" si="9">H35*D35</f>
        <v>0</v>
      </c>
      <c r="M35" s="605">
        <f t="shared" ref="M35:M57" si="10">L35+K35</f>
        <v>0</v>
      </c>
    </row>
    <row r="36" spans="1:13" x14ac:dyDescent="0.2">
      <c r="A36" s="593" t="s">
        <v>935</v>
      </c>
      <c r="D36" s="618"/>
      <c r="F36" s="597">
        <v>9</v>
      </c>
      <c r="G36" s="610">
        <f t="shared" si="6"/>
        <v>585</v>
      </c>
      <c r="H36" s="611">
        <v>1590</v>
      </c>
      <c r="I36" s="595"/>
      <c r="J36" s="602">
        <f t="shared" si="8"/>
        <v>0</v>
      </c>
      <c r="K36" s="604">
        <f t="shared" si="7"/>
        <v>0</v>
      </c>
      <c r="L36" s="604">
        <f t="shared" si="9"/>
        <v>0</v>
      </c>
      <c r="M36" s="605">
        <f t="shared" si="10"/>
        <v>0</v>
      </c>
    </row>
    <row r="37" spans="1:13" x14ac:dyDescent="0.2">
      <c r="A37" s="593" t="s">
        <v>936</v>
      </c>
      <c r="D37" s="618"/>
      <c r="F37" s="597">
        <v>10</v>
      </c>
      <c r="G37" s="610">
        <f t="shared" si="6"/>
        <v>650</v>
      </c>
      <c r="H37" s="611">
        <v>1770</v>
      </c>
      <c r="I37" s="595"/>
      <c r="J37" s="602">
        <f t="shared" si="8"/>
        <v>0</v>
      </c>
      <c r="K37" s="604">
        <f t="shared" si="7"/>
        <v>0</v>
      </c>
      <c r="L37" s="604">
        <f t="shared" si="9"/>
        <v>0</v>
      </c>
      <c r="M37" s="605">
        <f t="shared" si="10"/>
        <v>0</v>
      </c>
    </row>
    <row r="38" spans="1:13" x14ac:dyDescent="0.2">
      <c r="A38" s="593" t="s">
        <v>937</v>
      </c>
      <c r="D38" s="618"/>
      <c r="F38" s="597">
        <v>8</v>
      </c>
      <c r="G38" s="610">
        <f t="shared" si="6"/>
        <v>520</v>
      </c>
      <c r="H38" s="611">
        <v>1420</v>
      </c>
      <c r="I38" s="595"/>
      <c r="J38" s="602">
        <f t="shared" si="8"/>
        <v>0</v>
      </c>
      <c r="K38" s="604">
        <f t="shared" si="7"/>
        <v>0</v>
      </c>
      <c r="L38" s="604">
        <f t="shared" si="9"/>
        <v>0</v>
      </c>
      <c r="M38" s="605">
        <f t="shared" si="10"/>
        <v>0</v>
      </c>
    </row>
    <row r="39" spans="1:13" x14ac:dyDescent="0.2">
      <c r="A39" s="593" t="s">
        <v>938</v>
      </c>
      <c r="D39" s="618"/>
      <c r="F39" s="597">
        <v>7</v>
      </c>
      <c r="G39" s="610">
        <f t="shared" si="6"/>
        <v>455</v>
      </c>
      <c r="H39" s="611">
        <v>1190</v>
      </c>
      <c r="I39" s="595"/>
      <c r="J39" s="602">
        <f t="shared" si="8"/>
        <v>0</v>
      </c>
      <c r="K39" s="604">
        <f t="shared" si="7"/>
        <v>0</v>
      </c>
      <c r="L39" s="604">
        <f t="shared" si="9"/>
        <v>0</v>
      </c>
      <c r="M39" s="605">
        <f t="shared" si="10"/>
        <v>0</v>
      </c>
    </row>
    <row r="40" spans="1:13" x14ac:dyDescent="0.2">
      <c r="A40" s="593" t="s">
        <v>939</v>
      </c>
      <c r="D40" s="618"/>
      <c r="F40" s="597">
        <v>6</v>
      </c>
      <c r="G40" s="610">
        <f t="shared" si="6"/>
        <v>390</v>
      </c>
      <c r="H40" s="611">
        <v>721</v>
      </c>
      <c r="I40" s="595"/>
      <c r="J40" s="602">
        <f t="shared" si="8"/>
        <v>0</v>
      </c>
      <c r="K40" s="604">
        <f t="shared" si="7"/>
        <v>0</v>
      </c>
      <c r="L40" s="604">
        <f t="shared" si="9"/>
        <v>0</v>
      </c>
      <c r="M40" s="605">
        <f t="shared" si="10"/>
        <v>0</v>
      </c>
    </row>
    <row r="41" spans="1:13" x14ac:dyDescent="0.2">
      <c r="A41" s="593" t="s">
        <v>940</v>
      </c>
      <c r="D41" s="618"/>
      <c r="F41" s="597">
        <v>8</v>
      </c>
      <c r="G41" s="610">
        <f t="shared" si="6"/>
        <v>520</v>
      </c>
      <c r="H41" s="611">
        <v>1110</v>
      </c>
      <c r="I41" s="595"/>
      <c r="J41" s="602">
        <f t="shared" si="8"/>
        <v>0</v>
      </c>
      <c r="K41" s="604">
        <f t="shared" si="7"/>
        <v>0</v>
      </c>
      <c r="L41" s="604">
        <f t="shared" si="9"/>
        <v>0</v>
      </c>
      <c r="M41" s="605">
        <f t="shared" si="10"/>
        <v>0</v>
      </c>
    </row>
    <row r="42" spans="1:13" x14ac:dyDescent="0.2">
      <c r="A42" s="593" t="s">
        <v>941</v>
      </c>
      <c r="D42" s="618"/>
      <c r="F42" s="597">
        <v>9</v>
      </c>
      <c r="G42" s="610">
        <f t="shared" si="6"/>
        <v>585</v>
      </c>
      <c r="H42" s="611">
        <v>1340</v>
      </c>
      <c r="I42" s="595"/>
      <c r="J42" s="602">
        <f t="shared" si="8"/>
        <v>0</v>
      </c>
      <c r="K42" s="604">
        <f t="shared" si="7"/>
        <v>0</v>
      </c>
      <c r="L42" s="604">
        <f t="shared" si="9"/>
        <v>0</v>
      </c>
      <c r="M42" s="605">
        <f t="shared" si="10"/>
        <v>0</v>
      </c>
    </row>
    <row r="43" spans="1:13" x14ac:dyDescent="0.2">
      <c r="A43" s="593" t="s">
        <v>942</v>
      </c>
      <c r="D43" s="618"/>
      <c r="F43" s="597">
        <v>6</v>
      </c>
      <c r="G43" s="610">
        <f t="shared" si="6"/>
        <v>390</v>
      </c>
      <c r="H43" s="611">
        <v>1800</v>
      </c>
      <c r="I43" s="595"/>
      <c r="J43" s="602">
        <f t="shared" si="8"/>
        <v>0</v>
      </c>
      <c r="K43" s="604">
        <f t="shared" si="7"/>
        <v>0</v>
      </c>
      <c r="L43" s="604">
        <f t="shared" si="9"/>
        <v>0</v>
      </c>
      <c r="M43" s="605">
        <f t="shared" si="10"/>
        <v>0</v>
      </c>
    </row>
    <row r="44" spans="1:13" x14ac:dyDescent="0.2">
      <c r="A44" s="593" t="s">
        <v>943</v>
      </c>
      <c r="D44" s="618"/>
      <c r="F44" s="597">
        <v>10</v>
      </c>
      <c r="G44" s="610">
        <f t="shared" si="6"/>
        <v>650</v>
      </c>
      <c r="H44" s="611">
        <v>2080</v>
      </c>
      <c r="I44" s="595"/>
      <c r="J44" s="602">
        <f t="shared" si="8"/>
        <v>0</v>
      </c>
      <c r="K44" s="604">
        <f t="shared" si="7"/>
        <v>0</v>
      </c>
      <c r="L44" s="604">
        <f t="shared" si="9"/>
        <v>0</v>
      </c>
      <c r="M44" s="605">
        <f t="shared" si="10"/>
        <v>0</v>
      </c>
    </row>
    <row r="45" spans="1:13" x14ac:dyDescent="0.2">
      <c r="A45" s="593" t="s">
        <v>944</v>
      </c>
      <c r="D45" s="618"/>
      <c r="F45" s="597">
        <v>22</v>
      </c>
      <c r="G45" s="610">
        <f t="shared" si="6"/>
        <v>1430</v>
      </c>
      <c r="H45" s="611">
        <v>4770</v>
      </c>
      <c r="I45" s="595"/>
      <c r="J45" s="602">
        <f t="shared" si="8"/>
        <v>0</v>
      </c>
      <c r="K45" s="604">
        <f t="shared" si="7"/>
        <v>0</v>
      </c>
      <c r="L45" s="604">
        <f t="shared" si="9"/>
        <v>0</v>
      </c>
      <c r="M45" s="605">
        <f t="shared" si="10"/>
        <v>0</v>
      </c>
    </row>
    <row r="46" spans="1:13" x14ac:dyDescent="0.2">
      <c r="A46" s="593" t="s">
        <v>945</v>
      </c>
      <c r="D46" s="618"/>
      <c r="F46" s="597">
        <v>15</v>
      </c>
      <c r="G46" s="610">
        <f t="shared" si="6"/>
        <v>975</v>
      </c>
      <c r="H46" s="611">
        <v>2340</v>
      </c>
      <c r="I46" s="595"/>
      <c r="J46" s="602">
        <f t="shared" si="8"/>
        <v>0</v>
      </c>
      <c r="K46" s="604">
        <f t="shared" si="7"/>
        <v>0</v>
      </c>
      <c r="L46" s="604">
        <f t="shared" si="9"/>
        <v>0</v>
      </c>
      <c r="M46" s="605">
        <f t="shared" si="10"/>
        <v>0</v>
      </c>
    </row>
    <row r="47" spans="1:13" x14ac:dyDescent="0.2">
      <c r="A47" s="593" t="s">
        <v>946</v>
      </c>
      <c r="D47" s="618"/>
      <c r="F47" s="597">
        <v>7</v>
      </c>
      <c r="G47" s="610">
        <f t="shared" si="6"/>
        <v>455</v>
      </c>
      <c r="H47" s="611">
        <v>596</v>
      </c>
      <c r="I47" s="595"/>
      <c r="J47" s="602">
        <f t="shared" si="8"/>
        <v>0</v>
      </c>
      <c r="K47" s="604">
        <f t="shared" si="7"/>
        <v>0</v>
      </c>
      <c r="L47" s="604">
        <f t="shared" si="9"/>
        <v>0</v>
      </c>
      <c r="M47" s="605">
        <f t="shared" si="10"/>
        <v>0</v>
      </c>
    </row>
    <row r="48" spans="1:13" x14ac:dyDescent="0.2">
      <c r="A48" s="593" t="s">
        <v>947</v>
      </c>
      <c r="D48" s="618"/>
      <c r="F48" s="597">
        <v>5</v>
      </c>
      <c r="G48" s="610">
        <f t="shared" si="6"/>
        <v>325</v>
      </c>
      <c r="H48" s="611">
        <v>486</v>
      </c>
      <c r="I48" s="595"/>
      <c r="J48" s="602">
        <f t="shared" si="8"/>
        <v>0</v>
      </c>
      <c r="K48" s="604">
        <f t="shared" si="7"/>
        <v>0</v>
      </c>
      <c r="L48" s="604">
        <f t="shared" si="9"/>
        <v>0</v>
      </c>
      <c r="M48" s="605">
        <f t="shared" si="10"/>
        <v>0</v>
      </c>
    </row>
    <row r="49" spans="1:13" x14ac:dyDescent="0.2">
      <c r="A49" s="593" t="s">
        <v>948</v>
      </c>
      <c r="D49" s="618"/>
      <c r="F49" s="597">
        <v>16</v>
      </c>
      <c r="G49" s="610">
        <f t="shared" si="6"/>
        <v>1040</v>
      </c>
      <c r="H49" s="611">
        <v>1660</v>
      </c>
      <c r="I49" s="595"/>
      <c r="J49" s="602">
        <f t="shared" si="8"/>
        <v>0</v>
      </c>
      <c r="K49" s="604">
        <f t="shared" si="7"/>
        <v>0</v>
      </c>
      <c r="L49" s="604">
        <f t="shared" si="9"/>
        <v>0</v>
      </c>
      <c r="M49" s="605">
        <f t="shared" si="10"/>
        <v>0</v>
      </c>
    </row>
    <row r="50" spans="1:13" x14ac:dyDescent="0.2">
      <c r="A50" s="593" t="s">
        <v>949</v>
      </c>
      <c r="D50" s="618"/>
      <c r="F50" s="597">
        <v>16</v>
      </c>
      <c r="G50" s="610">
        <f t="shared" si="6"/>
        <v>1040</v>
      </c>
      <c r="H50" s="611">
        <v>1660</v>
      </c>
      <c r="I50" s="595"/>
      <c r="J50" s="602">
        <f t="shared" si="8"/>
        <v>0</v>
      </c>
      <c r="K50" s="604">
        <f t="shared" si="7"/>
        <v>0</v>
      </c>
      <c r="L50" s="604">
        <f t="shared" si="9"/>
        <v>0</v>
      </c>
      <c r="M50" s="605">
        <f t="shared" si="10"/>
        <v>0</v>
      </c>
    </row>
    <row r="51" spans="1:13" x14ac:dyDescent="0.2">
      <c r="A51" s="593" t="s">
        <v>950</v>
      </c>
      <c r="D51" s="618"/>
      <c r="F51" s="597">
        <v>3</v>
      </c>
      <c r="G51" s="610">
        <f t="shared" si="6"/>
        <v>195</v>
      </c>
      <c r="H51" s="611">
        <v>415</v>
      </c>
      <c r="I51" s="595"/>
      <c r="J51" s="602">
        <f t="shared" si="8"/>
        <v>0</v>
      </c>
      <c r="K51" s="604">
        <f t="shared" si="7"/>
        <v>0</v>
      </c>
      <c r="L51" s="604">
        <f t="shared" si="9"/>
        <v>0</v>
      </c>
      <c r="M51" s="605">
        <f t="shared" si="10"/>
        <v>0</v>
      </c>
    </row>
    <row r="52" spans="1:13" x14ac:dyDescent="0.2">
      <c r="A52" s="593" t="s">
        <v>951</v>
      </c>
      <c r="D52" s="618"/>
      <c r="F52" s="597">
        <v>4</v>
      </c>
      <c r="G52" s="610">
        <f t="shared" si="6"/>
        <v>260</v>
      </c>
      <c r="H52" s="611">
        <v>506</v>
      </c>
      <c r="I52" s="595"/>
      <c r="J52" s="602">
        <f t="shared" si="8"/>
        <v>0</v>
      </c>
      <c r="K52" s="604">
        <f t="shared" si="7"/>
        <v>0</v>
      </c>
      <c r="L52" s="604">
        <f t="shared" si="9"/>
        <v>0</v>
      </c>
      <c r="M52" s="605">
        <f t="shared" si="10"/>
        <v>0</v>
      </c>
    </row>
    <row r="53" spans="1:13" x14ac:dyDescent="0.2">
      <c r="A53" s="593" t="s">
        <v>952</v>
      </c>
      <c r="D53" s="618"/>
      <c r="F53" s="597">
        <v>2</v>
      </c>
      <c r="G53" s="610">
        <f t="shared" si="6"/>
        <v>130</v>
      </c>
      <c r="H53" s="611">
        <v>251</v>
      </c>
      <c r="I53" s="595"/>
      <c r="J53" s="602">
        <f t="shared" si="8"/>
        <v>0</v>
      </c>
      <c r="K53" s="604">
        <f t="shared" si="7"/>
        <v>0</v>
      </c>
      <c r="L53" s="604">
        <f t="shared" si="9"/>
        <v>0</v>
      </c>
      <c r="M53" s="605">
        <f t="shared" si="10"/>
        <v>0</v>
      </c>
    </row>
    <row r="54" spans="1:13" x14ac:dyDescent="0.2">
      <c r="A54" s="593" t="s">
        <v>953</v>
      </c>
      <c r="D54" s="618"/>
      <c r="F54" s="597">
        <v>5</v>
      </c>
      <c r="G54" s="610">
        <f t="shared" si="6"/>
        <v>325</v>
      </c>
      <c r="H54" s="611">
        <v>2920</v>
      </c>
      <c r="I54" s="595"/>
      <c r="J54" s="602">
        <f t="shared" si="8"/>
        <v>0</v>
      </c>
      <c r="K54" s="604">
        <f t="shared" si="7"/>
        <v>0</v>
      </c>
      <c r="L54" s="604">
        <f t="shared" si="9"/>
        <v>0</v>
      </c>
      <c r="M54" s="605">
        <f t="shared" si="10"/>
        <v>0</v>
      </c>
    </row>
    <row r="55" spans="1:13" x14ac:dyDescent="0.2">
      <c r="A55" s="593" t="s">
        <v>954</v>
      </c>
      <c r="D55" s="618"/>
      <c r="F55" s="597">
        <v>15</v>
      </c>
      <c r="G55" s="610">
        <f t="shared" si="6"/>
        <v>975</v>
      </c>
      <c r="H55" s="611">
        <v>3530</v>
      </c>
      <c r="I55" s="595"/>
      <c r="J55" s="602">
        <f t="shared" si="8"/>
        <v>0</v>
      </c>
      <c r="K55" s="604">
        <f t="shared" si="7"/>
        <v>0</v>
      </c>
      <c r="L55" s="604">
        <f t="shared" si="9"/>
        <v>0</v>
      </c>
      <c r="M55" s="605">
        <f t="shared" si="10"/>
        <v>0</v>
      </c>
    </row>
    <row r="56" spans="1:13" x14ac:dyDescent="0.2">
      <c r="A56" s="593" t="s">
        <v>962</v>
      </c>
      <c r="D56" s="618"/>
      <c r="F56" s="597">
        <v>16</v>
      </c>
      <c r="G56" s="610">
        <f t="shared" si="6"/>
        <v>1040</v>
      </c>
      <c r="H56" s="611">
        <v>5500</v>
      </c>
      <c r="I56" s="595"/>
      <c r="J56" s="602">
        <f t="shared" si="8"/>
        <v>0</v>
      </c>
      <c r="K56" s="604">
        <f t="shared" si="7"/>
        <v>0</v>
      </c>
      <c r="L56" s="604">
        <f t="shared" si="9"/>
        <v>0</v>
      </c>
      <c r="M56" s="605">
        <f t="shared" si="10"/>
        <v>0</v>
      </c>
    </row>
    <row r="57" spans="1:13" x14ac:dyDescent="0.2">
      <c r="A57" s="593" t="s">
        <v>963</v>
      </c>
      <c r="D57" s="619"/>
      <c r="F57" s="598">
        <v>17</v>
      </c>
      <c r="G57" s="612">
        <f t="shared" si="6"/>
        <v>1105</v>
      </c>
      <c r="H57" s="613">
        <v>6000</v>
      </c>
      <c r="I57" s="595"/>
      <c r="J57" s="603">
        <f t="shared" si="8"/>
        <v>0</v>
      </c>
      <c r="K57" s="606">
        <f t="shared" si="7"/>
        <v>0</v>
      </c>
      <c r="L57" s="606">
        <f t="shared" si="9"/>
        <v>0</v>
      </c>
      <c r="M57" s="607">
        <f t="shared" si="10"/>
        <v>0</v>
      </c>
    </row>
    <row r="58" spans="1:13" x14ac:dyDescent="0.2">
      <c r="A58" s="594" t="s">
        <v>958</v>
      </c>
      <c r="F58" s="595"/>
      <c r="G58" s="595"/>
      <c r="H58" s="595"/>
      <c r="I58" s="595"/>
      <c r="J58" s="614">
        <f t="shared" ref="J58" si="11">SUM(J34:J57)</f>
        <v>0</v>
      </c>
      <c r="K58" s="615">
        <f t="shared" ref="K58" si="12">SUM(K34:K57)</f>
        <v>0</v>
      </c>
      <c r="L58" s="615">
        <f t="shared" ref="L58" si="13">SUM(L34:L57)</f>
        <v>0</v>
      </c>
      <c r="M58" s="615">
        <f t="shared" ref="M58" si="14">SUM(M34:M57)</f>
        <v>0</v>
      </c>
    </row>
  </sheetData>
  <mergeCells count="2">
    <mergeCell ref="F4:H4"/>
    <mergeCell ref="J4:M4"/>
  </mergeCells>
  <printOptions horizontalCentered="1"/>
  <pageMargins left="0.5" right="0.5" top="0.75" bottom="0.75" header="0.3" footer="0.3"/>
  <pageSetup scale="96"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vt:i4>
      </vt:variant>
    </vt:vector>
  </HeadingPairs>
  <TitlesOfParts>
    <vt:vector size="26" baseType="lpstr">
      <vt:lpstr>Rate Inputs</vt:lpstr>
      <vt:lpstr>Base Bid</vt:lpstr>
      <vt:lpstr>Quoted Items</vt:lpstr>
      <vt:lpstr>Checklist</vt:lpstr>
      <vt:lpstr>Phase Codes</vt:lpstr>
      <vt:lpstr>Pipe Insul</vt:lpstr>
      <vt:lpstr>Release Notes</vt:lpstr>
      <vt:lpstr>Proposal Letter</vt:lpstr>
      <vt:lpstr>Proposal Letter (2)</vt:lpstr>
      <vt:lpstr>Cust. Names</vt:lpstr>
      <vt:lpstr>PipeBid</vt:lpstr>
      <vt:lpstr>VP IMP</vt:lpstr>
      <vt:lpstr>Glycol Calc</vt:lpstr>
      <vt:lpstr>PipeData</vt:lpstr>
      <vt:lpstr>HVAC Budget Costs</vt:lpstr>
      <vt:lpstr>Plmg Budgets</vt:lpstr>
      <vt:lpstr>'Proposal Letter'!_GoBack</vt:lpstr>
      <vt:lpstr>'Proposal Letter (2)'!_GoBack</vt:lpstr>
      <vt:lpstr>'Proposal Letter'!OLE_LINK1</vt:lpstr>
      <vt:lpstr>'Proposal Letter (2)'!OLE_LINK1</vt:lpstr>
      <vt:lpstr>'Base Bid'!Print_Area</vt:lpstr>
      <vt:lpstr>'Quoted Items'!Print_Area</vt:lpstr>
      <vt:lpstr>'Rate Inputs'!Print_Area</vt:lpstr>
      <vt:lpstr>'Base Bid'!Print_Titles</vt:lpstr>
      <vt:lpstr>'Phase Codes'!Print_Titles</vt:lpstr>
      <vt:lpstr>'Quoted Items'!Print_Titles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kasturd</dc:creator>
  <cp:lastModifiedBy>Kipp Sturdivant</cp:lastModifiedBy>
  <cp:lastPrinted>2025-10-17T17:38:57Z</cp:lastPrinted>
  <dcterms:created xsi:type="dcterms:W3CDTF">2013-04-11T17:45:53Z</dcterms:created>
  <dcterms:modified xsi:type="dcterms:W3CDTF">2026-01-26T22:49:59Z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9Connected">
    <vt:bool>true</vt:bool>
  </property>
</Properties>
</file>